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438" documentId="8_{FA9CD378-0742-475E-AD3A-318A6F0B466E}" xr6:coauthVersionLast="47" xr6:coauthVersionMax="47" xr10:uidLastSave="{2C9CBFE8-6422-4359-BCEE-2023DF0386AD}"/>
  <bookViews>
    <workbookView xWindow="-98" yWindow="-98" windowWidth="21795" windowHeight="12975" xr2:uid="{00000000-000D-0000-FFFF-FFFF00000000}"/>
  </bookViews>
  <sheets>
    <sheet name="Database FG" sheetId="4" r:id="rId1"/>
    <sheet name="zcorin_converter" sheetId="1" state="hidden" r:id="rId2"/>
    <sheet name="master_dps_east" sheetId="3" state="hidden" r:id="rId3"/>
  </sheets>
  <definedNames>
    <definedName name="________________________________________o1" hidden="1">{"det (May)",#N/A,FALSE,"June";"sum (MAY YTD)",#N/A,FALSE,"June YTD"}</definedName>
    <definedName name="_______________________________________o1" hidden="1">{"det (May)",#N/A,FALSE,"June";"sum (MAY YTD)",#N/A,FALSE,"June YTD"}</definedName>
    <definedName name="______________________________________o1" hidden="1">{"det (May)",#N/A,FALSE,"June";"sum (MAY YTD)",#N/A,FALSE,"June YTD"}</definedName>
    <definedName name="_____________________________________o1" hidden="1">{"det (May)",#N/A,FALSE,"June";"sum (MAY YTD)",#N/A,FALSE,"June YTD"}</definedName>
    <definedName name="____________________________________o1" hidden="1">{"det (May)",#N/A,FALSE,"June";"sum (MAY YTD)",#N/A,FALSE,"June YTD"}</definedName>
    <definedName name="___________________________________o1" hidden="1">{"det (May)",#N/A,FALSE,"June";"sum (MAY YTD)",#N/A,FALSE,"June YTD"}</definedName>
    <definedName name="__________________________________o1" hidden="1">{"det (May)",#N/A,FALSE,"June";"sum (MAY YTD)",#N/A,FALSE,"June YTD"}</definedName>
    <definedName name="_________________________________o1" hidden="1">{"det (May)",#N/A,FALSE,"June";"sum (MAY YTD)",#N/A,FALSE,"June YTD"}</definedName>
    <definedName name="________________________________o1" hidden="1">{"det (May)",#N/A,FALSE,"June";"sum (MAY YTD)",#N/A,FALSE,"June YTD"}</definedName>
    <definedName name="_______________________________o1" hidden="1">{"det (May)",#N/A,FALSE,"June";"sum (MAY YTD)",#N/A,FALSE,"June YTD"}</definedName>
    <definedName name="______________________________o1" hidden="1">{"det (May)",#N/A,FALSE,"June";"sum (MAY YTD)",#N/A,FALSE,"June YTD"}</definedName>
    <definedName name="_____________________________o1" hidden="1">{"det (May)",#N/A,FALSE,"June";"sum (MAY YTD)",#N/A,FALSE,"June YTD"}</definedName>
    <definedName name="____________________________o1" hidden="1">{"det (May)",#N/A,FALSE,"June";"sum (MAY YTD)",#N/A,FALSE,"June YTD"}</definedName>
    <definedName name="___________________________o1" hidden="1">{"det (May)",#N/A,FALSE,"June";"sum (MAY YTD)",#N/A,FALSE,"June YTD"}</definedName>
    <definedName name="__________________________o1" hidden="1">{"det (May)",#N/A,FALSE,"June";"sum (MAY YTD)",#N/A,FALSE,"June YTD"}</definedName>
    <definedName name="________________________o1" hidden="1">{"det (May)",#N/A,FALSE,"June";"sum (MAY YTD)",#N/A,FALSE,"June YTD"}</definedName>
    <definedName name="_____________________o1" hidden="1">{"det (May)",#N/A,FALSE,"June";"sum (MAY YTD)",#N/A,FALSE,"June YTD"}</definedName>
    <definedName name="____________________mix2" hidden="1">{#N/A,#N/A,FALSE,"RES-MARQ-c";#N/A,#N/A,FALSE,"CLTS-GP-c";#N/A,#N/A,FALSE,"NOUV PDTS-c";#N/A,#N/A,FALSE,"CESSIONS GROUPE-c"}</definedName>
    <definedName name="____________________o1" hidden="1">{"det (May)",#N/A,FALSE,"June";"sum (MAY YTD)",#N/A,FALSE,"June YTD"}</definedName>
    <definedName name="___________________o1" hidden="1">{"det (May)",#N/A,FALSE,"June";"sum (MAY YTD)",#N/A,FALSE,"June YTD"}</definedName>
    <definedName name="__________________o1" hidden="1">{"det (May)",#N/A,FALSE,"June";"sum (MAY YTD)",#N/A,FALSE,"June YTD"}</definedName>
    <definedName name="_________________o1" hidden="1">{"det (May)",#N/A,FALSE,"June";"sum (MAY YTD)",#N/A,FALSE,"June YTD"}</definedName>
    <definedName name="________________o1" hidden="1">{"det (May)",#N/A,FALSE,"June";"sum (MAY YTD)",#N/A,FALSE,"June YTD"}</definedName>
    <definedName name="_______________o1" hidden="1">{"det (May)",#N/A,FALSE,"June";"sum (MAY YTD)",#N/A,FALSE,"June YTD"}</definedName>
    <definedName name="______________o1" hidden="1">{"det (May)",#N/A,FALSE,"June";"sum (MAY YTD)",#N/A,FALSE,"June YTD"}</definedName>
    <definedName name="_____________o1" hidden="1">{"det (May)",#N/A,FALSE,"June";"sum (MAY YTD)",#N/A,FALSE,"June YTD"}</definedName>
    <definedName name="____________o1" hidden="1">{"det (May)",#N/A,FALSE,"June";"sum (MAY YTD)",#N/A,FALSE,"June YTD"}</definedName>
    <definedName name="___________o1" hidden="1">{"det (May)",#N/A,FALSE,"June";"sum (MAY YTD)",#N/A,FALSE,"June YTD"}</definedName>
    <definedName name="__________o1" hidden="1">{"det (May)",#N/A,FALSE,"June";"sum (MAY YTD)",#N/A,FALSE,"June YTD"}</definedName>
    <definedName name="_________mix2" hidden="1">{#N/A,#N/A,FALSE,"RES-MARQ-c";#N/A,#N/A,FALSE,"CLTS-GP-c";#N/A,#N/A,FALSE,"NOUV PDTS-c";#N/A,#N/A,FALSE,"CESSIONS GROUPE-c"}</definedName>
    <definedName name="_________o1" hidden="1">{"det (May)",#N/A,FALSE,"June";"sum (MAY YTD)",#N/A,FALSE,"June YTD"}</definedName>
    <definedName name="________B162" hidden="1">#REF!</definedName>
    <definedName name="________LL1" hidden="1">{#N/A,#N/A,FALSE,"CNM BUDGET EVIAN";#N/A,#N/A,FALSE,"CNM BUDGET BA"}</definedName>
    <definedName name="________LL2" hidden="1">{"original",#N/A,TRUE,"flashcaneurope";"expeur",#N/A,TRUE,"EXPEUR";"ventesloceur",#N/A,TRUE,"VENTESLOCEUR";"candib",#N/A,TRUE,"flashcandib";"expedib",#N/A,TRUE,"EXPEDIB";"venteslocdib",#N/A,TRUE,"venteslocdib"}</definedName>
    <definedName name="________mix2" hidden="1">{#N/A,#N/A,FALSE,"RES-MARQ-c";#N/A,#N/A,FALSE,"CLTS-GP-c";#N/A,#N/A,FALSE,"NOUV PDTS-c";#N/A,#N/A,FALSE,"CESSIONS GROUPE-c"}</definedName>
    <definedName name="________o1" hidden="1">{"det (May)",#N/A,FALSE,"June";"sum (MAY YTD)",#N/A,FALSE,"June YTD"}</definedName>
    <definedName name="________ok1" hidden="1">#REF!</definedName>
    <definedName name="________ok2" hidden="1">#REF!</definedName>
    <definedName name="________ok3" hidden="1">#REF!</definedName>
    <definedName name="_______ANA1" hidden="1">{#N/A,#N/A,TRUE,"EC COMM-t";#N/A,#N/A,TRUE,"EC PAR PDTS-t";#N/A,#N/A,TRUE,"EC MAT-t";#N/A,#N/A,TRUE,"SUIVI HAUSSES-t"}</definedName>
    <definedName name="_______ana2" hidden="1">{#N/A,#N/A,TRUE,"EC COMM-t";#N/A,#N/A,TRUE,"EC PAR PDTS-t";#N/A,#N/A,TRUE,"EC MAT-t";#N/A,#N/A,TRUE,"SUIVI HAUSSES-t"}</definedName>
    <definedName name="_______B162" hidden="1">#REF!</definedName>
    <definedName name="_______ECA1" hidden="1">{#N/A,#N/A,FALSE,"ANALYSE";#N/A,#N/A,FALSE,"PM VALEUR"}</definedName>
    <definedName name="_______L" hidden="1">38813.6443518518</definedName>
    <definedName name="_______LL1" hidden="1">{#N/A,#N/A,FALSE,"CNM BUDGET EVIAN";#N/A,#N/A,FALSE,"CNM BUDGET BA"}</definedName>
    <definedName name="_______LL2" hidden="1">{"original",#N/A,TRUE,"flashcaneurope";"expeur",#N/A,TRUE,"EXPEUR";"ventesloceur",#N/A,TRUE,"VENTESLOCEUR";"candib",#N/A,TRUE,"flashcandib";"expedib",#N/A,TRUE,"EXPEDIB";"venteslocdib",#N/A,TRUE,"venteslocdib"}</definedName>
    <definedName name="_______mix2" hidden="1">{#N/A,#N/A,FALSE,"RES-MARQ-c";#N/A,#N/A,FALSE,"CLTS-GP-c";#N/A,#N/A,FALSE,"NOUV PDTS-c";#N/A,#N/A,FALSE,"CESSIONS GROUPE-c"}</definedName>
    <definedName name="_______o1" hidden="1">{"det (May)",#N/A,FALSE,"June";"sum (MAY YTD)",#N/A,FALSE,"June YTD"}</definedName>
    <definedName name="_______ok1" hidden="1">#REF!</definedName>
    <definedName name="_______ok2" hidden="1">#REF!</definedName>
    <definedName name="_______ok3" hidden="1">#REF!</definedName>
    <definedName name="_______WR1" hidden="1">{#N/A,#N/A,FALSE,"ANALYSE";#N/A,#N/A,FALSE,"PM VALEUR"}</definedName>
    <definedName name="______1__123Graph_AChart_10B" hidden="1">#REF!</definedName>
    <definedName name="______10__123Graph_AChart_20C" hidden="1">#REF!</definedName>
    <definedName name="______11__123Graph_AChart_21C" hidden="1">#REF!</definedName>
    <definedName name="______12__123Graph_AChart_22C" hidden="1">#REF!</definedName>
    <definedName name="______13__123Graph_AChart_23C" hidden="1">#REF!</definedName>
    <definedName name="______14__123Graph_AChart_24C" hidden="1">#REF!</definedName>
    <definedName name="______15__123Graph_AChart_25C" hidden="1">#REF!</definedName>
    <definedName name="______16__123Graph_AChart_26C" hidden="1">#REF!</definedName>
    <definedName name="______17__123Graph_AChart_27C" hidden="1">#REF!</definedName>
    <definedName name="______18__123Graph_AChart_2A" hidden="1">#REF!</definedName>
    <definedName name="______19__123Graph_AChart_3A" hidden="1">#REF!</definedName>
    <definedName name="______2__123Graph_AChart_11B" hidden="1">#REF!</definedName>
    <definedName name="______20__123Graph_AChart_4A" hidden="1">#REF!</definedName>
    <definedName name="______21__123Graph_AChart_5A" hidden="1">#REF!</definedName>
    <definedName name="______22__123Graph_AChart_6A" hidden="1">#REF!</definedName>
    <definedName name="______23__123Graph_AChart_7A" hidden="1">#REF!</definedName>
    <definedName name="______24__123Graph_AChart_8A" hidden="1">#REF!</definedName>
    <definedName name="______25__123Graph_AChart_9A" hidden="1">#REF!</definedName>
    <definedName name="______26__123Graph_BChart_12B" hidden="1">#REF!</definedName>
    <definedName name="______27__123Graph_BChart_13B" hidden="1">#REF!</definedName>
    <definedName name="______28__123Graph_BChart_16B" hidden="1">#REF!</definedName>
    <definedName name="______29__123Graph_BChart_17B" hidden="1">#REF!</definedName>
    <definedName name="______3__123Graph_AChart_12B" hidden="1">#REF!</definedName>
    <definedName name="______30__123Graph_BChart_18B" hidden="1">#REF!</definedName>
    <definedName name="______31__123Graph_BChart_21C" hidden="1">#REF!</definedName>
    <definedName name="______32__123Graph_BChart_22C" hidden="1">#REF!</definedName>
    <definedName name="______33__123Graph_BChart_23C" hidden="1">#REF!</definedName>
    <definedName name="______34__123Graph_BChart_24C" hidden="1">#REF!</definedName>
    <definedName name="______35__123Graph_BChart_25C" hidden="1">#REF!</definedName>
    <definedName name="______36__123Graph_BChart_26C" hidden="1">#REF!</definedName>
    <definedName name="______37__123Graph_BChart_27C" hidden="1">#REF!</definedName>
    <definedName name="______38__123Graph_BChart_3A" hidden="1">#REF!</definedName>
    <definedName name="______39__123Graph_BChart_4A" hidden="1">#REF!</definedName>
    <definedName name="______4__123Graph_AChart_13B" hidden="1">#REF!</definedName>
    <definedName name="______40__123Graph_BChart_5A" hidden="1">#REF!</definedName>
    <definedName name="______41__123Graph_BChart_6A" hidden="1">#REF!</definedName>
    <definedName name="______42__123Graph_BChart_7A" hidden="1">#REF!</definedName>
    <definedName name="______43__123Graph_BChart_8A" hidden="1">#REF!</definedName>
    <definedName name="______44__123Graph_BChart_9A" hidden="1">#REF!</definedName>
    <definedName name="______45__123Graph_CChart_13B" hidden="1">#REF!</definedName>
    <definedName name="______46__123Graph_CChart_16B" hidden="1">#REF!</definedName>
    <definedName name="______47__123Graph_CChart_17B" hidden="1">#REF!</definedName>
    <definedName name="______48__123Graph_CChart_22C" hidden="1">#REF!</definedName>
    <definedName name="______49__123Graph_CChart_23C" hidden="1">#REF!</definedName>
    <definedName name="______5__123Graph_AChart_16B" hidden="1">#REF!</definedName>
    <definedName name="______50__123Graph_CChart_24C" hidden="1">#REF!</definedName>
    <definedName name="______51__123Graph_CChart_25C" hidden="1">#REF!</definedName>
    <definedName name="______52__123Graph_CChart_26C" hidden="1">#REF!</definedName>
    <definedName name="______53__123Graph_CChart_4A" hidden="1">#REF!</definedName>
    <definedName name="______54__123Graph_CChart_5A" hidden="1">#REF!</definedName>
    <definedName name="______55__123Graph_CChart_6A" hidden="1">#REF!</definedName>
    <definedName name="______56__123Graph_CChart_7A" hidden="1">#REF!</definedName>
    <definedName name="______57__123Graph_CChart_8A" hidden="1">#REF!</definedName>
    <definedName name="______58__123Graph_DChart_13B" hidden="1">#REF!</definedName>
    <definedName name="______59__123Graph_DChart_16B" hidden="1">#REF!</definedName>
    <definedName name="______6__123Graph_AChart_17B" hidden="1">#REF!</definedName>
    <definedName name="______60__123Graph_DChart_17B" hidden="1">#REF!</definedName>
    <definedName name="______61__123Graph_DChart_22C" hidden="1">#REF!</definedName>
    <definedName name="______62__123Graph_DChart_23C" hidden="1">#REF!</definedName>
    <definedName name="______63__123Graph_DChart_24C" hidden="1">#REF!</definedName>
    <definedName name="______64__123Graph_DChart_25C" hidden="1">#REF!</definedName>
    <definedName name="______65__123Graph_DChart_26C" hidden="1">#REF!</definedName>
    <definedName name="______66__123Graph_DChart_4A" hidden="1">#REF!</definedName>
    <definedName name="______67__123Graph_DChart_5A" hidden="1">#REF!</definedName>
    <definedName name="______68__123Graph_DChart_6A" hidden="1">#REF!</definedName>
    <definedName name="______69__123Graph_DChart_7A" hidden="1">#REF!</definedName>
    <definedName name="______7__123Graph_AChart_18B" hidden="1">#REF!</definedName>
    <definedName name="______70__123Graph_DChart_8A" hidden="1">#REF!</definedName>
    <definedName name="______71__123Graph_XChart_10B" hidden="1">#REF!</definedName>
    <definedName name="______72__123Graph_XChart_11B" hidden="1">#REF!</definedName>
    <definedName name="______73__123Graph_XChart_12B" hidden="1">#REF!</definedName>
    <definedName name="______74__123Graph_XChart_13B" hidden="1">#REF!</definedName>
    <definedName name="______75__123Graph_XChart_17B" hidden="1">#REF!</definedName>
    <definedName name="______76__123Graph_XChart_18B" hidden="1">#REF!</definedName>
    <definedName name="______77__123Graph_XChart_19C" hidden="1">#REF!</definedName>
    <definedName name="______78__123Graph_XChart_1A" hidden="1">#REF!</definedName>
    <definedName name="______79__123Graph_XChart_20C" hidden="1">#REF!</definedName>
    <definedName name="______8__123Graph_AChart_19C" hidden="1">#REF!</definedName>
    <definedName name="______80__123Graph_XChart_21C" hidden="1">#REF!</definedName>
    <definedName name="______81__123Graph_XChart_22C" hidden="1">#REF!</definedName>
    <definedName name="______82__123Graph_XChart_23C" hidden="1">#REF!</definedName>
    <definedName name="______83__123Graph_XChart_24C" hidden="1">#REF!</definedName>
    <definedName name="______84__123Graph_XChart_25C" hidden="1">#REF!</definedName>
    <definedName name="______85__123Graph_XChart_26C" hidden="1">#REF!</definedName>
    <definedName name="______86__123Graph_XChart_27C" hidden="1">#REF!</definedName>
    <definedName name="______87__123Graph_XChart_2A" hidden="1">#REF!</definedName>
    <definedName name="______88__123Graph_XChart_3A" hidden="1">#REF!</definedName>
    <definedName name="______89__123Graph_XChart_4A" hidden="1">#REF!</definedName>
    <definedName name="______9__123Graph_AChart_1A" hidden="1">#REF!</definedName>
    <definedName name="______90__123Graph_XChart_5A" hidden="1">#REF!</definedName>
    <definedName name="______91__123Graph_XChart_6A" hidden="1">#REF!</definedName>
    <definedName name="______92__123Graph_XChart_7A" hidden="1">#REF!</definedName>
    <definedName name="______93__123Graph_XChart_8A" hidden="1">#REF!</definedName>
    <definedName name="______94__123Graph_XChart_9A" hidden="1">#REF!</definedName>
    <definedName name="______ANA1" hidden="1">{#N/A,#N/A,TRUE,"EC COMM-t";#N/A,#N/A,TRUE,"EC PAR PDTS-t";#N/A,#N/A,TRUE,"EC MAT-t";#N/A,#N/A,TRUE,"SUIVI HAUSSES-t"}</definedName>
    <definedName name="______ana2" hidden="1">{#N/A,#N/A,TRUE,"EC COMM-t";#N/A,#N/A,TRUE,"EC PAR PDTS-t";#N/A,#N/A,TRUE,"EC MAT-t";#N/A,#N/A,TRUE,"SUIVI HAUSSES-t"}</definedName>
    <definedName name="______ana2222" hidden="1">{#N/A,#N/A,TRUE,"EC COMM-t";#N/A,#N/A,TRUE,"EC PAR PDTS-t";#N/A,#N/A,TRUE,"EC MAT-t";#N/A,#N/A,TRUE,"SUIVI HAUSSES-t"}</definedName>
    <definedName name="______B162" hidden="1">#REF!</definedName>
    <definedName name="______ECA1" hidden="1">{#N/A,#N/A,FALSE,"ANALYSE";#N/A,#N/A,FALSE,"PM VALEUR"}</definedName>
    <definedName name="______LL1" hidden="1">{#N/A,#N/A,FALSE,"CNM BUDGET EVIAN";#N/A,#N/A,FALSE,"CNM BUDGET BA"}</definedName>
    <definedName name="______LL2" hidden="1">{"original",#N/A,TRUE,"flashcaneurope";"expeur",#N/A,TRUE,"EXPEUR";"ventesloceur",#N/A,TRUE,"VENTESLOCEUR";"candib",#N/A,TRUE,"flashcandib";"expedib",#N/A,TRUE,"EXPEDIB";"venteslocdib",#N/A,TRUE,"venteslocdib"}</definedName>
    <definedName name="______mix2" hidden="1">{#N/A,#N/A,FALSE,"RES-MARQ-c";#N/A,#N/A,FALSE,"CLTS-GP-c";#N/A,#N/A,FALSE,"NOUV PDTS-c";#N/A,#N/A,FALSE,"CESSIONS GROUPE-c"}</definedName>
    <definedName name="______o1" hidden="1">{"det (May)",#N/A,FALSE,"June";"sum (MAY YTD)",#N/A,FALSE,"June YTD"}</definedName>
    <definedName name="______ok1" hidden="1">#REF!</definedName>
    <definedName name="______ok2" hidden="1">#REF!</definedName>
    <definedName name="______ok3" hidden="1">#REF!</definedName>
    <definedName name="______s" hidden="1">#REF!()</definedName>
    <definedName name="______WR1" hidden="1">{#N/A,#N/A,FALSE,"ANALYSE";#N/A,#N/A,FALSE,"PM VALEUR"}</definedName>
    <definedName name="______xlfn.BAHTTEXT" hidden="1">#NAME?</definedName>
    <definedName name="_____1__123Graph_AChart_10B" hidden="1">#REF!</definedName>
    <definedName name="_____10__123Graph_AChart_20C" hidden="1">#REF!</definedName>
    <definedName name="_____11__123Graph_AChart_21C" hidden="1">#REF!</definedName>
    <definedName name="_____12__123Graph_AChart_22C" hidden="1">#REF!</definedName>
    <definedName name="_____13__123Graph_AChart_23C" hidden="1">#REF!</definedName>
    <definedName name="_____14__123Graph_AChart_24C" hidden="1">#REF!</definedName>
    <definedName name="_____15__123Graph_AChart_25C" hidden="1">#REF!</definedName>
    <definedName name="_____16__123Graph_AChart_26C" hidden="1">#REF!</definedName>
    <definedName name="_____17__123Graph_AChart_27C" hidden="1">#REF!</definedName>
    <definedName name="_____18__123Graph_AChart_2A" hidden="1">#REF!</definedName>
    <definedName name="_____19__123Graph_AChart_3A" hidden="1">#REF!</definedName>
    <definedName name="_____2__123Graph_AChart_11B" hidden="1">#REF!</definedName>
    <definedName name="_____20__123Graph_AChart_4A" hidden="1">#REF!</definedName>
    <definedName name="_____21__123Graph_AChart_5A" hidden="1">#REF!</definedName>
    <definedName name="_____22__123Graph_AChart_6A" hidden="1">#REF!</definedName>
    <definedName name="_____23__123Graph_AChart_7A" hidden="1">#REF!</definedName>
    <definedName name="_____24__123Graph_AChart_8A" hidden="1">#REF!</definedName>
    <definedName name="_____25__123Graph_AChart_9A" hidden="1">#REF!</definedName>
    <definedName name="_____26__123Graph_BChart_12B" hidden="1">#REF!</definedName>
    <definedName name="_____27__123Graph_BChart_13B" hidden="1">#REF!</definedName>
    <definedName name="_____28__123Graph_BChart_16B" hidden="1">#REF!</definedName>
    <definedName name="_____29__123Graph_BChart_17B" hidden="1">#REF!</definedName>
    <definedName name="_____3__123Graph_AChart_12B" hidden="1">#REF!</definedName>
    <definedName name="_____30__123Graph_BChart_18B" hidden="1">#REF!</definedName>
    <definedName name="_____31__123Graph_BChart_21C" hidden="1">#REF!</definedName>
    <definedName name="_____32__123Graph_BChart_22C" hidden="1">#REF!</definedName>
    <definedName name="_____33__123Graph_BChart_23C" hidden="1">#REF!</definedName>
    <definedName name="_____34__123Graph_BChart_24C" hidden="1">#REF!</definedName>
    <definedName name="_____35__123Graph_BChart_25C" hidden="1">#REF!</definedName>
    <definedName name="_____36__123Graph_BChart_26C" hidden="1">#REF!</definedName>
    <definedName name="_____37__123Graph_BChart_27C" hidden="1">#REF!</definedName>
    <definedName name="_____38__123Graph_BChart_3A" hidden="1">#REF!</definedName>
    <definedName name="_____39__123Graph_BChart_4A" hidden="1">#REF!</definedName>
    <definedName name="_____4__123Graph_AChart_13B" hidden="1">#REF!</definedName>
    <definedName name="_____40__123Graph_BChart_5A" hidden="1">#REF!</definedName>
    <definedName name="_____41__123Graph_BChart_6A" hidden="1">#REF!</definedName>
    <definedName name="_____42__123Graph_BChart_7A" hidden="1">#REF!</definedName>
    <definedName name="_____43__123Graph_BChart_8A" hidden="1">#REF!</definedName>
    <definedName name="_____44__123Graph_BChart_9A" hidden="1">#REF!</definedName>
    <definedName name="_____45__123Graph_CChart_13B" hidden="1">#REF!</definedName>
    <definedName name="_____46__123Graph_CChart_16B" hidden="1">#REF!</definedName>
    <definedName name="_____47__123Graph_CChart_17B" hidden="1">#REF!</definedName>
    <definedName name="_____48__123Graph_CChart_22C" hidden="1">#REF!</definedName>
    <definedName name="_____49__123Graph_CChart_23C" hidden="1">#REF!</definedName>
    <definedName name="_____5__123Graph_AChart_16B" hidden="1">#REF!</definedName>
    <definedName name="_____50__123Graph_CChart_24C" hidden="1">#REF!</definedName>
    <definedName name="_____51__123Graph_CChart_25C" hidden="1">#REF!</definedName>
    <definedName name="_____52__123Graph_CChart_26C" hidden="1">#REF!</definedName>
    <definedName name="_____53__123Graph_CChart_4A" hidden="1">#REF!</definedName>
    <definedName name="_____54__123Graph_CChart_5A" hidden="1">#REF!</definedName>
    <definedName name="_____55__123Graph_CChart_6A" hidden="1">#REF!</definedName>
    <definedName name="_____56__123Graph_CChart_7A" hidden="1">#REF!</definedName>
    <definedName name="_____57__123Graph_CChart_8A" hidden="1">#REF!</definedName>
    <definedName name="_____58__123Graph_DChart_13B" hidden="1">#REF!</definedName>
    <definedName name="_____59__123Graph_DChart_16B" hidden="1">#REF!</definedName>
    <definedName name="_____6__123Graph_AChart_17B" hidden="1">#REF!</definedName>
    <definedName name="_____60__123Graph_DChart_17B" hidden="1">#REF!</definedName>
    <definedName name="_____61__123Graph_DChart_22C" hidden="1">#REF!</definedName>
    <definedName name="_____62__123Graph_DChart_23C" hidden="1">#REF!</definedName>
    <definedName name="_____63__123Graph_DChart_24C" hidden="1">#REF!</definedName>
    <definedName name="_____64__123Graph_DChart_25C" hidden="1">#REF!</definedName>
    <definedName name="_____65__123Graph_DChart_26C" hidden="1">#REF!</definedName>
    <definedName name="_____66__123Graph_DChart_4A" hidden="1">#REF!</definedName>
    <definedName name="_____67__123Graph_DChart_5A" hidden="1">#REF!</definedName>
    <definedName name="_____68__123Graph_DChart_6A" hidden="1">#REF!</definedName>
    <definedName name="_____69__123Graph_DChart_7A" hidden="1">#REF!</definedName>
    <definedName name="_____7__123Graph_AChart_18B" hidden="1">#REF!</definedName>
    <definedName name="_____70__123Graph_DChart_8A" hidden="1">#REF!</definedName>
    <definedName name="_____71__123Graph_XChart_10B" hidden="1">#REF!</definedName>
    <definedName name="_____72__123Graph_XChart_11B" hidden="1">#REF!</definedName>
    <definedName name="_____73__123Graph_XChart_12B" hidden="1">#REF!</definedName>
    <definedName name="_____74__123Graph_XChart_13B" hidden="1">#REF!</definedName>
    <definedName name="_____75__123Graph_XChart_17B" hidden="1">#REF!</definedName>
    <definedName name="_____76__123Graph_XChart_18B" hidden="1">#REF!</definedName>
    <definedName name="_____77__123Graph_XChart_19C" hidden="1">#REF!</definedName>
    <definedName name="_____78__123Graph_XChart_1A" hidden="1">#REF!</definedName>
    <definedName name="_____79__123Graph_XChart_20C" hidden="1">#REF!</definedName>
    <definedName name="_____8__123Graph_AChart_19C" hidden="1">#REF!</definedName>
    <definedName name="_____80__123Graph_XChart_21C" hidden="1">#REF!</definedName>
    <definedName name="_____81__123Graph_XChart_22C" hidden="1">#REF!</definedName>
    <definedName name="_____82__123Graph_XChart_23C" hidden="1">#REF!</definedName>
    <definedName name="_____83__123Graph_XChart_24C" hidden="1">#REF!</definedName>
    <definedName name="_____84__123Graph_XChart_25C" hidden="1">#REF!</definedName>
    <definedName name="_____85__123Graph_XChart_26C" hidden="1">#REF!</definedName>
    <definedName name="_____86__123Graph_XChart_27C" hidden="1">#REF!</definedName>
    <definedName name="_____87__123Graph_XChart_2A" hidden="1">#REF!</definedName>
    <definedName name="_____88__123Graph_XChart_3A" hidden="1">#REF!</definedName>
    <definedName name="_____89__123Graph_XChart_4A" hidden="1">#REF!</definedName>
    <definedName name="_____9__123Graph_AChart_1A" hidden="1">#REF!</definedName>
    <definedName name="_____90__123Graph_XChart_5A" hidden="1">#REF!</definedName>
    <definedName name="_____91__123Graph_XChart_6A" hidden="1">#REF!</definedName>
    <definedName name="_____92__123Graph_XChart_7A" hidden="1">#REF!</definedName>
    <definedName name="_____93__123Graph_XChart_8A" hidden="1">#REF!</definedName>
    <definedName name="_____94__123Graph_XChart_9A" hidden="1">#REF!</definedName>
    <definedName name="_____ANA1" hidden="1">{#N/A,#N/A,TRUE,"EC COMM-t";#N/A,#N/A,TRUE,"EC PAR PDTS-t";#N/A,#N/A,TRUE,"EC MAT-t";#N/A,#N/A,TRUE,"SUIVI HAUSSES-t"}</definedName>
    <definedName name="_____ana2" hidden="1">{#N/A,#N/A,TRUE,"EC COMM-t";#N/A,#N/A,TRUE,"EC PAR PDTS-t";#N/A,#N/A,TRUE,"EC MAT-t";#N/A,#N/A,TRUE,"SUIVI HAUSSES-t"}</definedName>
    <definedName name="_____B162" hidden="1">#REF!</definedName>
    <definedName name="_____ECA1" hidden="1">{#N/A,#N/A,FALSE,"ANALYSE";#N/A,#N/A,FALSE,"PM VALEUR"}</definedName>
    <definedName name="_____LL1" hidden="1">{#N/A,#N/A,FALSE,"CNM BUDGET EVIAN";#N/A,#N/A,FALSE,"CNM BUDGET BA"}</definedName>
    <definedName name="_____LL2" hidden="1">{"original",#N/A,TRUE,"flashcaneurope";"expeur",#N/A,TRUE,"EXPEUR";"ventesloceur",#N/A,TRUE,"VENTESLOCEUR";"candib",#N/A,TRUE,"flashcandib";"expedib",#N/A,TRUE,"EXPEDIB";"venteslocdib",#N/A,TRUE,"venteslocdib"}</definedName>
    <definedName name="_____mix2" hidden="1">{#N/A,#N/A,FALSE,"RES-MARQ-c";#N/A,#N/A,FALSE,"CLTS-GP-c";#N/A,#N/A,FALSE,"NOUV PDTS-c";#N/A,#N/A,FALSE,"CESSIONS GROUPE-c"}</definedName>
    <definedName name="_____o1" hidden="1">{"det (May)",#N/A,FALSE,"June";"sum (MAY YTD)",#N/A,FALSE,"June YTD"}</definedName>
    <definedName name="_____ok1" hidden="1">#REF!</definedName>
    <definedName name="_____ok2" hidden="1">#REF!</definedName>
    <definedName name="_____ok3" hidden="1">#REF!</definedName>
    <definedName name="_____s" hidden="1">#REF!()</definedName>
    <definedName name="_____WR1" hidden="1">{#N/A,#N/A,FALSE,"ANALYSE";#N/A,#N/A,FALSE,"PM VALEUR"}</definedName>
    <definedName name="_____xlfn.BAHTTEXT" hidden="1">#NAME?</definedName>
    <definedName name="____1__123Graph_AChart_10B" hidden="1">#REF!</definedName>
    <definedName name="____10__123Graph_AChart_20C" hidden="1">#REF!</definedName>
    <definedName name="____11__123Graph_AChart_21C" hidden="1">#REF!</definedName>
    <definedName name="____12__123Graph_AChart_22C" hidden="1">#REF!</definedName>
    <definedName name="____13__123Graph_AChart_23C" hidden="1">#REF!</definedName>
    <definedName name="____14__123Graph_AChart_24C" hidden="1">#REF!</definedName>
    <definedName name="____15__123Graph_AChart_25C" hidden="1">#REF!</definedName>
    <definedName name="____16__123Graph_AChart_26C" hidden="1">#REF!</definedName>
    <definedName name="____17__123Graph_AChart_27C" hidden="1">#REF!</definedName>
    <definedName name="____18__123Graph_AChart_2A" hidden="1">#REF!</definedName>
    <definedName name="____19__123Graph_AChart_3A" hidden="1">#REF!</definedName>
    <definedName name="____2__123Graph_AChart_11B" hidden="1">#REF!</definedName>
    <definedName name="____20__123Graph_AChart_4A" hidden="1">#REF!</definedName>
    <definedName name="____21__123Graph_AChart_5A" hidden="1">#REF!</definedName>
    <definedName name="____22__123Graph_AChart_6A" hidden="1">#REF!</definedName>
    <definedName name="____23__123Graph_AChart_7A" hidden="1">#REF!</definedName>
    <definedName name="____24__123Graph_AChart_8A" hidden="1">#REF!</definedName>
    <definedName name="____25__123Graph_AChart_9A" hidden="1">#REF!</definedName>
    <definedName name="____26__123Graph_BChart_12B" hidden="1">#REF!</definedName>
    <definedName name="____27__123Graph_BChart_13B" hidden="1">#REF!</definedName>
    <definedName name="____28__123Graph_BChart_16B" hidden="1">#REF!</definedName>
    <definedName name="____29__123Graph_BChart_17B" hidden="1">#REF!</definedName>
    <definedName name="____3__123Graph_AChart_12B" hidden="1">#REF!</definedName>
    <definedName name="____30__123Graph_BChart_18B" hidden="1">#REF!</definedName>
    <definedName name="____31__123Graph_BChart_21C" hidden="1">#REF!</definedName>
    <definedName name="____32__123Graph_BChart_22C" hidden="1">#REF!</definedName>
    <definedName name="____33__123Graph_BChart_23C" hidden="1">#REF!</definedName>
    <definedName name="____34__123Graph_BChart_24C" hidden="1">#REF!</definedName>
    <definedName name="____35__123Graph_BChart_25C" hidden="1">#REF!</definedName>
    <definedName name="____36__123Graph_BChart_26C" hidden="1">#REF!</definedName>
    <definedName name="____37__123Graph_BChart_27C" hidden="1">#REF!</definedName>
    <definedName name="____38__123Graph_BChart_3A" hidden="1">#REF!</definedName>
    <definedName name="____39__123Graph_BChart_4A" hidden="1">#REF!</definedName>
    <definedName name="____4__123Graph_AChart_13B" hidden="1">#REF!</definedName>
    <definedName name="____40__123Graph_BChart_5A" hidden="1">#REF!</definedName>
    <definedName name="____41__123Graph_BChart_6A" hidden="1">#REF!</definedName>
    <definedName name="____42__123Graph_BChart_7A" hidden="1">#REF!</definedName>
    <definedName name="____43__123Graph_BChart_8A" hidden="1">#REF!</definedName>
    <definedName name="____44__123Graph_BChart_9A" hidden="1">#REF!</definedName>
    <definedName name="____45__123Graph_CChart_13B" hidden="1">#REF!</definedName>
    <definedName name="____46__123Graph_CChart_16B" hidden="1">#REF!</definedName>
    <definedName name="____47__123Graph_CChart_17B" hidden="1">#REF!</definedName>
    <definedName name="____48__123Graph_CChart_22C" hidden="1">#REF!</definedName>
    <definedName name="____49__123Graph_CChart_23C" hidden="1">#REF!</definedName>
    <definedName name="____5__123Graph_AChart_16B" hidden="1">#REF!</definedName>
    <definedName name="____50__123Graph_CChart_24C" hidden="1">#REF!</definedName>
    <definedName name="____51__123Graph_CChart_25C" hidden="1">#REF!</definedName>
    <definedName name="____52__123Graph_CChart_26C" hidden="1">#REF!</definedName>
    <definedName name="____53__123Graph_CChart_4A" hidden="1">#REF!</definedName>
    <definedName name="____54__123Graph_CChart_5A" hidden="1">#REF!</definedName>
    <definedName name="____55__123Graph_CChart_6A" hidden="1">#REF!</definedName>
    <definedName name="____56__123Graph_CChart_7A" hidden="1">#REF!</definedName>
    <definedName name="____57__123Graph_CChart_8A" hidden="1">#REF!</definedName>
    <definedName name="____58__123Graph_DChart_13B" hidden="1">#REF!</definedName>
    <definedName name="____59__123Graph_DChart_16B" hidden="1">#REF!</definedName>
    <definedName name="____6__123Graph_AChart_17B" hidden="1">#REF!</definedName>
    <definedName name="____60__123Graph_DChart_17B" hidden="1">#REF!</definedName>
    <definedName name="____61__123Graph_DChart_22C" hidden="1">#REF!</definedName>
    <definedName name="____62__123Graph_DChart_23C" hidden="1">#REF!</definedName>
    <definedName name="____63__123Graph_DChart_24C" hidden="1">#REF!</definedName>
    <definedName name="____64__123Graph_DChart_25C" hidden="1">#REF!</definedName>
    <definedName name="____65__123Graph_DChart_26C" hidden="1">#REF!</definedName>
    <definedName name="____66__123Graph_DChart_4A" hidden="1">#REF!</definedName>
    <definedName name="____67__123Graph_DChart_5A" hidden="1">#REF!</definedName>
    <definedName name="____68__123Graph_DChart_6A" hidden="1">#REF!</definedName>
    <definedName name="____69__123Graph_DChart_7A" hidden="1">#REF!</definedName>
    <definedName name="____7__123Graph_AChart_18B" hidden="1">#REF!</definedName>
    <definedName name="____70__123Graph_DChart_8A" hidden="1">#REF!</definedName>
    <definedName name="____71__123Graph_XChart_10B" hidden="1">#REF!</definedName>
    <definedName name="____72__123Graph_XChart_11B" hidden="1">#REF!</definedName>
    <definedName name="____73__123Graph_XChart_12B" hidden="1">#REF!</definedName>
    <definedName name="____74__123Graph_XChart_13B" hidden="1">#REF!</definedName>
    <definedName name="____75__123Graph_XChart_17B" hidden="1">#REF!</definedName>
    <definedName name="____76__123Graph_XChart_18B" hidden="1">#REF!</definedName>
    <definedName name="____77__123Graph_XChart_19C" hidden="1">#REF!</definedName>
    <definedName name="____78__123Graph_XChart_1A" hidden="1">#REF!</definedName>
    <definedName name="____79__123Graph_XChart_20C" hidden="1">#REF!</definedName>
    <definedName name="____8__123Graph_AChart_19C" hidden="1">#REF!</definedName>
    <definedName name="____80__123Graph_XChart_21C" hidden="1">#REF!</definedName>
    <definedName name="____81__123Graph_XChart_22C" hidden="1">#REF!</definedName>
    <definedName name="____82__123Graph_XChart_23C" hidden="1">#REF!</definedName>
    <definedName name="____83__123Graph_XChart_24C" hidden="1">#REF!</definedName>
    <definedName name="____84__123Graph_XChart_25C" hidden="1">#REF!</definedName>
    <definedName name="____85__123Graph_XChart_26C" hidden="1">#REF!</definedName>
    <definedName name="____86__123Graph_XChart_27C" hidden="1">#REF!</definedName>
    <definedName name="____87__123Graph_XChart_2A" hidden="1">#REF!</definedName>
    <definedName name="____88__123Graph_XChart_3A" hidden="1">#REF!</definedName>
    <definedName name="____89__123Graph_XChart_4A" hidden="1">#REF!</definedName>
    <definedName name="____9__123Graph_AChart_1A" hidden="1">#REF!</definedName>
    <definedName name="____90__123Graph_XChart_5A" hidden="1">#REF!</definedName>
    <definedName name="____91__123Graph_XChart_6A" hidden="1">#REF!</definedName>
    <definedName name="____92__123Graph_XChart_7A" hidden="1">#REF!</definedName>
    <definedName name="____93__123Graph_XChart_8A" hidden="1">#REF!</definedName>
    <definedName name="____94__123Graph_XChart_9A" hidden="1">#REF!</definedName>
    <definedName name="____ANA1" hidden="1">{#N/A,#N/A,TRUE,"EC COMM-t";#N/A,#N/A,TRUE,"EC PAR PDTS-t";#N/A,#N/A,TRUE,"EC MAT-t";#N/A,#N/A,TRUE,"SUIVI HAUSSES-t"}</definedName>
    <definedName name="____ana2" hidden="1">{#N/A,#N/A,TRUE,"EC COMM-t";#N/A,#N/A,TRUE,"EC PAR PDTS-t";#N/A,#N/A,TRUE,"EC MAT-t";#N/A,#N/A,TRUE,"SUIVI HAUSSES-t"}</definedName>
    <definedName name="____ana2222" hidden="1">{#N/A,#N/A,TRUE,"EC COMM-t";#N/A,#N/A,TRUE,"EC PAR PDTS-t";#N/A,#N/A,TRUE,"EC MAT-t";#N/A,#N/A,TRUE,"SUIVI HAUSSES-t"}</definedName>
    <definedName name="____B162" hidden="1">#REF!</definedName>
    <definedName name="____ECA1" hidden="1">{#N/A,#N/A,FALSE,"ANALYSE";#N/A,#N/A,FALSE,"PM VALEUR"}</definedName>
    <definedName name="____key2" hidden="1">#REF!</definedName>
    <definedName name="____LL1" hidden="1">{#N/A,#N/A,FALSE,"CNM BUDGET EVIAN";#N/A,#N/A,FALSE,"CNM BUDGET BA"}</definedName>
    <definedName name="____LL2" hidden="1">{"original",#N/A,TRUE,"flashcaneurope";"expeur",#N/A,TRUE,"EXPEUR";"ventesloceur",#N/A,TRUE,"VENTESLOCEUR";"candib",#N/A,TRUE,"flashcandib";"expedib",#N/A,TRUE,"EXPEDIB";"venteslocdib",#N/A,TRUE,"venteslocdib"}</definedName>
    <definedName name="____mix2" hidden="1">{#N/A,#N/A,FALSE,"RES-MARQ-c";#N/A,#N/A,FALSE,"CLTS-GP-c";#N/A,#N/A,FALSE,"NOUV PDTS-c";#N/A,#N/A,FALSE,"CESSIONS GROUPE-c"}</definedName>
    <definedName name="____mix2_1" hidden="1">{#N/A,#N/A,FALSE,"RES-MARQ-c";#N/A,#N/A,FALSE,"CLTS-GP-c";#N/A,#N/A,FALSE,"NOUV PDTS-c";#N/A,#N/A,FALSE,"CESSIONS GROUPE-c"}</definedName>
    <definedName name="____mix2_2" hidden="1">{#N/A,#N/A,FALSE,"RES-MARQ-c";#N/A,#N/A,FALSE,"CLTS-GP-c";#N/A,#N/A,FALSE,"NOUV PDTS-c";#N/A,#N/A,FALSE,"CESSIONS GROUPE-c"}</definedName>
    <definedName name="____mix2_3" hidden="1">{#N/A,#N/A,FALSE,"RES-MARQ-c";#N/A,#N/A,FALSE,"CLTS-GP-c";#N/A,#N/A,FALSE,"NOUV PDTS-c";#N/A,#N/A,FALSE,"CESSIONS GROUPE-c"}</definedName>
    <definedName name="____mix2_4" hidden="1">{#N/A,#N/A,FALSE,"RES-MARQ-c";#N/A,#N/A,FALSE,"CLTS-GP-c";#N/A,#N/A,FALSE,"NOUV PDTS-c";#N/A,#N/A,FALSE,"CESSIONS GROUPE-c"}</definedName>
    <definedName name="____mix2_5" hidden="1">{#N/A,#N/A,FALSE,"RES-MARQ-c";#N/A,#N/A,FALSE,"CLTS-GP-c";#N/A,#N/A,FALSE,"NOUV PDTS-c";#N/A,#N/A,FALSE,"CESSIONS GROUPE-c"}</definedName>
    <definedName name="____o1" hidden="1">{"det (May)",#N/A,FALSE,"June";"sum (MAY YTD)",#N/A,FALSE,"June YTD"}</definedName>
    <definedName name="____ok1" hidden="1">#REF!</definedName>
    <definedName name="____ok2" hidden="1">#REF!</definedName>
    <definedName name="____ok3" hidden="1">#REF!</definedName>
    <definedName name="____s" hidden="1">#REF!()</definedName>
    <definedName name="____WR1" hidden="1">{#N/A,#N/A,FALSE,"ANALYSE";#N/A,#N/A,FALSE,"PM VALEUR"}</definedName>
    <definedName name="____xlfn.BAHTTEXT" hidden="1">#NAME?</definedName>
    <definedName name="___1__123Graph_AChart_10B" hidden="1">#REF!</definedName>
    <definedName name="___10__123Graph_AChart_20C" hidden="1">#REF!</definedName>
    <definedName name="___11__123Graph_AChart_21C" hidden="1">#REF!</definedName>
    <definedName name="___12__123Graph_AChart_22C" hidden="1">#REF!</definedName>
    <definedName name="___13__123Graph_AChart_23C" hidden="1">#REF!</definedName>
    <definedName name="___14__123Graph_AChart_24C" hidden="1">#REF!</definedName>
    <definedName name="___15__123Graph_AChart_25C" hidden="1">#REF!</definedName>
    <definedName name="___16__123Graph_AChart_26C" hidden="1">#REF!</definedName>
    <definedName name="___17__123Graph_AChart_27C" hidden="1">#REF!</definedName>
    <definedName name="___18__123Graph_AChart_2A" hidden="1">#REF!</definedName>
    <definedName name="___19__123Graph_AChart_3A" hidden="1">#REF!</definedName>
    <definedName name="___2__123Graph_AChart_11B" hidden="1">#REF!</definedName>
    <definedName name="___20__123Graph_AChart_4A" hidden="1">#REF!</definedName>
    <definedName name="___21__123Graph_AChart_5A" hidden="1">#REF!</definedName>
    <definedName name="___22__123Graph_AChart_6A" hidden="1">#REF!</definedName>
    <definedName name="___23__123Graph_AChart_7A" hidden="1">#REF!</definedName>
    <definedName name="___24__123Graph_AChart_8A" hidden="1">#REF!</definedName>
    <definedName name="___25__123Graph_AChart_9A" hidden="1">#REF!</definedName>
    <definedName name="___26__123Graph_BChart_12B" hidden="1">#REF!</definedName>
    <definedName name="___27__123Graph_BChart_13B" hidden="1">#REF!</definedName>
    <definedName name="___28__123Graph_BChart_16B" hidden="1">#REF!</definedName>
    <definedName name="___29__123Graph_BChart_17B" hidden="1">#REF!</definedName>
    <definedName name="___3__123Graph_AChart_12B" hidden="1">#REF!</definedName>
    <definedName name="___30__123Graph_BChart_18B" hidden="1">#REF!</definedName>
    <definedName name="___31__123Graph_BChart_21C" hidden="1">#REF!</definedName>
    <definedName name="___32__123Graph_BChart_22C" hidden="1">#REF!</definedName>
    <definedName name="___33__123Graph_BChart_23C" hidden="1">#REF!</definedName>
    <definedName name="___34__123Graph_BChart_24C" hidden="1">#REF!</definedName>
    <definedName name="___35__123Graph_BChart_25C" hidden="1">#REF!</definedName>
    <definedName name="___36__123Graph_BChart_26C" hidden="1">#REF!</definedName>
    <definedName name="___37__123Graph_BChart_27C" hidden="1">#REF!</definedName>
    <definedName name="___38__123Graph_BChart_3A" hidden="1">#REF!</definedName>
    <definedName name="___39__123Graph_BChart_4A" hidden="1">#REF!</definedName>
    <definedName name="___4__123Graph_AChart_13B" hidden="1">#REF!</definedName>
    <definedName name="___40__123Graph_BChart_5A" hidden="1">#REF!</definedName>
    <definedName name="___41__123Graph_BChart_6A" hidden="1">#REF!</definedName>
    <definedName name="___42__123Graph_BChart_7A" hidden="1">#REF!</definedName>
    <definedName name="___43__123Graph_BChart_8A" hidden="1">#REF!</definedName>
    <definedName name="___44__123Graph_BChart_9A" hidden="1">#REF!</definedName>
    <definedName name="___45__123Graph_CChart_13B" hidden="1">#REF!</definedName>
    <definedName name="___46__123Graph_CChart_16B" hidden="1">#REF!</definedName>
    <definedName name="___47__123Graph_CChart_17B" hidden="1">#REF!</definedName>
    <definedName name="___48__123Graph_CChart_22C" hidden="1">#REF!</definedName>
    <definedName name="___49__123Graph_CChart_23C" hidden="1">#REF!</definedName>
    <definedName name="___5__123Graph_AChart_16B" hidden="1">#REF!</definedName>
    <definedName name="___50__123Graph_CChart_24C" hidden="1">#REF!</definedName>
    <definedName name="___51__123Graph_CChart_25C" hidden="1">#REF!</definedName>
    <definedName name="___52__123Graph_CChart_26C" hidden="1">#REF!</definedName>
    <definedName name="___53__123Graph_CChart_4A" hidden="1">#REF!</definedName>
    <definedName name="___54__123Graph_CChart_5A" hidden="1">#REF!</definedName>
    <definedName name="___55__123Graph_CChart_6A" hidden="1">#REF!</definedName>
    <definedName name="___56__123Graph_CChart_7A" hidden="1">#REF!</definedName>
    <definedName name="___57__123Graph_CChart_8A" hidden="1">#REF!</definedName>
    <definedName name="___58__123Graph_DChart_13B" hidden="1">#REF!</definedName>
    <definedName name="___59__123Graph_DChart_16B" hidden="1">#REF!</definedName>
    <definedName name="___6__123Graph_AChart_17B" hidden="1">#REF!</definedName>
    <definedName name="___60__123Graph_DChart_17B" hidden="1">#REF!</definedName>
    <definedName name="___61__123Graph_DChart_22C" hidden="1">#REF!</definedName>
    <definedName name="___62__123Graph_DChart_23C" hidden="1">#REF!</definedName>
    <definedName name="___63__123Graph_DChart_24C" hidden="1">#REF!</definedName>
    <definedName name="___64__123Graph_DChart_25C" hidden="1">#REF!</definedName>
    <definedName name="___65__123Graph_DChart_26C" hidden="1">#REF!</definedName>
    <definedName name="___66__123Graph_DChart_4A" hidden="1">#REF!</definedName>
    <definedName name="___67__123Graph_DChart_5A" hidden="1">#REF!</definedName>
    <definedName name="___68__123Graph_DChart_6A" hidden="1">#REF!</definedName>
    <definedName name="___69__123Graph_DChart_7A" hidden="1">#REF!</definedName>
    <definedName name="___7__123Graph_AChart_18B" hidden="1">#REF!</definedName>
    <definedName name="___70__123Graph_DChart_8A" hidden="1">#REF!</definedName>
    <definedName name="___71__123Graph_XChart_10B" hidden="1">#REF!</definedName>
    <definedName name="___72__123Graph_XChart_11B" hidden="1">#REF!</definedName>
    <definedName name="___73__123Graph_XChart_12B" hidden="1">#REF!</definedName>
    <definedName name="___74__123Graph_XChart_13B" hidden="1">#REF!</definedName>
    <definedName name="___75__123Graph_XChart_17B" hidden="1">#REF!</definedName>
    <definedName name="___76__123Graph_XChart_18B" hidden="1">#REF!</definedName>
    <definedName name="___77__123Graph_XChart_19C" hidden="1">#REF!</definedName>
    <definedName name="___78__123Graph_XChart_1A" hidden="1">#REF!</definedName>
    <definedName name="___79__123Graph_XChart_20C" hidden="1">#REF!</definedName>
    <definedName name="___8__123Graph_AChart_19C" hidden="1">#REF!</definedName>
    <definedName name="___80__123Graph_XChart_21C" hidden="1">#REF!</definedName>
    <definedName name="___81__123Graph_XChart_22C" hidden="1">#REF!</definedName>
    <definedName name="___82__123Graph_XChart_23C" hidden="1">#REF!</definedName>
    <definedName name="___83__123Graph_XChart_24C" hidden="1">#REF!</definedName>
    <definedName name="___84__123Graph_XChart_25C" hidden="1">#REF!</definedName>
    <definedName name="___85__123Graph_XChart_26C" hidden="1">#REF!</definedName>
    <definedName name="___86__123Graph_XChart_27C" hidden="1">#REF!</definedName>
    <definedName name="___87__123Graph_XChart_2A" hidden="1">#REF!</definedName>
    <definedName name="___88__123Graph_XChart_3A" hidden="1">#REF!</definedName>
    <definedName name="___89__123Graph_XChart_4A" hidden="1">#REF!</definedName>
    <definedName name="___9__123Graph_AChart_1A" hidden="1">#REF!</definedName>
    <definedName name="___90__123Graph_XChart_5A" hidden="1">#REF!</definedName>
    <definedName name="___91__123Graph_XChart_6A" hidden="1">#REF!</definedName>
    <definedName name="___92__123Graph_XChart_7A" hidden="1">#REF!</definedName>
    <definedName name="___93__123Graph_XChart_8A" hidden="1">#REF!</definedName>
    <definedName name="___94__123Graph_XChart_9A" hidden="1">#REF!</definedName>
    <definedName name="___ANA1" hidden="1">{#N/A,#N/A,TRUE,"EC COMM-t";#N/A,#N/A,TRUE,"EC PAR PDTS-t";#N/A,#N/A,TRUE,"EC MAT-t";#N/A,#N/A,TRUE,"SUIVI HAUSSES-t"}</definedName>
    <definedName name="___ana2" hidden="1">{#N/A,#N/A,TRUE,"EC COMM-t";#N/A,#N/A,TRUE,"EC PAR PDTS-t";#N/A,#N/A,TRUE,"EC MAT-t";#N/A,#N/A,TRUE,"SUIVI HAUSSES-t"}</definedName>
    <definedName name="___ana2222" hidden="1">{#N/A,#N/A,TRUE,"EC COMM-t";#N/A,#N/A,TRUE,"EC PAR PDTS-t";#N/A,#N/A,TRUE,"EC MAT-t";#N/A,#N/A,TRUE,"SUIVI HAUSSES-t"}</definedName>
    <definedName name="___B162" hidden="1">#REF!</definedName>
    <definedName name="___ECA1" hidden="1">{#N/A,#N/A,FALSE,"ANALYSE";#N/A,#N/A,FALSE,"PM VALEUR"}</definedName>
    <definedName name="___key2" hidden="1">#REF!</definedName>
    <definedName name="___LL1" hidden="1">{#N/A,#N/A,FALSE,"CNM BUDGET EVIAN";#N/A,#N/A,FALSE,"CNM BUDGET BA"}</definedName>
    <definedName name="___LL2" hidden="1">{"original",#N/A,TRUE,"flashcaneurope";"expeur",#N/A,TRUE,"EXPEUR";"ventesloceur",#N/A,TRUE,"VENTESLOCEUR";"candib",#N/A,TRUE,"flashcandib";"expedib",#N/A,TRUE,"EXPEDIB";"venteslocdib",#N/A,TRUE,"venteslocdib"}</definedName>
    <definedName name="___mds_description___" hidden="1">"Demo Template"</definedName>
    <definedName name="___mix2" hidden="1">{#N/A,#N/A,FALSE,"RES-MARQ-c";#N/A,#N/A,FALSE,"CLTS-GP-c";#N/A,#N/A,FALSE,"NOUV PDTS-c";#N/A,#N/A,FALSE,"CESSIONS GROUPE-c"}</definedName>
    <definedName name="___mix2_1" hidden="1">{#N/A,#N/A,FALSE,"RES-MARQ-c";#N/A,#N/A,FALSE,"CLTS-GP-c";#N/A,#N/A,FALSE,"NOUV PDTS-c";#N/A,#N/A,FALSE,"CESSIONS GROUPE-c"}</definedName>
    <definedName name="___mix2_2" hidden="1">{#N/A,#N/A,FALSE,"RES-MARQ-c";#N/A,#N/A,FALSE,"CLTS-GP-c";#N/A,#N/A,FALSE,"NOUV PDTS-c";#N/A,#N/A,FALSE,"CESSIONS GROUPE-c"}</definedName>
    <definedName name="___mix2_3" hidden="1">{#N/A,#N/A,FALSE,"RES-MARQ-c";#N/A,#N/A,FALSE,"CLTS-GP-c";#N/A,#N/A,FALSE,"NOUV PDTS-c";#N/A,#N/A,FALSE,"CESSIONS GROUPE-c"}</definedName>
    <definedName name="___mix2_4" hidden="1">{#N/A,#N/A,FALSE,"RES-MARQ-c";#N/A,#N/A,FALSE,"CLTS-GP-c";#N/A,#N/A,FALSE,"NOUV PDTS-c";#N/A,#N/A,FALSE,"CESSIONS GROUPE-c"}</definedName>
    <definedName name="___mix2_5" hidden="1">{#N/A,#N/A,FALSE,"RES-MARQ-c";#N/A,#N/A,FALSE,"CLTS-GP-c";#N/A,#N/A,FALSE,"NOUV PDTS-c";#N/A,#N/A,FALSE,"CESSIONS GROUPE-c"}</definedName>
    <definedName name="___o1" hidden="1">{"det (May)",#N/A,FALSE,"June";"sum (MAY YTD)",#N/A,FALSE,"June YTD"}</definedName>
    <definedName name="___ok1" hidden="1">#REF!</definedName>
    <definedName name="___ok2" hidden="1">#REF!</definedName>
    <definedName name="___ok3" hidden="1">#REF!</definedName>
    <definedName name="___s" hidden="1">#REF!()</definedName>
    <definedName name="___thinkcellH0MAAAAAAAAAAAAAPDrrg8v3ckCbJ4SW5upVqw" hidden="1">#REF!</definedName>
    <definedName name="___WR1" hidden="1">{#N/A,#N/A,FALSE,"ANALYSE";#N/A,#N/A,FALSE,"PM VALEUR"}</definedName>
    <definedName name="___xlfn.BAHTTEXT" hidden="1">#NAME?</definedName>
    <definedName name="__1__123Graph_AChart_10B" hidden="1">#REF!</definedName>
    <definedName name="__10__123Graph_AChart_20C" hidden="1">#REF!</definedName>
    <definedName name="__11__123Graph_AChart_21C" hidden="1">#REF!</definedName>
    <definedName name="__12__123Graph_AChart_22C" hidden="1">#REF!</definedName>
    <definedName name="__123Graph_A" hidden="1">#REF!</definedName>
    <definedName name="__123Graph_AAtual" hidden="1">#REF!</definedName>
    <definedName name="__123Graph_ACURRENT" hidden="1">#REF!</definedName>
    <definedName name="__123Graph_AGRAFIND" hidden="1">#REF!</definedName>
    <definedName name="__123Graph_AGRAFTOT" hidden="1">#REF!</definedName>
    <definedName name="__123Graph_AGRAPH1" hidden="1">#REF!</definedName>
    <definedName name="__123Graph_ASENS" hidden="1">#REF!</definedName>
    <definedName name="__123Graph_B" hidden="1">#REF!</definedName>
    <definedName name="__123Graph_BAtual" hidden="1">#REF!</definedName>
    <definedName name="__123Graph_BGRAFIND" hidden="1">#REF!</definedName>
    <definedName name="__123Graph_BGRAFTOT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GRAPH1" hidden="1">#REF!</definedName>
    <definedName name="__13__123Graph_AChart_23C" hidden="1">#REF!</definedName>
    <definedName name="__14__123Graph_AChart_24C" hidden="1">#REF!</definedName>
    <definedName name="__15__123Graph_AChart_25C" hidden="1">#REF!</definedName>
    <definedName name="__16__123Graph_AChart_26C" hidden="1">#REF!</definedName>
    <definedName name="__17__123Graph_AChart_27C" hidden="1">#REF!</definedName>
    <definedName name="__18__123Graph_AChart_2A" hidden="1">#REF!</definedName>
    <definedName name="__19__123Graph_AChart_3A" hidden="1">#REF!</definedName>
    <definedName name="__2__123Graph_AChart_11B" hidden="1">#REF!</definedName>
    <definedName name="__20__123Graph_AChart_4A" hidden="1">#REF!</definedName>
    <definedName name="__21__123Graph_AChart_5A" hidden="1">#REF!</definedName>
    <definedName name="__22__123Graph_AChart_6A" hidden="1">#REF!</definedName>
    <definedName name="__23__123Graph_AChart_7A" hidden="1">#REF!</definedName>
    <definedName name="__24__123Graph_AChart_8A" hidden="1">#REF!</definedName>
    <definedName name="__25__123Graph_AChart_9A" hidden="1">#REF!</definedName>
    <definedName name="__26__123Graph_BChart_12B" hidden="1">#REF!</definedName>
    <definedName name="__27__123Graph_BChart_13B" hidden="1">#REF!</definedName>
    <definedName name="__28__123Graph_BChart_16B" hidden="1">#REF!</definedName>
    <definedName name="__29__123Graph_BChart_17B" hidden="1">#REF!</definedName>
    <definedName name="__3__123Graph_AChart_12B" hidden="1">#REF!</definedName>
    <definedName name="__30__123Graph_BChart_18B" hidden="1">#REF!</definedName>
    <definedName name="__31__123Graph_BChart_21C" hidden="1">#REF!</definedName>
    <definedName name="__32__123Graph_BChart_22C" hidden="1">#REF!</definedName>
    <definedName name="__33__123Graph_BChart_23C" hidden="1">#REF!</definedName>
    <definedName name="__34__123Graph_BChart_24C" hidden="1">#REF!</definedName>
    <definedName name="__35__123Graph_BChart_25C" hidden="1">#REF!</definedName>
    <definedName name="__36__123Graph_BChart_26C" hidden="1">#REF!</definedName>
    <definedName name="__37__123Graph_BChart_27C" hidden="1">#REF!</definedName>
    <definedName name="__38__123Graph_BChart_3A" hidden="1">#REF!</definedName>
    <definedName name="__39__123Graph_BChart_4A" hidden="1">#REF!</definedName>
    <definedName name="__4__123Graph_AChart_13B" hidden="1">#REF!</definedName>
    <definedName name="__40__123Graph_BChart_5A" hidden="1">#REF!</definedName>
    <definedName name="__41__123Graph_BChart_6A" hidden="1">#REF!</definedName>
    <definedName name="__42__123Graph_BChart_7A" hidden="1">#REF!</definedName>
    <definedName name="__43__123Graph_BChart_8A" hidden="1">#REF!</definedName>
    <definedName name="__44__123Graph_BChart_9A" hidden="1">#REF!</definedName>
    <definedName name="__45__123Graph_CChart_13B" hidden="1">#REF!</definedName>
    <definedName name="__46__123Graph_CChart_16B" hidden="1">#REF!</definedName>
    <definedName name="__47__123Graph_CChart_17B" hidden="1">#REF!</definedName>
    <definedName name="__48__123Graph_CChart_22C" hidden="1">#REF!</definedName>
    <definedName name="__49__123Graph_CChart_23C" hidden="1">#REF!</definedName>
    <definedName name="__5__123Graph_AChart_16B" hidden="1">#REF!</definedName>
    <definedName name="__50__123Graph_CChart_24C" hidden="1">#REF!</definedName>
    <definedName name="__51__123Graph_CChart_25C" hidden="1">#REF!</definedName>
    <definedName name="__52__123Graph_CChart_26C" hidden="1">#REF!</definedName>
    <definedName name="__53__123Graph_CChart_4A" hidden="1">#REF!</definedName>
    <definedName name="__54__123Graph_CChart_5A" hidden="1">#REF!</definedName>
    <definedName name="__55__123Graph_CChart_6A" hidden="1">#REF!</definedName>
    <definedName name="__56__123Graph_CChart_7A" hidden="1">#REF!</definedName>
    <definedName name="__57__123Graph_CChart_8A" hidden="1">#REF!</definedName>
    <definedName name="__58__123Graph_DChart_13B" hidden="1">#REF!</definedName>
    <definedName name="__59__123Graph_DChart_16B" hidden="1">#REF!</definedName>
    <definedName name="__6__123Graph_AChart_17B" hidden="1">#REF!</definedName>
    <definedName name="__60__123Graph_DChart_17B" hidden="1">#REF!</definedName>
    <definedName name="__61__123Graph_DChart_22C" hidden="1">#REF!</definedName>
    <definedName name="__62__123Graph_DChart_23C" hidden="1">#REF!</definedName>
    <definedName name="__63__123Graph_DChart_24C" hidden="1">#REF!</definedName>
    <definedName name="__64__123Graph_DChart_25C" hidden="1">#REF!</definedName>
    <definedName name="__65__123Graph_DChart_26C" hidden="1">#REF!</definedName>
    <definedName name="__66__123Graph_DChart_4A" hidden="1">#REF!</definedName>
    <definedName name="__67__123Graph_DChart_5A" hidden="1">#REF!</definedName>
    <definedName name="__68__123Graph_DChart_6A" hidden="1">#REF!</definedName>
    <definedName name="__69__123Graph_DChart_7A" hidden="1">#REF!</definedName>
    <definedName name="__7__123Graph_AChart_18B" hidden="1">#REF!</definedName>
    <definedName name="__70__123Graph_DChart_8A" hidden="1">#REF!</definedName>
    <definedName name="__71__123Graph_XChart_10B" hidden="1">#REF!</definedName>
    <definedName name="__72__123Graph_XChart_11B" hidden="1">#REF!</definedName>
    <definedName name="__73__123Graph_XChart_12B" hidden="1">#REF!</definedName>
    <definedName name="__74__123Graph_XChart_13B" hidden="1">#REF!</definedName>
    <definedName name="__75__123Graph_XChart_17B" hidden="1">#REF!</definedName>
    <definedName name="__76__123Graph_XChart_18B" hidden="1">#REF!</definedName>
    <definedName name="__77__123Graph_XChart_19C" hidden="1">#REF!</definedName>
    <definedName name="__78__123Graph_XChart_1A" hidden="1">#REF!</definedName>
    <definedName name="__79__123Graph_XChart_20C" hidden="1">#REF!</definedName>
    <definedName name="__8__123Graph_AChart_19C" hidden="1">#REF!</definedName>
    <definedName name="__80__123Graph_XChart_21C" hidden="1">#REF!</definedName>
    <definedName name="__81__123Graph_XChart_22C" hidden="1">#REF!</definedName>
    <definedName name="__82__123Graph_XChart_23C" hidden="1">#REF!</definedName>
    <definedName name="__83__123Graph_XChart_24C" hidden="1">#REF!</definedName>
    <definedName name="__84__123Graph_XChart_25C" hidden="1">#REF!</definedName>
    <definedName name="__85__123Graph_XChart_26C" hidden="1">#REF!</definedName>
    <definedName name="__86__123Graph_XChart_27C" hidden="1">#REF!</definedName>
    <definedName name="__87__123Graph_XChart_2A" hidden="1">#REF!</definedName>
    <definedName name="__88__123Graph_XChart_3A" hidden="1">#REF!</definedName>
    <definedName name="__89__123Graph_XChart_4A" hidden="1">#REF!</definedName>
    <definedName name="__9__123Graph_AChart_1A" hidden="1">#REF!</definedName>
    <definedName name="__90__123Graph_XChart_5A" hidden="1">#REF!</definedName>
    <definedName name="__91__123Graph_XChart_6A" hidden="1">#REF!</definedName>
    <definedName name="__92__123Graph_XChart_7A" hidden="1">#REF!</definedName>
    <definedName name="__93__123Graph_XChart_8A" hidden="1">#REF!</definedName>
    <definedName name="__94__123Graph_XChart_9A" hidden="1">#REF!</definedName>
    <definedName name="__ANA1" hidden="1">{#N/A,#N/A,TRUE,"EC COMM-t";#N/A,#N/A,TRUE,"EC PAR PDTS-t";#N/A,#N/A,TRUE,"EC MAT-t";#N/A,#N/A,TRUE,"SUIVI HAUSSES-t"}</definedName>
    <definedName name="__ana2" hidden="1">{#N/A,#N/A,TRUE,"EC COMM-t";#N/A,#N/A,TRUE,"EC PAR PDTS-t";#N/A,#N/A,TRUE,"EC MAT-t";#N/A,#N/A,TRUE,"SUIVI HAUSSES-t"}</definedName>
    <definedName name="__ana2222" hidden="1">{#N/A,#N/A,TRUE,"EC COMM-t";#N/A,#N/A,TRUE,"EC PAR PDTS-t";#N/A,#N/A,TRUE,"EC MAT-t";#N/A,#N/A,TRUE,"SUIVI HAUSSES-t"}</definedName>
    <definedName name="__as1" hidden="1">{"comp1",#N/A,FALSE,"COMPS";"footnotes",#N/A,FALSE,"COMPS"}</definedName>
    <definedName name="__B162" hidden="1">#REF!</definedName>
    <definedName name="__DCF1" hidden="1">{#N/A,#N/A,FALSE,"Operations";#N/A,#N/A,FALSE,"Financials"}</definedName>
    <definedName name="__dfd1" hidden="1">{"comp1",#N/A,FALSE,"COMPS";"footnotes",#N/A,FALSE,"COMPS"}</definedName>
    <definedName name="__ECA1" hidden="1">{#N/A,#N/A,FALSE,"ANALYSE";#N/A,#N/A,FALSE,"PM VALEUR"}</definedName>
    <definedName name="__edp1" hidden="1">{"assumption 50 50",#N/A,TRUE,"Merger";"has gets cash",#N/A,TRUE,"Merger";"accretion dilution",#N/A,TRUE,"Merger";"comparison credit stats",#N/A,TRUE,"Merger";"pf credit stats",#N/A,TRUE,"Merger";"pf sheets",#N/A,TRUE,"Merger"}</definedName>
    <definedName name="__eyr1" hidden="1">{"hiden",#N/A,FALSE,"14";"hidden",#N/A,FALSE,"16";"hidden",#N/A,FALSE,"18";"hidden",#N/A,FALSE,"20"}</definedName>
    <definedName name="__f1" hidden="1">{"assumption cash",#N/A,TRUE,"Merger";"has gets cash",#N/A,TRUE,"Merger";"accretion dilution",#N/A,TRUE,"Merger";"comparison credit stats",#N/A,TRUE,"Merger";"pf credit stats",#N/A,TRUE,"Merger";"pf sheets",#N/A,TRUE,"Merger"}</definedName>
    <definedName name="__FDS_HYPERLINK_TOGGLE_STATE__" hidden="1">"ON"</definedName>
    <definedName name="__FDS_UNIQUE_RANGE_ID_GENERATOR_COUNTER" hidden="1">40</definedName>
    <definedName name="__fds2" hidden="1">{"comps",#N/A,FALSE,"comps";"notes",#N/A,FALSE,"comps"}</definedName>
    <definedName name="__ggf1" hidden="1">{"comps",#N/A,FALSE,"comps";"notes",#N/A,FALSE,"comps"}</definedName>
    <definedName name="__GR3" hidden="1">{"Informes",#N/A,FALSE,"CA";"Informes",#N/A,FALSE,"CN";"Informes",#N/A,FALSE,"INVERSIONES";"Informes",#N/A,FALSE,"CN Oficial";"Informes",#N/A,FALSE,"CA Oficial";"Informes",#N/A,FALSE,"Res Datos Areas"}</definedName>
    <definedName name="__i76666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__ik1" hidden="1">{"casespecific",#N/A,FALSE,"Assumptions"}</definedName>
    <definedName name="__IntlFixup" hidden="1">TRUE</definedName>
    <definedName name="__jje4444" hidden="1">{#N/A,#N/A,FALSE,"ACTIVITE-c";#N/A,#N/A,FALSE,"RESEAU-c";#N/A,#N/A,FALSE,"BASE-c"}</definedName>
    <definedName name="__key2" hidden="1">#REF!</definedName>
    <definedName name="__kol1" hidden="1">{"away stand alones",#N/A,FALSE,"Target"}</definedName>
    <definedName name="__LL1" hidden="1">{#N/A,#N/A,FALSE,"CNM BUDGET EVIAN";#N/A,#N/A,FALSE,"CNM BUDGET BA"}</definedName>
    <definedName name="__LL2" hidden="1">{"original",#N/A,TRUE,"flashcaneurope";"expeur",#N/A,TRUE,"EXPEUR";"ventesloceur",#N/A,TRUE,"VENTESLOCEUR";"candib",#N/A,TRUE,"flashcandib";"expedib",#N/A,TRUE,"EXPEDIB";"venteslocdib",#N/A,TRUE,"venteslocdib"}</definedName>
    <definedName name="__mix2" hidden="1">{#N/A,#N/A,FALSE,"RES-MARQ-c";#N/A,#N/A,FALSE,"CLTS-GP-c";#N/A,#N/A,FALSE,"NOUV PDTS-c";#N/A,#N/A,FALSE,"CESSIONS GROUPE-c"}</definedName>
    <definedName name="__mix2_1" hidden="1">{#N/A,#N/A,FALSE,"RES-MARQ-c";#N/A,#N/A,FALSE,"CLTS-GP-c";#N/A,#N/A,FALSE,"NOUV PDTS-c";#N/A,#N/A,FALSE,"CESSIONS GROUPE-c"}</definedName>
    <definedName name="__mix2_2" hidden="1">{#N/A,#N/A,FALSE,"RES-MARQ-c";#N/A,#N/A,FALSE,"CLTS-GP-c";#N/A,#N/A,FALSE,"NOUV PDTS-c";#N/A,#N/A,FALSE,"CESSIONS GROUPE-c"}</definedName>
    <definedName name="__mix2_3" hidden="1">{#N/A,#N/A,FALSE,"RES-MARQ-c";#N/A,#N/A,FALSE,"CLTS-GP-c";#N/A,#N/A,FALSE,"NOUV PDTS-c";#N/A,#N/A,FALSE,"CESSIONS GROUPE-c"}</definedName>
    <definedName name="__mix2_4" hidden="1">{#N/A,#N/A,FALSE,"RES-MARQ-c";#N/A,#N/A,FALSE,"CLTS-GP-c";#N/A,#N/A,FALSE,"NOUV PDTS-c";#N/A,#N/A,FALSE,"CESSIONS GROUPE-c"}</definedName>
    <definedName name="__mix2_5" hidden="1">{#N/A,#N/A,FALSE,"RES-MARQ-c";#N/A,#N/A,FALSE,"CLTS-GP-c";#N/A,#N/A,FALSE,"NOUV PDTS-c";#N/A,#N/A,FALSE,"CESSIONS GROUPE-c"}</definedName>
    <definedName name="__o1" hidden="1">{"det (May)",#N/A,FALSE,"June";"sum (MAY YTD)",#N/A,FALSE,"June YTD"}</definedName>
    <definedName name="__Oct06" hidden="1">{#N/A,#N/A,FALSE,"Planning";#N/A,#N/A,FALSE,"Réalisé";#N/A,#N/A,FALSE,"Suivi"}</definedName>
    <definedName name="__ok1" hidden="1">#REF!</definedName>
    <definedName name="__ok10" hidden="1">{#N/A,#N/A,FALSE,"Calc";#N/A,#N/A,FALSE,"Sensitivity";#N/A,#N/A,FALSE,"LT Earn.Dil.";#N/A,#N/A,FALSE,"Dil. AVP"}</definedName>
    <definedName name="__ok1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ok2" hidden="1">#REF!</definedName>
    <definedName name="__ok3" hidden="1">#REF!</definedName>
    <definedName name="__oku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__po1" hidden="1">{#N/A,#N/A,FALSE,"Calc";#N/A,#N/A,FALSE,"Sensitivity";#N/A,#N/A,FALSE,"LT Earn.Dil.";#N/A,#N/A,FALSE,"Dil. AVP"}</definedName>
    <definedName name="__poi1" hidden="1">{"assumption 50 50",#N/A,TRUE,"Merger";"has gets cash",#N/A,TRUE,"Merger";"accretion dilution",#N/A,TRUE,"Merger";"comparison credit stats",#N/A,TRUE,"Merger";"pf credit stats",#N/A,TRUE,"Merger";"pf sheets",#N/A,TRUE,"Merger"}</definedName>
    <definedName name="__rty1" hidden="1">{#N/A,#N/A,TRUE,"Pro Forma";#N/A,#N/A,TRUE,"PF_Bal";#N/A,#N/A,TRUE,"PF_INC";#N/A,#N/A,TRUE,"CBE";#N/A,#N/A,TRUE,"SWK"}</definedName>
    <definedName name="__s" hidden="1">#REF!()</definedName>
    <definedName name="__sht555" hidden="1">{#N/A,#N/A,TRUE,"SYNTHESE-t";#N/A,#N/A,TRUE,"PUB-t";#N/A,#N/A,TRUE,"OP CONSO-t";#N/A,#N/A,TRUE,"REFERENCTS-t";#N/A,#N/A,TRUE,"ETUDES MKG-t";#N/A,#N/A,TRUE,"PACKAGING-t";#N/A,#N/A,TRUE,"DIR COM-t";#N/A,#N/A,TRUE,"MEDIA-t"}</definedName>
    <definedName name="__t5" hidden="1">{#N/A,#N/A,FALSE,"ACTIVITE-c";#N/A,#N/A,FALSE,"RESEAU-c";#N/A,#N/A,FALSE,"BASE-c"}</definedName>
    <definedName name="__uk7888" hidden="1">{"original",#N/A,TRUE,"flashcaneurope";"expeur",#N/A,TRUE,"EXPEUR";"ventesloceur",#N/A,TRUE,"VENTESLOCEUR";"candib",#N/A,TRUE,"flashcandib";"expedib",#N/A,TRUE,"EXPEDIB";"venteslocdib",#N/A,TRUE,"venteslocdib"}</definedName>
    <definedName name="__we4444" hidden="1">{#N/A,#N/A,FALSE,"ACTIVITE-c";#N/A,#N/A,FALSE,"RESEAU-c";#N/A,#N/A,FALSE,"BASE-c"}</definedName>
    <definedName name="__WR1" hidden="1">{#N/A,#N/A,FALSE,"ANALYSE";#N/A,#N/A,FALSE,"PM VALEUR"}</definedName>
    <definedName name="__wrn2" hidden="1">{"casespecific",#N/A,FALSE,"Assumptions"}</definedName>
    <definedName name="__wrn3" hidden="1">{"comps",#N/A,FALSE,"comps";"notes",#N/A,FALSE,"comps"}</definedName>
    <definedName name="__wrn4" hidden="1">{"general",#N/A,FALSE,"Assumptions"}</definedName>
    <definedName name="__xlfn.BAHTTEXT" hidden="1">#NAME?</definedName>
    <definedName name="__xlfn.IFERROR" hidden="1">#NAME?</definedName>
    <definedName name="_1___123Graph_AChart_10B" hidden="1">#REF!</definedName>
    <definedName name="_1__123Graph_ACHART_1" hidden="1">#REF!</definedName>
    <definedName name="_1__123Graph_AChart_10B" hidden="1">#REF!</definedName>
    <definedName name="_1__123Graph_BCHART_1" hidden="1">#REF!</definedName>
    <definedName name="_1__123Graph_BGráfico_1B" hidden="1">#REF!</definedName>
    <definedName name="_1__FDSAUDITLINK__" hidden="1">{"fdsup://IBCentral/FAT Viewer?action=UPDATE&amp;creator=factset&amp;DOC_NAME=fat:reuters_annual_source_window.fat&amp;display_string=Audit&amp;DYN_ARGS=TRUE&amp;VAR:ID1=738048&amp;VAR:RCODE=SCEX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0___123Graph_AChart_16B" hidden="1">#REF!</definedName>
    <definedName name="_10___123Graph_AChart_20C" hidden="1">#REF!</definedName>
    <definedName name="_10__123Graph_AChart_11B" hidden="1">#REF!</definedName>
    <definedName name="_10__123Graph_AChart_13B" hidden="1">#REF!</definedName>
    <definedName name="_10__123Graph_AChart_16B" hidden="1">#REF!</definedName>
    <definedName name="_10__123Graph_AChart_1A" hidden="1">#REF!</definedName>
    <definedName name="_10__123Graph_AChart_20C" hidden="1">#REF!</definedName>
    <definedName name="_10__123Graph_BGráfico_1G" hidden="1">#REF!</definedName>
    <definedName name="_10__123Graph_CGráfico_1B" hidden="1">#REF!</definedName>
    <definedName name="_10__123Graph_LBL_ACHART_1" hidden="1">#REF!</definedName>
    <definedName name="_10__FDSAUDITLINK__" hidden="1">{"fdsup://IBCentral/FAT Viewer?action=UPDATE&amp;creator=factset&amp;DOC_NAME=fat:reuters_annual_source_window.fat&amp;display_string=Audit&amp;DYN_ARGS=TRUE&amp;VAR:ID1=738048&amp;VAR:RCODE=EIBT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00__123Graph_AChart_17B" hidden="1">#REF!</definedName>
    <definedName name="_100__123Graph_AChart_4A" hidden="1">#REF!</definedName>
    <definedName name="_100__123Graph_AChart_9A" hidden="1">#REF!</definedName>
    <definedName name="_100__123Graph_CChart_23C" hidden="1">#REF!</definedName>
    <definedName name="_100__123Graph_CChart_24C" hidden="1">#REF!</definedName>
    <definedName name="_100__123Graph_EGráfico_1G" hidden="1">#REF!</definedName>
    <definedName name="_1000__123Graph_XChart_18B" hidden="1">#REF!</definedName>
    <definedName name="_1001__123Graph_XChart_19C" hidden="1">#REF!</definedName>
    <definedName name="_1002__123Graph_XChart_1A" hidden="1">#REF!</definedName>
    <definedName name="_1003__123Graph_XChart_20C" hidden="1">#REF!</definedName>
    <definedName name="_1004__123Graph_XChart_21C" hidden="1">#REF!</definedName>
    <definedName name="_1005__123Graph_DChart_5A" hidden="1">#REF!</definedName>
    <definedName name="_1005__123Graph_XChart_22C" hidden="1">#REF!</definedName>
    <definedName name="_1006__123Graph_XChart_23C" hidden="1">#REF!</definedName>
    <definedName name="_1007__123Graph_XChart_24C" hidden="1">#REF!</definedName>
    <definedName name="_1008__123Graph_XChart_25C" hidden="1">#REF!</definedName>
    <definedName name="_1009__123Graph_XChart_26C" hidden="1">#REF!</definedName>
    <definedName name="_101__123Graph_AChart_18B" hidden="1">#REF!</definedName>
    <definedName name="_101__123Graph_AChart_26C" hidden="1">#REF!</definedName>
    <definedName name="_101__123Graph_AChart_3A" hidden="1">#REF!</definedName>
    <definedName name="_101__123Graph_BChart_23C" hidden="1">#REF!</definedName>
    <definedName name="_101__123Graph_EGráfico_1H" hidden="1">#REF!</definedName>
    <definedName name="_1010__123Graph_XChart_27C" hidden="1">#REF!</definedName>
    <definedName name="_1011__123Graph_XChart_2A" hidden="1">#REF!</definedName>
    <definedName name="_1012__123Graph_XChart_3A" hidden="1">#REF!</definedName>
    <definedName name="_1013__123Graph_XChart_4A" hidden="1">#REF!</definedName>
    <definedName name="_1014__123Graph_XChart_5A" hidden="1">#REF!</definedName>
    <definedName name="_1015__123Graph_XChart_6A" hidden="1">#REF!</definedName>
    <definedName name="_1016__123Graph_XChart_7A" hidden="1">#REF!</definedName>
    <definedName name="_1017__123Graph_XChart_8A" hidden="1">#REF!</definedName>
    <definedName name="_1018__123Graph_XChart_9A" hidden="1">#REF!</definedName>
    <definedName name="_102__123Graph_AChart_19C" hidden="1">#REF!</definedName>
    <definedName name="_102__123Graph_AChart_27C" hidden="1">#REF!</definedName>
    <definedName name="_102__123Graph_BChart_24C" hidden="1">#REF!</definedName>
    <definedName name="_102__123Graph_CChart_24C" hidden="1">#REF!</definedName>
    <definedName name="_102__123Graph_CChart_25C" hidden="1">#REF!</definedName>
    <definedName name="_102__123Graph_XChart_10B" hidden="1">#REF!</definedName>
    <definedName name="_1020__123Graph_DChart_6A" hidden="1">#REF!</definedName>
    <definedName name="_1023__123Graph_BChart_22C" hidden="1">#REF!</definedName>
    <definedName name="_103__123Graph_AChart_1A" hidden="1">#REF!</definedName>
    <definedName name="_103__123Graph_AChart_4A" hidden="1">#REF!</definedName>
    <definedName name="_103__123Graph_XChart_11B" hidden="1">#REF!</definedName>
    <definedName name="_1035__123Graph_DChart_7A" hidden="1">#REF!</definedName>
    <definedName name="_104__123Graph_AChart_20C" hidden="1">#REF!</definedName>
    <definedName name="_104__123Graph_AChart_22C" hidden="1">#REF!</definedName>
    <definedName name="_104__123Graph_AChart_4A" hidden="1">#REF!</definedName>
    <definedName name="_104__123Graph_BChart_12B" hidden="1">#REF!</definedName>
    <definedName name="_104__123Graph_BChart_24C" hidden="1">#REF!</definedName>
    <definedName name="_104__123Graph_CChart_25C" hidden="1">#REF!</definedName>
    <definedName name="_104__123Graph_CChart_26C" hidden="1">#REF!</definedName>
    <definedName name="_104__123Graph_XChart_12B" hidden="1">#REF!</definedName>
    <definedName name="_105__123Graph_AChart_18B" hidden="1">#REF!</definedName>
    <definedName name="_105__123Graph_AChart_21C" hidden="1">#REF!</definedName>
    <definedName name="_105__123Graph_AChart_5A" hidden="1">#REF!</definedName>
    <definedName name="_105__123Graph_BChart_25C" hidden="1">#REF!</definedName>
    <definedName name="_105__123Graph_XChart_13B" hidden="1">#REF!</definedName>
    <definedName name="_1050__123Graph_DChart_8A" hidden="1">#REF!</definedName>
    <definedName name="_1051__123Graph_XChart_10B" hidden="1">#REF!</definedName>
    <definedName name="_1052__123Graph_XChart_11B" hidden="1">#REF!</definedName>
    <definedName name="_1053__123Graph_XChart_12B" hidden="1">#REF!</definedName>
    <definedName name="_1054__123Graph_BChart_23C" hidden="1">#REF!</definedName>
    <definedName name="_1054__123Graph_XChart_13B" hidden="1">#REF!</definedName>
    <definedName name="_1055__123Graph_XChart_17B" hidden="1">#REF!</definedName>
    <definedName name="_1056__123Graph_XChart_18B" hidden="1">#REF!</definedName>
    <definedName name="_1057__123Graph_XChart_19C" hidden="1">#REF!</definedName>
    <definedName name="_1058__123Graph_XChart_1A" hidden="1">#REF!</definedName>
    <definedName name="_1059__123Graph_XChart_20C" hidden="1">#REF!</definedName>
    <definedName name="_106__123Graph_AChart_10B" hidden="1">#REF!</definedName>
    <definedName name="_106__123Graph_AChart_22C" hidden="1">#REF!</definedName>
    <definedName name="_106__123Graph_AChart_4A" hidden="1">#REF!</definedName>
    <definedName name="_106__123Graph_CChart_26C" hidden="1">#REF!</definedName>
    <definedName name="_106__123Graph_CChart_4A" hidden="1">#REF!</definedName>
    <definedName name="_106__123Graph_XChart_17B" hidden="1">#REF!</definedName>
    <definedName name="_1060__123Graph_XChart_21C" hidden="1">#REF!</definedName>
    <definedName name="_1061__123Graph_XChart_22C" hidden="1">#REF!</definedName>
    <definedName name="_1062__123Graph_XChart_23C" hidden="1">#REF!</definedName>
    <definedName name="_1063__123Graph_XChart_24C" hidden="1">#REF!</definedName>
    <definedName name="_1064__123Graph_XChart_25C" hidden="1">#REF!</definedName>
    <definedName name="_1065__123Graph_XChart_26C" hidden="1">#REF!</definedName>
    <definedName name="_1066__123Graph_XChart_27C" hidden="1">#REF!</definedName>
    <definedName name="_1067__123Graph_XChart_2A" hidden="1">#REF!</definedName>
    <definedName name="_1068__123Graph_XChart_3A" hidden="1">#REF!</definedName>
    <definedName name="_1069__123Graph_XChart_4A" hidden="1">#REF!</definedName>
    <definedName name="_107__123Graph_AChart_20C" hidden="1">#REF!</definedName>
    <definedName name="_107__123Graph_AChart_23C" hidden="1">#REF!</definedName>
    <definedName name="_107__123Graph_AChart_27C" hidden="1">#REF!</definedName>
    <definedName name="_107__123Graph_BChart_25C" hidden="1">#REF!</definedName>
    <definedName name="_107__123Graph_XChart_18B" hidden="1">#REF!</definedName>
    <definedName name="_1070__123Graph_XChart_5A" hidden="1">#REF!</definedName>
    <definedName name="_1071__123Graph_XChart_6A" hidden="1">#REF!</definedName>
    <definedName name="_1072__123Graph_XChart_7A" hidden="1">#REF!</definedName>
    <definedName name="_1073__123Graph_XChart_8A" hidden="1">#REF!</definedName>
    <definedName name="_1074__123Graph_XChart_9A" hidden="1">#REF!</definedName>
    <definedName name="_108__123Graph_AChart_22C" hidden="1">#REF!</definedName>
    <definedName name="_108__123Graph_AChart_24C" hidden="1">#REF!</definedName>
    <definedName name="_108__123Graph_AChart_2A" hidden="1">#REF!</definedName>
    <definedName name="_108__123Graph_AChart_5A" hidden="1">#REF!</definedName>
    <definedName name="_108__123Graph_BChart_13B" hidden="1">#REF!</definedName>
    <definedName name="_108__123Graph_BChart_26C" hidden="1">#REF!</definedName>
    <definedName name="_108__123Graph_CChart_4A" hidden="1">#REF!</definedName>
    <definedName name="_108__123Graph_CChart_5A" hidden="1">#REF!</definedName>
    <definedName name="_108__123Graph_XChart_19C" hidden="1">#REF!</definedName>
    <definedName name="_1085__123Graph_BChart_24C" hidden="1">#REF!</definedName>
    <definedName name="_109__123Graph_AChart_25C" hidden="1">#REF!</definedName>
    <definedName name="_109__123Graph_AChart_5A" hidden="1">#REF!</definedName>
    <definedName name="_109__123Graph_XChart_1A" hidden="1">#REF!</definedName>
    <definedName name="_11___123Graph_AChart_17B" hidden="1">#REF!</definedName>
    <definedName name="_11___123Graph_AChart_21C" hidden="1">#REF!</definedName>
    <definedName name="_11__123Graph_AChart_10B" hidden="1">#REF!</definedName>
    <definedName name="_11__123Graph_AChart_12B" hidden="1">#REF!</definedName>
    <definedName name="_11__123Graph_AChart_20C" hidden="1">#REF!</definedName>
    <definedName name="_11__123Graph_AChart_21C" hidden="1">#REF!</definedName>
    <definedName name="_11__123Graph_BGráfico_1H" hidden="1">#REF!</definedName>
    <definedName name="_11__123Graph_CGráfico_1C" hidden="1">#REF!</definedName>
    <definedName name="_11__123Graph_LBL_ACHART_2" hidden="1">#REF!</definedName>
    <definedName name="_11__FDSAUDITLINK__" hidden="1">{"fdsup://IBCentral/FAT Viewer?action=UPDATE&amp;creator=factset&amp;DOC_NAME=fat:reuters_annual_source_window.fat&amp;display_string=Audit&amp;DYN_ARGS=TRUE&amp;VAR:ID1=738048&amp;VAR:RCODE=EIBT&amp;VAR:SDATE=20071299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10__123Graph_AChart_26C" hidden="1">#REF!</definedName>
    <definedName name="_110__123Graph_AChart_6A" hidden="1">#REF!</definedName>
    <definedName name="_110__123Graph_BChart_26C" hidden="1">#REF!</definedName>
    <definedName name="_110__123Graph_CChart_5A" hidden="1">#REF!</definedName>
    <definedName name="_110__123Graph_CChart_6A" hidden="1">#REF!</definedName>
    <definedName name="_110__123Graph_XChart_20C" hidden="1">#REF!</definedName>
    <definedName name="_111__123Graph_AChart_27C" hidden="1">#REF!</definedName>
    <definedName name="_111__123Graph_AChart_5A" hidden="1">#REF!</definedName>
    <definedName name="_111__123Graph_BChart_27C" hidden="1">#REF!</definedName>
    <definedName name="_111__123Graph_XChart_21C" hidden="1">#REF!</definedName>
    <definedName name="_1116__123Graph_BChart_25C" hidden="1">#REF!</definedName>
    <definedName name="_112__123Graph_AChart_18B" hidden="1">#REF!</definedName>
    <definedName name="_112__123Graph_AChart_23C" hidden="1">#REF!</definedName>
    <definedName name="_112__123Graph_AChart_2A" hidden="1">#REF!</definedName>
    <definedName name="_112__123Graph_BChart_16B" hidden="1">#REF!</definedName>
    <definedName name="_112__123Graph_CChart_6A" hidden="1">#REF!</definedName>
    <definedName name="_112__123Graph_CChart_7A" hidden="1">#REF!</definedName>
    <definedName name="_112__123Graph_XChart_22C" hidden="1">#REF!</definedName>
    <definedName name="_113__123Graph_AChart_11B" hidden="1">#REF!</definedName>
    <definedName name="_113__123Graph_AChart_2A" hidden="1">#REF!</definedName>
    <definedName name="_113__123Graph_AChart_3A" hidden="1">#REF!</definedName>
    <definedName name="_113__123Graph_AChart_6A" hidden="1">#REF!</definedName>
    <definedName name="_113__123Graph_BChart_27C" hidden="1">#REF!</definedName>
    <definedName name="_113__123Graph_XChart_23C" hidden="1">#REF!</definedName>
    <definedName name="_114__123Graph_AChart_22C" hidden="1">#REF!</definedName>
    <definedName name="_114__123Graph_AChart_3A" hidden="1">#REF!</definedName>
    <definedName name="_114__123Graph_AChart_4A" hidden="1">#REF!</definedName>
    <definedName name="_114__123Graph_AChart_6A" hidden="1">#REF!</definedName>
    <definedName name="_114__123Graph_BChart_3A" hidden="1">#REF!</definedName>
    <definedName name="_114__123Graph_CChart_7A" hidden="1">#REF!</definedName>
    <definedName name="_114__123Graph_CChart_8A" hidden="1">#REF!</definedName>
    <definedName name="_114__123Graph_XChart_24C" hidden="1">#REF!</definedName>
    <definedName name="_1147__123Graph_BChart_26C" hidden="1">#REF!</definedName>
    <definedName name="_115__123Graph_AChart_5A" hidden="1">#REF!</definedName>
    <definedName name="_115__123Graph_AChart_7A" hidden="1">#REF!</definedName>
    <definedName name="_115__123Graph_XChart_25C" hidden="1">#REF!</definedName>
    <definedName name="_116__123Graph_AChart_6A" hidden="1">#REF!</definedName>
    <definedName name="_116__123Graph_BChart_17B" hidden="1">#REF!</definedName>
    <definedName name="_116__123Graph_BChart_3A" hidden="1">#REF!</definedName>
    <definedName name="_116__123Graph_CChart_8A" hidden="1">#REF!</definedName>
    <definedName name="_116__123Graph_DChart_13B" hidden="1">#REF!</definedName>
    <definedName name="_116__123Graph_XChart_26C" hidden="1">#REF!</definedName>
    <definedName name="_117__123Graph_AChart_21C" hidden="1">#REF!</definedName>
    <definedName name="_117__123Graph_AChart_23C" hidden="1">#REF!</definedName>
    <definedName name="_117__123Graph_AChart_7A" hidden="1">#REF!</definedName>
    <definedName name="_117__123Graph_BChart_4A" hidden="1">#REF!</definedName>
    <definedName name="_117__123Graph_XChart_27C" hidden="1">#REF!</definedName>
    <definedName name="_1178__123Graph_BChart_27C" hidden="1">#REF!</definedName>
    <definedName name="_118__123Graph_AChart_7A" hidden="1">#REF!</definedName>
    <definedName name="_118__123Graph_AChart_8A" hidden="1">#REF!</definedName>
    <definedName name="_118__123Graph_DChart_13B" hidden="1">#REF!</definedName>
    <definedName name="_118__123Graph_DChart_16B" hidden="1">#REF!</definedName>
    <definedName name="_118__123Graph_XChart_2A" hidden="1">#REF!</definedName>
    <definedName name="_119__123Graph_AChart_3A" hidden="1">#REF!</definedName>
    <definedName name="_119__123Graph_AChart_7A" hidden="1">#REF!</definedName>
    <definedName name="_119__123Graph_AChart_9A" hidden="1">#REF!</definedName>
    <definedName name="_119__123Graph_BChart_4A" hidden="1">#REF!</definedName>
    <definedName name="_119__123Graph_XChart_3A" hidden="1">#REF!</definedName>
    <definedName name="_12___123Graph_AChart_18B" hidden="1">#REF!</definedName>
    <definedName name="_12___123Graph_AChart_22C" hidden="1">#REF!</definedName>
    <definedName name="_12__123Graph_AChart_11B" hidden="1">#REF!</definedName>
    <definedName name="_12__123Graph_AChart_12B" hidden="1">#REF!</definedName>
    <definedName name="_12__123Graph_AChart_13B" hidden="1">#REF!</definedName>
    <definedName name="_12__123Graph_AChart_16B" hidden="1">#REF!</definedName>
    <definedName name="_12__123Graph_AChart_17B" hidden="1">#REF!</definedName>
    <definedName name="_12__123Graph_AChart_21C" hidden="1">#REF!</definedName>
    <definedName name="_12__123Graph_AChart_22C" hidden="1">#REF!</definedName>
    <definedName name="_12__123Graph_BGráfico_1I" hidden="1">#REF!</definedName>
    <definedName name="_12__123Graph_CGráfico_1D" hidden="1">#REF!</definedName>
    <definedName name="_12__123Graph_LBL_ACHART_3" hidden="1">#REF!</definedName>
    <definedName name="_12__FDSAUDITLINK__" hidden="1">{"fdsup://IBCentral/FAT Viewer?action=UPDATE&amp;creator=factset&amp;DOC_NAME=fat:reuters_annual_source_window.fat&amp;display_string=Audit&amp;DYN_ARGS=TRUE&amp;VAR:ID1=738048&amp;VAR:RCODE=EIBT&amp;VAR:SDATE=20061299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20__123Graph_AChart_12B" hidden="1">#REF!</definedName>
    <definedName name="_120__123Graph_AChart_19C" hidden="1">#REF!</definedName>
    <definedName name="_120__123Graph_AChart_24C" hidden="1">#REF!</definedName>
    <definedName name="_120__123Graph_AChart_4A" hidden="1">#REF!</definedName>
    <definedName name="_120__123Graph_AChart_8A" hidden="1">#REF!</definedName>
    <definedName name="_120__123Graph_BChart_12B" hidden="1">#REF!</definedName>
    <definedName name="_120__123Graph_BChart_18B" hidden="1">#REF!</definedName>
    <definedName name="_120__123Graph_BChart_5A" hidden="1">#REF!</definedName>
    <definedName name="_120__123Graph_DChart_16B" hidden="1">#REF!</definedName>
    <definedName name="_120__123Graph_DChart_17B" hidden="1">#REF!</definedName>
    <definedName name="_120__123Graph_XChart_4A" hidden="1">#REF!</definedName>
    <definedName name="_1209__123Graph_BChart_3A" hidden="1">#REF!</definedName>
    <definedName name="_121__123Graph_AChart_7A" hidden="1">#REF!</definedName>
    <definedName name="_121__123Graph_BChart_13B" hidden="1">#REF!</definedName>
    <definedName name="_121__123Graph_XChart_5A" hidden="1">#REF!</definedName>
    <definedName name="_122__123Graph_BChart_16B" hidden="1">#REF!</definedName>
    <definedName name="_122__123Graph_BChart_5A" hidden="1">#REF!</definedName>
    <definedName name="_122__123Graph_DChart_17B" hidden="1">#REF!</definedName>
    <definedName name="_122__123Graph_DChart_22C" hidden="1">#REF!</definedName>
    <definedName name="_122__123Graph_XChart_6A" hidden="1">#REF!</definedName>
    <definedName name="_123__123Graph_AChart_23C" hidden="1">#REF!</definedName>
    <definedName name="_123__123Graph_AChart_8A" hidden="1">#REF!</definedName>
    <definedName name="_123__123Graph_BChart_17B" hidden="1">#REF!</definedName>
    <definedName name="_123__123Graph_BChart_6A" hidden="1">#REF!</definedName>
    <definedName name="_123__123Graph_XChart_7A" hidden="1">#REF!</definedName>
    <definedName name="_123123" hidden="1">#REF!</definedName>
    <definedName name="_124__123Graph_AChart_12B" hidden="1">#REF!</definedName>
    <definedName name="_124__123Graph_AChart_8A" hidden="1">#REF!</definedName>
    <definedName name="_124__123Graph_BChart_18B" hidden="1">#REF!</definedName>
    <definedName name="_124__123Graph_BChart_21C" hidden="1">#REF!</definedName>
    <definedName name="_124__123Graph_DChart_22C" hidden="1">#REF!</definedName>
    <definedName name="_124__123Graph_DChart_23C" hidden="1">#REF!</definedName>
    <definedName name="_124__123Graph_XChart_8A" hidden="1">#REF!</definedName>
    <definedName name="_1240__123Graph_BChart_4A" hidden="1">#REF!</definedName>
    <definedName name="_125__123Graph_AChart_4A" hidden="1">#REF!</definedName>
    <definedName name="_125__123Graph_AChart_9A" hidden="1">#REF!</definedName>
    <definedName name="_125__123Graph_BChart_21C" hidden="1">#REF!</definedName>
    <definedName name="_125__123Graph_BChart_6A" hidden="1">#REF!</definedName>
    <definedName name="_125__123Graph_XChart_9A" hidden="1">#REF!</definedName>
    <definedName name="_126__123Graph_AChart_19C" hidden="1">#REF!</definedName>
    <definedName name="_126__123Graph_AChart_24C" hidden="1">#REF!</definedName>
    <definedName name="_126__123Graph_AChart_5A" hidden="1">#REF!</definedName>
    <definedName name="_126__123Graph_AChart_8A" hidden="1">#REF!</definedName>
    <definedName name="_126__123Graph_BChart_22C" hidden="1">#REF!</definedName>
    <definedName name="_126__123Graph_BChart_7A" hidden="1">#REF!</definedName>
    <definedName name="_126__123Graph_DChart_23C" hidden="1">#REF!</definedName>
    <definedName name="_126__123Graph_DChart_24C" hidden="1">#REF!</definedName>
    <definedName name="_127__123Graph_AChart_13B" hidden="1">#REF!</definedName>
    <definedName name="_127__123Graph_AChart_22C" hidden="1">#REF!</definedName>
    <definedName name="_127__123Graph_BChart_23C" hidden="1">#REF!</definedName>
    <definedName name="_1271__123Graph_BChart_5A" hidden="1">#REF!</definedName>
    <definedName name="_128__123Graph_AChart_25C" hidden="1">#REF!</definedName>
    <definedName name="_128__123Graph_AChart_9A" hidden="1">#REF!</definedName>
    <definedName name="_128__123Graph_BChart_22C" hidden="1">#REF!</definedName>
    <definedName name="_128__123Graph_BChart_24C" hidden="1">#REF!</definedName>
    <definedName name="_128__123Graph_BChart_7A" hidden="1">#REF!</definedName>
    <definedName name="_128__123Graph_DChart_24C" hidden="1">#REF!</definedName>
    <definedName name="_128__123Graph_DChart_25C" hidden="1">#REF!</definedName>
    <definedName name="_129__123Graph_AChart_9A" hidden="1">#REF!</definedName>
    <definedName name="_129__123Graph_BChart_25C" hidden="1">#REF!</definedName>
    <definedName name="_129__123Graph_BChart_8A" hidden="1">#REF!</definedName>
    <definedName name="_13___123Graph_AChart_19C" hidden="1">#REF!</definedName>
    <definedName name="_13___123Graph_AChart_23C" hidden="1">#REF!</definedName>
    <definedName name="_13__123Graph_AChart_11B" hidden="1">#REF!</definedName>
    <definedName name="_13__123Graph_AChart_22C" hidden="1">#REF!</definedName>
    <definedName name="_13__123Graph_AChart_23C" hidden="1">#REF!</definedName>
    <definedName name="_13__123Graph_BGráfico_1J" hidden="1">#REF!</definedName>
    <definedName name="_13__123Graph_CGráfico_1E" hidden="1">#REF!</definedName>
    <definedName name="_13__123Graph_LBL_BCHART_3" hidden="1">#REF!</definedName>
    <definedName name="_13__FDSAUDITLINK__" hidden="1">{"fdsup://IBCentral/FAT Viewer?action=UPDATE&amp;creator=factset&amp;DOC_NAME=fat:reuters_annual_source_window.fat&amp;display_string=Audit&amp;DYN_ARGS=TRUE&amp;VAR:ID1=738048&amp;VAR:RCODE=FDSINTINCMNOP&amp;VAR:SDATE=20081299&amp;VAR:FREQ=Y&amp;VAR:RELITEM=RP&amp;VAR:CURRENCY=&amp;VAR:CURRSOURCE=EX","SHARE&amp;VAR:NATFREQ=ANNUAL&amp;VAR:RFIELD=FINALIZED&amp;VAR:DB_TYPE=&amp;VAR:UNITS=M&amp;window=popup&amp;width=450&amp;height=300&amp;START_MAXIMIZED=FALSE"}</definedName>
    <definedName name="_130__123Graph_BChart_12B" hidden="1">#REF!</definedName>
    <definedName name="_130__123Graph_BChart_26C" hidden="1">#REF!</definedName>
    <definedName name="_130__123Graph_DChart_25C" hidden="1">#REF!</definedName>
    <definedName name="_130__123Graph_DChart_26C" hidden="1">#REF!</definedName>
    <definedName name="_1302__123Graph_BChart_6A" hidden="1">#REF!</definedName>
    <definedName name="_131__123Graph_AChart_5A" hidden="1">#REF!</definedName>
    <definedName name="_131__123Graph_AChart_9A" hidden="1">#REF!</definedName>
    <definedName name="_131__123Graph_BChart_27C" hidden="1">#REF!</definedName>
    <definedName name="_131__123Graph_BChart_8A" hidden="1">#REF!</definedName>
    <definedName name="_132__123Graph_AChart_24C" hidden="1">#REF!</definedName>
    <definedName name="_132__123Graph_AChart_6A" hidden="1">#REF!</definedName>
    <definedName name="_132__123Graph_BChart_23C" hidden="1">#REF!</definedName>
    <definedName name="_132__123Graph_BChart_3A" hidden="1">#REF!</definedName>
    <definedName name="_132__123Graph_BChart_9A" hidden="1">#REF!</definedName>
    <definedName name="_132__123Graph_DChart_26C" hidden="1">#REF!</definedName>
    <definedName name="_132__123Graph_DChart_4A" hidden="1">#REF!</definedName>
    <definedName name="_133__123Graph_BChart_12B" hidden="1">#REF!</definedName>
    <definedName name="_133__123Graph_BChart_4A" hidden="1">#REF!</definedName>
    <definedName name="_1333__123Graph_BChart_7A" hidden="1">#REF!</definedName>
    <definedName name="_134__123Graph_AChart_16B" hidden="1">#REF!</definedName>
    <definedName name="_134__123Graph_BChart_12B" hidden="1">#REF!</definedName>
    <definedName name="_134__123Graph_BChart_5A" hidden="1">#REF!</definedName>
    <definedName name="_134__123Graph_BChart_9A" hidden="1">#REF!</definedName>
    <definedName name="_134__123Graph_DChart_4A" hidden="1">#REF!</definedName>
    <definedName name="_134__123Graph_DChart_5A" hidden="1">#REF!</definedName>
    <definedName name="_135__123Graph_AChart_1A" hidden="1">#REF!</definedName>
    <definedName name="_135__123Graph_AChart_25C" hidden="1">#REF!</definedName>
    <definedName name="_135__123Graph_BChart_13B" hidden="1">#REF!</definedName>
    <definedName name="_135__123Graph_BChart_6A" hidden="1">#REF!</definedName>
    <definedName name="_135__123Graph_CChart_13B" hidden="1">#REF!</definedName>
    <definedName name="_136__123Graph_AChart_26C" hidden="1">#REF!</definedName>
    <definedName name="_136__123Graph_BChart_12B" hidden="1">#REF!</definedName>
    <definedName name="_136__123Graph_BChart_24C" hidden="1">#REF!</definedName>
    <definedName name="_136__123Graph_BChart_7A" hidden="1">#REF!</definedName>
    <definedName name="_136__123Graph_DChart_5A" hidden="1">#REF!</definedName>
    <definedName name="_136__123Graph_DChart_6A" hidden="1">#REF!</definedName>
    <definedName name="_1364__123Graph_BChart_8A" hidden="1">#REF!</definedName>
    <definedName name="_137__123Graph_AChart_23C" hidden="1">#REF!</definedName>
    <definedName name="_137__123Graph_AChart_6A" hidden="1">#REF!</definedName>
    <definedName name="_137__123Graph_BChart_8A" hidden="1">#REF!</definedName>
    <definedName name="_137__123Graph_CChart_13B" hidden="1">#REF!</definedName>
    <definedName name="_138__123Graph_AChart_7A" hidden="1">#REF!</definedName>
    <definedName name="_138__123Graph_BChart_13B" hidden="1">#REF!</definedName>
    <definedName name="_138__123Graph_BChart_9A" hidden="1">#REF!</definedName>
    <definedName name="_138__123Graph_CChart_16B" hidden="1">#REF!</definedName>
    <definedName name="_138__123Graph_DChart_6A" hidden="1">#REF!</definedName>
    <definedName name="_138__123Graph_DChart_7A" hidden="1">#REF!</definedName>
    <definedName name="_139__123Graph_BChart_13B" hidden="1">#REF!</definedName>
    <definedName name="_139__123Graph_CChart_13B" hidden="1">#REF!</definedName>
    <definedName name="_1395__123Graph_BChart_9A" hidden="1">#REF!</definedName>
    <definedName name="_14___123Graph_AChart_1A" hidden="1">#REF!</definedName>
    <definedName name="_14___123Graph_AChart_24C" hidden="1">#REF!</definedName>
    <definedName name="_14__123Graph_AChart_11B" hidden="1">#REF!</definedName>
    <definedName name="_14__123Graph_AChart_13B" hidden="1">#REF!</definedName>
    <definedName name="_14__123Graph_AChart_17B" hidden="1">#REF!</definedName>
    <definedName name="_14__123Graph_AChart_18B" hidden="1">#REF!</definedName>
    <definedName name="_14__123Graph_AChart_23C" hidden="1">#REF!</definedName>
    <definedName name="_14__123Graph_AChart_24C" hidden="1">#REF!</definedName>
    <definedName name="_14__123Graph_CGráfico_1B" hidden="1">#REF!</definedName>
    <definedName name="_14__123Graph_CGráfico_1F" hidden="1">#REF!</definedName>
    <definedName name="_14__123Graph_LBL_DCHART_1" hidden="1">#REF!</definedName>
    <definedName name="_14__FDSAUDITLINK__" hidden="1">{"fdsup://IBCentral/FAT Viewer?action=UPDATE&amp;creator=factset&amp;DOC_NAME=fat:reuters_annual_source_window.fat&amp;display_string=Audit&amp;DYN_ARGS=TRUE&amp;VAR:ID1=738048&amp;VAR:RCODE=FDSINTINCMNOP&amp;VAR:SDATE=20071299&amp;VAR:FREQ=Y&amp;VAR:RELITEM=RP&amp;VAR:CURRENCY=&amp;VAR:CURRSOURCE=EX","SHARE&amp;VAR:NATFREQ=ANNUAL&amp;VAR:RFIELD=FINALIZED&amp;VAR:DB_TYPE=&amp;VAR:UNITS=M&amp;window=popup&amp;width=450&amp;height=300&amp;START_MAXIMIZED=FALSE"}</definedName>
    <definedName name="_140__123Graph_AChart_1A" hidden="1">#REF!</definedName>
    <definedName name="_140__123Graph_BChart_16B" hidden="1">#REF!</definedName>
    <definedName name="_140__123Graph_BChart_25C" hidden="1">#REF!</definedName>
    <definedName name="_140__123Graph_CChart_16B" hidden="1">#REF!</definedName>
    <definedName name="_140__123Graph_DChart_7A" hidden="1">#REF!</definedName>
    <definedName name="_140__123Graph_DChart_8A" hidden="1">#REF!</definedName>
    <definedName name="_141__123Graph_AChart_17B" hidden="1">#REF!</definedName>
    <definedName name="_141__123Graph_AChart_25C" hidden="1">#REF!</definedName>
    <definedName name="_141__123Graph_BChart_13B" hidden="1">#REF!</definedName>
    <definedName name="_141__123Graph_CChart_17B" hidden="1">#REF!</definedName>
    <definedName name="_141__123Graph_XChart_10B" hidden="1">#REF!</definedName>
    <definedName name="_142__123Graph_CChart_22C" hidden="1">#REF!</definedName>
    <definedName name="_142__123Graph_DChart_8A" hidden="1">#REF!</definedName>
    <definedName name="_142__123Graph_XChart_10B" hidden="1">#REF!</definedName>
    <definedName name="_142__123Graph_XChart_11B" hidden="1">#REF!</definedName>
    <definedName name="_1426__123Graph_CChart_13B" hidden="1">#REF!</definedName>
    <definedName name="_143__123Graph_AChart_7A" hidden="1">#REF!</definedName>
    <definedName name="_143__123Graph_BChart_16B" hidden="1">#REF!</definedName>
    <definedName name="_143__123Graph_CChart_17B" hidden="1">#REF!</definedName>
    <definedName name="_143__123Graph_CChart_23C" hidden="1">#REF!</definedName>
    <definedName name="_143__123Graph_XChart_10B" hidden="1">#REF!</definedName>
    <definedName name="_143__123Graph_XChart_12B" hidden="1">#REF!</definedName>
    <definedName name="_144__123Graph_AChart_26C" hidden="1">#REF!</definedName>
    <definedName name="_144__123Graph_AChart_27C" hidden="1">#REF!</definedName>
    <definedName name="_144__123Graph_AChart_8A" hidden="1">#REF!</definedName>
    <definedName name="_144__123Graph_BChart_16B" hidden="1">#REF!</definedName>
    <definedName name="_144__123Graph_BChart_26C" hidden="1">#REF!</definedName>
    <definedName name="_144__123Graph_CChart_22C" hidden="1">#REF!</definedName>
    <definedName name="_144__123Graph_CChart_24C" hidden="1">#REF!</definedName>
    <definedName name="_144__123Graph_XChart_11B" hidden="1">#REF!</definedName>
    <definedName name="_144__123Graph_XChart_13B" hidden="1">#REF!</definedName>
    <definedName name="_145__123Graph_BChart_17B" hidden="1">#REF!</definedName>
    <definedName name="_145__123Graph_CChart_25C" hidden="1">#REF!</definedName>
    <definedName name="_145__123Graph_XChart_12B" hidden="1">#REF!</definedName>
    <definedName name="_145__123Graph_XChart_17B" hidden="1">#REF!</definedName>
    <definedName name="_1457__123Graph_CChart_16B" hidden="1">#REF!</definedName>
    <definedName name="_146__123Graph_BChart_16B" hidden="1">#REF!</definedName>
    <definedName name="_146__123Graph_CChart_22C" hidden="1">#REF!</definedName>
    <definedName name="_146__123Graph_CChart_26C" hidden="1">#REF!</definedName>
    <definedName name="_146__123Graph_XChart_12B" hidden="1">#REF!</definedName>
    <definedName name="_146__123Graph_XChart_13B" hidden="1">#REF!</definedName>
    <definedName name="_146__123Graph_XChart_18B" hidden="1">#REF!</definedName>
    <definedName name="_147__123Graph_AChart_24C" hidden="1">#REF!</definedName>
    <definedName name="_147__123Graph_CChart_23C" hidden="1">#REF!</definedName>
    <definedName name="_147__123Graph_CChart_4A" hidden="1">#REF!</definedName>
    <definedName name="_147__123Graph_XChart_17B" hidden="1">#REF!</definedName>
    <definedName name="_147__123Graph_XChart_19C" hidden="1">#REF!</definedName>
    <definedName name="_148__123Graph_AChart_18B" hidden="1">#REF!</definedName>
    <definedName name="_148__123Graph_BChart_17B" hidden="1">#REF!</definedName>
    <definedName name="_148__123Graph_BChart_27C" hidden="1">#REF!</definedName>
    <definedName name="_148__123Graph_CChart_5A" hidden="1">#REF!</definedName>
    <definedName name="_148__123Graph_XChart_13B" hidden="1">#REF!</definedName>
    <definedName name="_148__123Graph_XChart_18B" hidden="1">#REF!</definedName>
    <definedName name="_148__123Graph_XChart_1A" hidden="1">#REF!</definedName>
    <definedName name="_1488__123Graph_CChart_17B" hidden="1">#REF!</definedName>
    <definedName name="_149__123Graph_AChart_8A" hidden="1">#REF!</definedName>
    <definedName name="_149__123Graph_BChart_17B" hidden="1">#REF!</definedName>
    <definedName name="_149__123Graph_CChart_23C" hidden="1">#REF!</definedName>
    <definedName name="_149__123Graph_CChart_6A" hidden="1">#REF!</definedName>
    <definedName name="_149__123Graph_XChart_19C" hidden="1">#REF!</definedName>
    <definedName name="_149__123Graph_XChart_1A" hidden="1">#REF!</definedName>
    <definedName name="_149__123Graph_XChart_20C" hidden="1">#REF!</definedName>
    <definedName name="_15___123Graph_AChart_20C" hidden="1">#REF!</definedName>
    <definedName name="_15___123Graph_AChart_25C" hidden="1">#REF!</definedName>
    <definedName name="_15__123Graph_AChart_10B" hidden="1">#REF!</definedName>
    <definedName name="_15__123Graph_AChart_12B" hidden="1">#REF!</definedName>
    <definedName name="_15__123Graph_AChart_16B" hidden="1">#REF!</definedName>
    <definedName name="_15__123Graph_AChart_24C" hidden="1">#REF!</definedName>
    <definedName name="_15__123Graph_AChart_25C" hidden="1">#REF!</definedName>
    <definedName name="_15__123Graph_BGráfico_1B" hidden="1">#REF!</definedName>
    <definedName name="_15__123Graph_CGráfico_1C" hidden="1">#REF!</definedName>
    <definedName name="_15__123Graph_CGráfico_1G" hidden="1">#REF!</definedName>
    <definedName name="_15__123Graph_LBL_DCHART_2" hidden="1">#REF!</definedName>
    <definedName name="_15__FDSAUDITLINK__" hidden="1">{"fdsup://IBCentral/FAT Viewer?action=UPDATE&amp;creator=factset&amp;DOC_NAME=fat:reuters_annual_source_window.fat&amp;display_string=Audit&amp;DYN_ARGS=TRUE&amp;VAR:ID1=738048&amp;VAR:RCODE=FDSINTINCMNOP&amp;VAR:SDATE=20061299&amp;VAR:FREQ=Y&amp;VAR:RELITEM=RP&amp;VAR:CURRENCY=&amp;VAR:CURRSOURCE=EX","SHARE&amp;VAR:NATFREQ=ANNUAL&amp;VAR:RFIELD=FINALIZED&amp;VAR:DB_TYPE=&amp;VAR:UNITS=M&amp;window=popup&amp;width=450&amp;height=300&amp;START_MAXIMIZED=FALSE"}</definedName>
    <definedName name="_15_212213Grapghfd" hidden="1">#REF!</definedName>
    <definedName name="_150__123Graph_AChart_20C" hidden="1">#REF!</definedName>
    <definedName name="_150__123Graph_AChart_26C" hidden="1">#REF!</definedName>
    <definedName name="_150__123Graph_AChart_9A" hidden="1">#REF!</definedName>
    <definedName name="_150__123Graph_BChart_18B" hidden="1">#REF!</definedName>
    <definedName name="_150__123Graph_CChart_24C" hidden="1">#REF!</definedName>
    <definedName name="_150__123Graph_CChart_7A" hidden="1">#REF!</definedName>
    <definedName name="_150__123Graph_XChart_17B" hidden="1">#REF!</definedName>
    <definedName name="_150__123Graph_XChart_1A" hidden="1">#REF!</definedName>
    <definedName name="_150__123Graph_XChart_21C" hidden="1">#REF!</definedName>
    <definedName name="_151__123Graph_BChart_17B" hidden="1">#REF!</definedName>
    <definedName name="_151__123Graph_CChart_8A" hidden="1">#REF!</definedName>
    <definedName name="_151__123Graph_XChart_20C" hidden="1">#REF!</definedName>
    <definedName name="_151__123Graph_XChart_22C" hidden="1">#REF!</definedName>
    <definedName name="_1519__123Graph_CChart_22C" hidden="1">#REF!</definedName>
    <definedName name="_152__123Graph_AChart_2A" hidden="1">#REF!</definedName>
    <definedName name="_152__123Graph_BChart_3A" hidden="1">#REF!</definedName>
    <definedName name="_152__123Graph_CChart_24C" hidden="1">#REF!</definedName>
    <definedName name="_152__123Graph_DChart_13B" hidden="1">#REF!</definedName>
    <definedName name="_152__123Graph_XChart_18B" hidden="1">#REF!</definedName>
    <definedName name="_152__123Graph_XChart_21C" hidden="1">#REF!</definedName>
    <definedName name="_152__123Graph_XChart_23C" hidden="1">#REF!</definedName>
    <definedName name="_153__123Graph_AChart_27C" hidden="1">#REF!</definedName>
    <definedName name="_153__123Graph_BChart_18B" hidden="1">#REF!</definedName>
    <definedName name="_153__123Graph_CChart_25C" hidden="1">#REF!</definedName>
    <definedName name="_153__123Graph_DChart_16B" hidden="1">#REF!</definedName>
    <definedName name="_153__123Graph_XChart_22C" hidden="1">#REF!</definedName>
    <definedName name="_153__123Graph_XChart_24C" hidden="1">#REF!</definedName>
    <definedName name="_154__123Graph_AChart_20C" hidden="1">#REF!</definedName>
    <definedName name="_154__123Graph_BChart_18B" hidden="1">#REF!</definedName>
    <definedName name="_154__123Graph_DChart_17B" hidden="1">#REF!</definedName>
    <definedName name="_154__123Graph_XChart_19C" hidden="1">#REF!</definedName>
    <definedName name="_154__123Graph_XChart_23C" hidden="1">#REF!</definedName>
    <definedName name="_154__123Graph_XChart_25C" hidden="1">#REF!</definedName>
    <definedName name="_155__123Graph_AChart_13B" hidden="1">#REF!</definedName>
    <definedName name="_155__123Graph_AChart_19C" hidden="1">#REF!</definedName>
    <definedName name="_155__123Graph_AChart_9A" hidden="1">#REF!</definedName>
    <definedName name="_155__123Graph_BChart_21C" hidden="1">#REF!</definedName>
    <definedName name="_155__123Graph_CChart_25C" hidden="1">#REF!</definedName>
    <definedName name="_155__123Graph_DChart_22C" hidden="1">#REF!</definedName>
    <definedName name="_155__123Graph_XChart_24C" hidden="1">#REF!</definedName>
    <definedName name="_155__123Graph_XChart_26C" hidden="1">#REF!</definedName>
    <definedName name="_1550__123Graph_CChart_23C" hidden="1">#REF!</definedName>
    <definedName name="_156__123Graph_BChart_12B" hidden="1">#REF!</definedName>
    <definedName name="_156__123Graph_BChart_18B" hidden="1">#REF!</definedName>
    <definedName name="_156__123Graph_BChart_4A" hidden="1">#REF!</definedName>
    <definedName name="_156__123Graph_CChart_26C" hidden="1">#REF!</definedName>
    <definedName name="_156__123Graph_DChart_23C" hidden="1">#REF!</definedName>
    <definedName name="_156__123Graph_XChart_1A" hidden="1">#REF!</definedName>
    <definedName name="_156__123Graph_XChart_25C" hidden="1">#REF!</definedName>
    <definedName name="_156__123Graph_XChart_27C" hidden="1">#REF!</definedName>
    <definedName name="_157__123Graph_AChart_25C" hidden="1">#REF!</definedName>
    <definedName name="_157__123Graph_DChart_24C" hidden="1">#REF!</definedName>
    <definedName name="_157__123Graph_XChart_26C" hidden="1">#REF!</definedName>
    <definedName name="_157__123Graph_XChart_27C" hidden="1">#REF!</definedName>
    <definedName name="_157__123Graph_XChart_2A" hidden="1">#REF!</definedName>
    <definedName name="_158__123Graph_BChart_21C" hidden="1">#REF!</definedName>
    <definedName name="_158__123Graph_CChart_26C" hidden="1">#REF!</definedName>
    <definedName name="_158__123Graph_DChart_25C" hidden="1">#REF!</definedName>
    <definedName name="_158__123Graph_XChart_20C" hidden="1">#REF!</definedName>
    <definedName name="_158__123Graph_XChart_27C" hidden="1">#REF!</definedName>
    <definedName name="_158__123Graph_XChart_2A" hidden="1">#REF!</definedName>
    <definedName name="_158__123Graph_XChart_3A" hidden="1">#REF!</definedName>
    <definedName name="_1581__123Graph_CChart_24C" hidden="1">#REF!</definedName>
    <definedName name="_159__123Graph_AChart_27C" hidden="1">#REF!</definedName>
    <definedName name="_159__123Graph_BChart_21C" hidden="1">#REF!</definedName>
    <definedName name="_159__123Graph_CChart_4A" hidden="1">#REF!</definedName>
    <definedName name="_159__123Graph_DChart_26C" hidden="1">#REF!</definedName>
    <definedName name="_159__123Graph_XChart_2A" hidden="1">#REF!</definedName>
    <definedName name="_159__123Graph_XChart_3A" hidden="1">#REF!</definedName>
    <definedName name="_159__123Graph_XChart_4A" hidden="1">#REF!</definedName>
    <definedName name="_16___123Graph_AChart_21C" hidden="1">#REF!</definedName>
    <definedName name="_16___123Graph_AChart_26C" hidden="1">#REF!</definedName>
    <definedName name="_16__123Graph_AChart_10B" hidden="1">#REF!</definedName>
    <definedName name="_16__123Graph_AChart_11B" hidden="1">#REF!</definedName>
    <definedName name="_16__123Graph_AChart_13B" hidden="1">#REF!</definedName>
    <definedName name="_16__123Graph_AChart_18B" hidden="1">#REF!</definedName>
    <definedName name="_16__123Graph_AChart_19C" hidden="1">#REF!</definedName>
    <definedName name="_16__123Graph_AChart_25C" hidden="1">#REF!</definedName>
    <definedName name="_16__123Graph_AChart_26C" hidden="1">#REF!</definedName>
    <definedName name="_16__123Graph_BGráfico_1C" hidden="1">#REF!</definedName>
    <definedName name="_16__123Graph_CGráfico_1D" hidden="1">#REF!</definedName>
    <definedName name="_16__123Graph_CGráfico_1H" hidden="1">#REF!</definedName>
    <definedName name="_16__123Graph_XCHART_2" hidden="1">#REF!</definedName>
    <definedName name="_16__FDSAUDITLINK__" hidden="1">{"fdsup://IBCentral/FAT Viewer?action=UPDATE&amp;creator=factset&amp;DOC_NAME=fat:reuters_annual_source_window.fat&amp;display_string=Audit&amp;DYN_ARGS=TRUE&amp;VAR:ID1=738048&amp;VAR:RCODE=FDSINTEXPTOTAL&amp;VAR:SDATE=20081299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160__123Graph_AChart_3A" hidden="1">#REF!</definedName>
    <definedName name="_160__123Graph_BChart_22C" hidden="1">#REF!</definedName>
    <definedName name="_160__123Graph_BChart_5A" hidden="1">#REF!</definedName>
    <definedName name="_160__123Graph_DChart_4A" hidden="1">#REF!</definedName>
    <definedName name="_160__123Graph_XChart_21C" hidden="1">#REF!</definedName>
    <definedName name="_160__123Graph_XChart_3A" hidden="1">#REF!</definedName>
    <definedName name="_160__123Graph_XChart_5A" hidden="1">#REF!</definedName>
    <definedName name="_161__123Graph_BChart_12B" hidden="1">#REF!</definedName>
    <definedName name="_161__123Graph_BChart_21C" hidden="1">#REF!</definedName>
    <definedName name="_161__123Graph_CChart_4A" hidden="1">#REF!</definedName>
    <definedName name="_161__123Graph_DChart_5A" hidden="1">#REF!</definedName>
    <definedName name="_161__123Graph_XChart_4A" hidden="1">#REF!</definedName>
    <definedName name="_161__123Graph_XChart_6A" hidden="1">#REF!</definedName>
    <definedName name="_1612__123Graph_CChart_25C" hidden="1">#REF!</definedName>
    <definedName name="_162__123Graph_AChart_1A" hidden="1">#REF!</definedName>
    <definedName name="_162__123Graph_AChart_2A" hidden="1">#REF!</definedName>
    <definedName name="_162__123Graph_BChart_13B" hidden="1">#REF!</definedName>
    <definedName name="_162__123Graph_CChart_5A" hidden="1">#REF!</definedName>
    <definedName name="_162__123Graph_DChart_6A" hidden="1">#REF!</definedName>
    <definedName name="_162__123Graph_XChart_22C" hidden="1">#REF!</definedName>
    <definedName name="_162__123Graph_XChart_5A" hidden="1">#REF!</definedName>
    <definedName name="_162__123Graph_XChart_7A" hidden="1">#REF!</definedName>
    <definedName name="_163__123Graph_BChart_22C" hidden="1">#REF!</definedName>
    <definedName name="_163__123Graph_DChart_7A" hidden="1">#REF!</definedName>
    <definedName name="_163__123Graph_XChart_6A" hidden="1">#REF!</definedName>
    <definedName name="_163__123Graph_XChart_8A" hidden="1">#REF!</definedName>
    <definedName name="_164__123Graph_BChart_22C" hidden="1">#REF!</definedName>
    <definedName name="_164__123Graph_BChart_6A" hidden="1">#REF!</definedName>
    <definedName name="_164__123Graph_CChart_5A" hidden="1">#REF!</definedName>
    <definedName name="_164__123Graph_DChart_8A" hidden="1">#REF!</definedName>
    <definedName name="_164__123Graph_XChart_23C" hidden="1">#REF!</definedName>
    <definedName name="_164__123Graph_XChart_7A" hidden="1">#REF!</definedName>
    <definedName name="_164__123Graph_XChart_9A" hidden="1">#REF!</definedName>
    <definedName name="_1643__123Graph_CChart_26C" hidden="1">#REF!</definedName>
    <definedName name="_165__123Graph_AChart_21C" hidden="1">#REF!</definedName>
    <definedName name="_165__123Graph_BChart_23C" hidden="1">#REF!</definedName>
    <definedName name="_165__123Graph_CChart_6A" hidden="1">#REF!</definedName>
    <definedName name="_165__123Graph_XChart_10B" hidden="1">#REF!</definedName>
    <definedName name="_165__123Graph_XChart_8A" hidden="1">#REF!</definedName>
    <definedName name="_166__123Graph_BChart_22C" hidden="1">#REF!</definedName>
    <definedName name="_166__123Graph_XChart_11B" hidden="1">#REF!</definedName>
    <definedName name="_166__123Graph_XChart_24C" hidden="1">#REF!</definedName>
    <definedName name="_166__123Graph_XChart_9A" hidden="1">#REF!</definedName>
    <definedName name="_167__123Graph_AChart_26C" hidden="1">#REF!</definedName>
    <definedName name="_167__123Graph_BChart_13B" hidden="1">#REF!</definedName>
    <definedName name="_167__123Graph_CChart_6A" hidden="1">#REF!</definedName>
    <definedName name="_167__123Graph_XChart_12B" hidden="1">#REF!</definedName>
    <definedName name="_1674__123Graph_CChart_4A" hidden="1">#REF!</definedName>
    <definedName name="_168__123Graph_AChart_21C" hidden="1">#REF!</definedName>
    <definedName name="_168__123Graph_AChart_2A" hidden="1">#REF!</definedName>
    <definedName name="_168__123Graph_AChart_4A" hidden="1">#REF!</definedName>
    <definedName name="_168__123Graph_BChart_16B" hidden="1">#REF!</definedName>
    <definedName name="_168__123Graph_BChart_23C" hidden="1">#REF!</definedName>
    <definedName name="_168__123Graph_BChart_7A" hidden="1">#REF!</definedName>
    <definedName name="_168__123Graph_CChart_7A" hidden="1">#REF!</definedName>
    <definedName name="_168__123Graph_XChart_13B" hidden="1">#REF!</definedName>
    <definedName name="_168__123Graph_XChart_25C" hidden="1">#REF!</definedName>
    <definedName name="_169__123Graph_AChart_20C" hidden="1">#REF!</definedName>
    <definedName name="_169__123Graph_BChart_23C" hidden="1">#REF!</definedName>
    <definedName name="_169__123Graph_XChart_17B" hidden="1">#REF!</definedName>
    <definedName name="_17___123Graph_AChart_22C" hidden="1">#REF!</definedName>
    <definedName name="_17___123Graph_AChart_27C" hidden="1">#REF!</definedName>
    <definedName name="_17__123Graph_AChart_10B" hidden="1">#REF!</definedName>
    <definedName name="_17__123Graph_AChart_11B" hidden="1">#REF!</definedName>
    <definedName name="_17__123Graph_AChart_16B" hidden="1">#REF!</definedName>
    <definedName name="_17__123Graph_AChart_26C" hidden="1">#REF!</definedName>
    <definedName name="_17__123Graph_AChart_27C" hidden="1">#REF!</definedName>
    <definedName name="_17__123Graph_BGráfico_1D" hidden="1">#REF!</definedName>
    <definedName name="_17__123Graph_CGráfico_1E" hidden="1">#REF!</definedName>
    <definedName name="_17__123Graph_DGráfico_1B" hidden="1">#REF!</definedName>
    <definedName name="_17__123Graph_XCHART_3" hidden="1">#REF!</definedName>
    <definedName name="_17__FDSAUDITLINK__" hidden="1">{"fdsup://IBCentral/FAT Viewer?action=UPDATE&amp;creator=factset&amp;DOC_NAME=fat:reuters_annual_source_window.fat&amp;display_string=Audit&amp;DYN_ARGS=TRUE&amp;VAR:ID1=738048&amp;VAR:RCODE=FDSINTEXPTOTAL&amp;VAR:SDATE=20071299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170__123Graph_BChart_24C" hidden="1">#REF!</definedName>
    <definedName name="_170__123Graph_CChart_7A" hidden="1">#REF!</definedName>
    <definedName name="_170__123Graph_XChart_18B" hidden="1">#REF!</definedName>
    <definedName name="_170__123Graph_XChart_26C" hidden="1">#REF!</definedName>
    <definedName name="_1705__123Graph_CChart_5A" hidden="1">#REF!</definedName>
    <definedName name="_171__123Graph_AChart_3A" hidden="1">#REF!</definedName>
    <definedName name="_171__123Graph_BChart_23C" hidden="1">#REF!</definedName>
    <definedName name="_171__123Graph_CChart_8A" hidden="1">#REF!</definedName>
    <definedName name="_171__123Graph_XChart_19C" hidden="1">#REF!</definedName>
    <definedName name="_172__123Graph_BChart_8A" hidden="1">#REF!</definedName>
    <definedName name="_172__123Graph_XChart_1A" hidden="1">#REF!</definedName>
    <definedName name="_172__123Graph_XChart_27C" hidden="1">#REF!</definedName>
    <definedName name="_173__123Graph_BChart_16B" hidden="1">#REF!</definedName>
    <definedName name="_173__123Graph_BChart_24C" hidden="1">#REF!</definedName>
    <definedName name="_173__123Graph_CChart_8A" hidden="1">#REF!</definedName>
    <definedName name="_173__123Graph_XChart_20C" hidden="1">#REF!</definedName>
    <definedName name="_1736__123Graph_CChart_6A" hidden="1">#REF!</definedName>
    <definedName name="_174__123Graph_BChart_17B" hidden="1">#REF!</definedName>
    <definedName name="_174__123Graph_BChart_24C" hidden="1">#REF!</definedName>
    <definedName name="_174__123Graph_DChart_13B" hidden="1">#REF!</definedName>
    <definedName name="_174__123Graph_XChart_21C" hidden="1">#REF!</definedName>
    <definedName name="_174__123Graph_XChart_2A" hidden="1">#REF!</definedName>
    <definedName name="_175__123Graph_BChart_25C" hidden="1">#REF!</definedName>
    <definedName name="_175__123Graph_XChart_22C" hidden="1">#REF!</definedName>
    <definedName name="_176__123Graph_AChart_21C" hidden="1">#REF!</definedName>
    <definedName name="_176__123Graph_AChart_5A" hidden="1">#REF!</definedName>
    <definedName name="_176__123Graph_BChart_24C" hidden="1">#REF!</definedName>
    <definedName name="_176__123Graph_BChart_9A" hidden="1">#REF!</definedName>
    <definedName name="_176__123Graph_DChart_13B" hidden="1">#REF!</definedName>
    <definedName name="_176__123Graph_XChart_23C" hidden="1">#REF!</definedName>
    <definedName name="_176__123Graph_XChart_3A" hidden="1">#REF!</definedName>
    <definedName name="_1767__123Graph_CChart_7A" hidden="1">#REF!</definedName>
    <definedName name="_177__123Graph_AChart_27C" hidden="1">#REF!</definedName>
    <definedName name="_177__123Graph_AChart_3A" hidden="1">#REF!</definedName>
    <definedName name="_177__123Graph_DChart_16B" hidden="1">#REF!</definedName>
    <definedName name="_177__123Graph_XChart_24C" hidden="1">#REF!</definedName>
    <definedName name="_178__123Graph_BChart_25C" hidden="1">#REF!</definedName>
    <definedName name="_178__123Graph_XChart_25C" hidden="1">#REF!</definedName>
    <definedName name="_178__123Graph_XChart_4A" hidden="1">#REF!</definedName>
    <definedName name="_179__123Graph_BChart_17B" hidden="1">#REF!</definedName>
    <definedName name="_179__123Graph_BChart_25C" hidden="1">#REF!</definedName>
    <definedName name="_179__123Graph_DChart_16B" hidden="1">#REF!</definedName>
    <definedName name="_179__123Graph_XChart_26C" hidden="1">#REF!</definedName>
    <definedName name="_1798__123Graph_CChart_8A" hidden="1">#REF!</definedName>
    <definedName name="_18___123Graph_AChart_23C" hidden="1">#REF!</definedName>
    <definedName name="_18___123Graph_AChart_2A" hidden="1">#REF!</definedName>
    <definedName name="_18__123Graph_AChart_11B" hidden="1">#REF!</definedName>
    <definedName name="_18__123Graph_AChart_12B" hidden="1">#REF!</definedName>
    <definedName name="_18__123Graph_AChart_17B" hidden="1">#REF!</definedName>
    <definedName name="_18__123Graph_AChart_19C" hidden="1">#REF!</definedName>
    <definedName name="_18__123Graph_AChart_1A" hidden="1">#REF!</definedName>
    <definedName name="_18__123Graph_AChart_27C" hidden="1">#REF!</definedName>
    <definedName name="_18__123Graph_AChart_2A" hidden="1">#REF!</definedName>
    <definedName name="_18__123Graph_BGráfico_1E" hidden="1">#REF!</definedName>
    <definedName name="_18__123Graph_CGráfico_1F" hidden="1">#REF!</definedName>
    <definedName name="_18__123Graph_DGráfico_1C" hidden="1">#REF!</definedName>
    <definedName name="_18__FDSAUDITLINK__" hidden="1">{"fdsup://IBCentral/FAT Viewer?action=UPDATE&amp;creator=factset&amp;DOC_NAME=fat:reuters_annual_source_window.fat&amp;display_string=Audit&amp;DYN_ARGS=TRUE&amp;VAR:ID1=738048&amp;VAR:RCODE=FDSINTEXPTOTAL&amp;VAR:SDATE=20061299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180__123Graph_AChart_22C" hidden="1">#REF!</definedName>
    <definedName name="_180__123Graph_AChart_4A" hidden="1">#REF!</definedName>
    <definedName name="_180__123Graph_BChart_18B" hidden="1">#REF!</definedName>
    <definedName name="_180__123Graph_BChart_26C" hidden="1">#REF!</definedName>
    <definedName name="_180__123Graph_CChart_13B" hidden="1">#REF!</definedName>
    <definedName name="_180__123Graph_DChart_17B" hidden="1">#REF!</definedName>
    <definedName name="_180__123Graph_XChart_27C" hidden="1">#REF!</definedName>
    <definedName name="_180__123Graph_XChart_5A" hidden="1">#REF!</definedName>
    <definedName name="_181__123Graph_BChart_25C" hidden="1">#REF!</definedName>
    <definedName name="_181__123Graph_XChart_2A" hidden="1">#REF!</definedName>
    <definedName name="_182__123Graph_AChart_22C" hidden="1">#REF!</definedName>
    <definedName name="_182__123Graph_DChart_17B" hidden="1">#REF!</definedName>
    <definedName name="_182__123Graph_XChart_3A" hidden="1">#REF!</definedName>
    <definedName name="_182__123Graph_XChart_6A" hidden="1">#REF!</definedName>
    <definedName name="_1829__123Graph_DChart_13B" hidden="1">#REF!</definedName>
    <definedName name="_183__123Graph_AChart_22C" hidden="1">#REF!</definedName>
    <definedName name="_183__123Graph_BChart_26C" hidden="1">#REF!</definedName>
    <definedName name="_183__123Graph_DChart_22C" hidden="1">#REF!</definedName>
    <definedName name="_183__123Graph_XChart_4A" hidden="1">#REF!</definedName>
    <definedName name="_184__123Graph_AChart_6A" hidden="1">#REF!</definedName>
    <definedName name="_184__123Graph_BChart_26C" hidden="1">#REF!</definedName>
    <definedName name="_184__123Graph_CChart_16B" hidden="1">#REF!</definedName>
    <definedName name="_184__123Graph_XChart_5A" hidden="1">#REF!</definedName>
    <definedName name="_184__123Graph_XChart_7A" hidden="1">#REF!</definedName>
    <definedName name="_185__123Graph_BChart_18B" hidden="1">#REF!</definedName>
    <definedName name="_185__123Graph_BChart_27C" hidden="1">#REF!</definedName>
    <definedName name="_185__123Graph_DChart_22C" hidden="1">#REF!</definedName>
    <definedName name="_185__123Graph_XChart_6A" hidden="1">#REF!</definedName>
    <definedName name="_186__123Graph_AChart_16B" hidden="1">#REF!</definedName>
    <definedName name="_186__123Graph_AChart_4A" hidden="1">#REF!</definedName>
    <definedName name="_186__123Graph_BChart_21C" hidden="1">#REF!</definedName>
    <definedName name="_186__123Graph_BChart_26C" hidden="1">#REF!</definedName>
    <definedName name="_186__123Graph_DChart_23C" hidden="1">#REF!</definedName>
    <definedName name="_186__123Graph_XChart_7A" hidden="1">#REF!</definedName>
    <definedName name="_186__123Graph_XChart_8A" hidden="1">#REF!</definedName>
    <definedName name="_1860__123Graph_DChart_16B" hidden="1">#REF!</definedName>
    <definedName name="_187__123Graph_AChart_2A" hidden="1">#REF!</definedName>
    <definedName name="_187__123Graph_XChart_8A" hidden="1">#REF!</definedName>
    <definedName name="_188__123Graph_BChart_27C" hidden="1">#REF!</definedName>
    <definedName name="_188__123Graph_CChart_17B" hidden="1">#REF!</definedName>
    <definedName name="_188__123Graph_DChart_23C" hidden="1">#REF!</definedName>
    <definedName name="_188__123Graph_XChart_9A" hidden="1">#REF!</definedName>
    <definedName name="_189__123Graph_AChart_5A" hidden="1">#REF!</definedName>
    <definedName name="_189__123Graph_BChart_27C" hidden="1">#REF!</definedName>
    <definedName name="_189__123Graph_DChart_24C" hidden="1">#REF!</definedName>
    <definedName name="_1891__123Graph_DChart_17B" hidden="1">#REF!</definedName>
    <definedName name="_19___123Graph_AChart_24C" hidden="1">#REF!</definedName>
    <definedName name="_19___123Graph_AChart_3A" hidden="1">#REF!</definedName>
    <definedName name="_19__123Graph_AChart_12B" hidden="1">#REF!</definedName>
    <definedName name="_19__123Graph_AChart_2A" hidden="1">#REF!</definedName>
    <definedName name="_19__123Graph_AChart_3A" hidden="1">#REF!</definedName>
    <definedName name="_19__123Graph_BGráfico_1F" hidden="1">#REF!</definedName>
    <definedName name="_19__123Graph_CGráfico_1G" hidden="1">#REF!</definedName>
    <definedName name="_19__123Graph_DGráfico_1D" hidden="1">#REF!</definedName>
    <definedName name="_19__FDSAUDITLINK__" hidden="1">{"fdsup://IBCentral/FAT Viewer?action=UPDATE&amp;creator=factset&amp;DOC_NAME=fat:reuters_annual_source_window.fat&amp;display_string=Audit&amp;DYN_ARGS=TRUE&amp;VAR:ID1=738048&amp;VAR:RCODE=SINN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90__123Graph_AChart_23C" hidden="1">#REF!</definedName>
    <definedName name="_190__123Graph_BChart_3A" hidden="1">#REF!</definedName>
    <definedName name="_191__123Graph_BChart_21C" hidden="1">#REF!</definedName>
    <definedName name="_191__123Graph_BChart_27C" hidden="1">#REF!</definedName>
    <definedName name="_191__123Graph_DChart_24C" hidden="1">#REF!</definedName>
    <definedName name="_192__123Graph_AChart_7A" hidden="1">#REF!</definedName>
    <definedName name="_192__123Graph_BChart_22C" hidden="1">#REF!</definedName>
    <definedName name="_192__123Graph_CChart_22C" hidden="1">#REF!</definedName>
    <definedName name="_192__123Graph_DChart_25C" hidden="1">#REF!</definedName>
    <definedName name="_1922__123Graph_DChart_22C" hidden="1">#REF!</definedName>
    <definedName name="_193__123Graph_BChart_3A" hidden="1">#REF!</definedName>
    <definedName name="_194__123Graph_BChart_3A" hidden="1">#REF!</definedName>
    <definedName name="_194__123Graph_DChart_25C" hidden="1">#REF!</definedName>
    <definedName name="_195__123Graph_AChart_23C" hidden="1">#REF!</definedName>
    <definedName name="_195__123Graph_AChart_5A" hidden="1">#REF!</definedName>
    <definedName name="_195__123Graph_BChart_4A" hidden="1">#REF!</definedName>
    <definedName name="_195__123Graph_DChart_26C" hidden="1">#REF!</definedName>
    <definedName name="_1953__123Graph_DChart_23C" hidden="1">#REF!</definedName>
    <definedName name="_196__123Graph_AChart_23C" hidden="1">#REF!</definedName>
    <definedName name="_196__123Graph_BChart_3A" hidden="1">#REF!</definedName>
    <definedName name="_196__123Graph_CChart_23C" hidden="1">#REF!</definedName>
    <definedName name="_197__123Graph_AChart_24C" hidden="1">#REF!</definedName>
    <definedName name="_197__123Graph_AChart_3A" hidden="1">#REF!</definedName>
    <definedName name="_197__123Graph_BChart_22C" hidden="1">#REF!</definedName>
    <definedName name="_197__123Graph_DChart_26C" hidden="1">#REF!</definedName>
    <definedName name="_198__123Graph_AChart_6A" hidden="1">#REF!</definedName>
    <definedName name="_198__123Graph_BChart_23C" hidden="1">#REF!</definedName>
    <definedName name="_198__123Graph_BChart_4A" hidden="1">#REF!</definedName>
    <definedName name="_198__123Graph_DChart_4A" hidden="1">#REF!</definedName>
    <definedName name="_1984__123Graph_DChart_24C" hidden="1">#REF!</definedName>
    <definedName name="_199__123Graph_BChart_4A" hidden="1">#REF!</definedName>
    <definedName name="_2___123Graph_AChart_11B" hidden="1">#REF!</definedName>
    <definedName name="_2__123Graph_AChart_10B" hidden="1">#REF!</definedName>
    <definedName name="_2__123Graph_AChart_11B" hidden="1">#REF!</definedName>
    <definedName name="_2__123Graph_ACHART_2" hidden="1">#REF!</definedName>
    <definedName name="_2__123Graph_ACHART_4" hidden="1">#REF!</definedName>
    <definedName name="_2__123Graph_BCHART_2" hidden="1">#REF!</definedName>
    <definedName name="_2__123Graph_BGráfico_1C" hidden="1">#REF!</definedName>
    <definedName name="_2__FDSAUDITLINK__" hidden="1">{"fdsup://IBCentral/FAT Viewer?action=UPDATE&amp;creator=factset&amp;DOC_NAME=fat:reuters_annual_source_window.fat&amp;display_string=Audit&amp;DYN_ARGS=TRUE&amp;VAR:ID1=738048&amp;VAR:RCODE=SCEX&amp;VAR:SDATE=20071299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20___123Graph_AChart_25C" hidden="1">#REF!</definedName>
    <definedName name="_20___123Graph_AChart_4A" hidden="1">#REF!</definedName>
    <definedName name="_20__123Graph_AChart_13B" hidden="1">#REF!</definedName>
    <definedName name="_20__123Graph_AChart_16B" hidden="1">#REF!</definedName>
    <definedName name="_20__123Graph_AChart_17B" hidden="1">#REF!</definedName>
    <definedName name="_20__123Graph_AChart_1A" hidden="1">#REF!</definedName>
    <definedName name="_20__123Graph_AChart_20C" hidden="1">#REF!</definedName>
    <definedName name="_20__123Graph_AChart_3A" hidden="1">#REF!</definedName>
    <definedName name="_20__123Graph_AChart_4A" hidden="1">#REF!</definedName>
    <definedName name="_20__123Graph_BGráfico_1G" hidden="1">#REF!</definedName>
    <definedName name="_20__123Graph_CGráfico_1H" hidden="1">#REF!</definedName>
    <definedName name="_20__123Graph_DGráfico_1E" hidden="1">#REF!</definedName>
    <definedName name="_20__FDSAUDITLINK__" hidden="1">{"fdsup://IBCentral/FAT Viewer?action=UPDATE&amp;creator=factset&amp;DOC_NAME=fat:reuters_annual_source_window.fat&amp;display_string=Audit&amp;DYN_ARGS=TRUE&amp;VAR:ID1=738048&amp;VAR:RCODE=SINN&amp;VAR:SDATE=20071299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200__123Graph_AChart_8A" hidden="1">#REF!</definedName>
    <definedName name="_200__123Graph_BChart_5A" hidden="1">#REF!</definedName>
    <definedName name="_200__123Graph_CChart_24C" hidden="1">#REF!</definedName>
    <definedName name="_200__123Graph_DChart_4A" hidden="1">#REF!</definedName>
    <definedName name="_201__123Graph_BChart_4A" hidden="1">#REF!</definedName>
    <definedName name="_201__123Graph_BChart_4B" hidden="1">#REF!</definedName>
    <definedName name="_201__123Graph_DChart_5A" hidden="1">#REF!</definedName>
    <definedName name="_2015__123Graph_DChart_25C" hidden="1">#REF!</definedName>
    <definedName name="_203__123Graph_BChart_23C" hidden="1">#REF!</definedName>
    <definedName name="_203__123Graph_BChart_5A" hidden="1">#REF!</definedName>
    <definedName name="_203__123Graph_DChart_5A" hidden="1">#REF!</definedName>
    <definedName name="_204__123Graph_AChart_25C" hidden="1">#REF!</definedName>
    <definedName name="_204__123Graph_AChart_6A" hidden="1">#REF!</definedName>
    <definedName name="_204__123Graph_BChart_24C" hidden="1">#REF!</definedName>
    <definedName name="_204__123Graph_BChart_5A" hidden="1">#REF!</definedName>
    <definedName name="_204__123Graph_CChart_25C" hidden="1">#REF!</definedName>
    <definedName name="_204__123Graph_DChart_6A" hidden="1">#REF!</definedName>
    <definedName name="_2046__123Graph_DChart_26C" hidden="1">#REF!</definedName>
    <definedName name="_205__123Graph_BChart_6A" hidden="1">#REF!</definedName>
    <definedName name="_206__123Graph_BChart_5A" hidden="1">#REF!</definedName>
    <definedName name="_206__123Graph_DChart_6A" hidden="1">#REF!</definedName>
    <definedName name="_207__123Graph_AChart_4A" hidden="1">#REF!</definedName>
    <definedName name="_207__123Graph_AChart_7A" hidden="1">#REF!</definedName>
    <definedName name="_207__123Graph_DChart_7A" hidden="1">#REF!</definedName>
    <definedName name="_2077__123Graph_DChart_4A" hidden="1">#REF!</definedName>
    <definedName name="_208__123Graph_AChart_9A" hidden="1">#REF!</definedName>
    <definedName name="_208__123Graph_BChart_6A" hidden="1">#REF!</definedName>
    <definedName name="_208__123Graph_CChart_26C" hidden="1">#REF!</definedName>
    <definedName name="_209__123Graph_BChart_24C" hidden="1">#REF!</definedName>
    <definedName name="_209__123Graph_BChart_6A" hidden="1">#REF!</definedName>
    <definedName name="_209__123Graph_DChart_7A" hidden="1">#REF!</definedName>
    <definedName name="_21___123Graph_AChart_26C" hidden="1">#REF!</definedName>
    <definedName name="_21___123Graph_AChart_5A" hidden="1">#REF!</definedName>
    <definedName name="_21__123Graph_ACHART_1" hidden="1">#REF!</definedName>
    <definedName name="_21__123Graph_AChart_12B" hidden="1">#REF!</definedName>
    <definedName name="_21__123Graph_AChart_18B" hidden="1">#REF!</definedName>
    <definedName name="_21__123Graph_AChart_4A" hidden="1">#REF!</definedName>
    <definedName name="_21__123Graph_AChart_5A" hidden="1">#REF!</definedName>
    <definedName name="_21__123Graph_BGráfico_1H" hidden="1">#REF!</definedName>
    <definedName name="_21__123Graph_DGráfico_1B" hidden="1">#REF!</definedName>
    <definedName name="_21__123Graph_DGráfico_1F" hidden="1">#REF!</definedName>
    <definedName name="_21__FDSAUDITLINK__" hidden="1">{"fdsup://IBCentral/FAT Viewer?action=UPDATE&amp;creator=factset&amp;DOC_NAME=fat:reuters_annual_source_window.fat&amp;display_string=Audit&amp;DYN_ARGS=TRUE&amp;VAR:ID1=738048&amp;VAR:RCODE=SINN&amp;VAR:SDATE=20061299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210__123Graph_AChart_24C" hidden="1">#REF!</definedName>
    <definedName name="_210__123Graph_BChart_25C" hidden="1">#REF!</definedName>
    <definedName name="_210__123Graph_BChart_7A" hidden="1">#REF!</definedName>
    <definedName name="_210__123Graph_DChart_8A" hidden="1">#REF!</definedName>
    <definedName name="_2108__123Graph_DChart_5A" hidden="1">#REF!</definedName>
    <definedName name="_211__123Graph_AChart_26C" hidden="1">#REF!</definedName>
    <definedName name="_211__123Graph_BChart_6A" hidden="1">#REF!</definedName>
    <definedName name="_211__123Graph_XChart_10B" hidden="1">#REF!</definedName>
    <definedName name="_212__123Graph_CChart_4A" hidden="1">#REF!</definedName>
    <definedName name="_212__123Graph_DChart_8A" hidden="1">#REF!</definedName>
    <definedName name="_212__123Graph_XChart_11B" hidden="1">#REF!</definedName>
    <definedName name="_213__123Graph_AChart_7A" hidden="1">#REF!</definedName>
    <definedName name="_213__123Graph_BChart_7A" hidden="1">#REF!</definedName>
    <definedName name="_213__123Graph_XChart_12B" hidden="1">#REF!</definedName>
    <definedName name="_2139__123Graph_DChart_6A" hidden="1">#REF!</definedName>
    <definedName name="_214__123Graph_BChart_7A" hidden="1">#REF!</definedName>
    <definedName name="_214__123Graph_XChart_10B" hidden="1">#REF!</definedName>
    <definedName name="_214__123Graph_XChart_13B" hidden="1">#REF!</definedName>
    <definedName name="_215__123Graph_BChart_25C" hidden="1">#REF!</definedName>
    <definedName name="_215__123Graph_BChart_8A" hidden="1">#REF!</definedName>
    <definedName name="_215__123Graph_XChart_17B" hidden="1">#REF!</definedName>
    <definedName name="_216__123Graph_AChart_8A" hidden="1">#REF!</definedName>
    <definedName name="_216__123Graph_BChart_12B" hidden="1">#REF!</definedName>
    <definedName name="_216__123Graph_BChart_26C" hidden="1">#REF!</definedName>
    <definedName name="_216__123Graph_BChart_7A" hidden="1">#REF!</definedName>
    <definedName name="_216__123Graph_CChart_5A" hidden="1">#REF!</definedName>
    <definedName name="_216__123Graph_XChart_11B" hidden="1">#REF!</definedName>
    <definedName name="_216__123Graph_XChart_18B" hidden="1">#REF!</definedName>
    <definedName name="_217__123Graph_AChart_17B" hidden="1">#REF!</definedName>
    <definedName name="_217__123Graph_AChart_5A" hidden="1">#REF!</definedName>
    <definedName name="_217__123Graph_XChart_19C" hidden="1">#REF!</definedName>
    <definedName name="_2170__123Graph_DChart_7A" hidden="1">#REF!</definedName>
    <definedName name="_218__123Graph_AChart_27C" hidden="1">#REF!</definedName>
    <definedName name="_218__123Graph_BChart_8A" hidden="1">#REF!</definedName>
    <definedName name="_218__123Graph_XChart_12B" hidden="1">#REF!</definedName>
    <definedName name="_218__123Graph_XChart_1A" hidden="1">#REF!</definedName>
    <definedName name="_219__123Graph_BChart_8A" hidden="1">#REF!</definedName>
    <definedName name="_219__123Graph_XChart_20C" hidden="1">#REF!</definedName>
    <definedName name="_22___123Graph_AChart_27C" hidden="1">#REF!</definedName>
    <definedName name="_22___123Graph_AChart_6A" hidden="1">#REF!</definedName>
    <definedName name="_22__123Graph_ACHART_2" hidden="1">#REF!</definedName>
    <definedName name="_22__123Graph_AChart_20C" hidden="1">#REF!</definedName>
    <definedName name="_22__123Graph_AChart_21C" hidden="1">#REF!</definedName>
    <definedName name="_22__123Graph_AChart_5A" hidden="1">#REF!</definedName>
    <definedName name="_22__123Graph_AChart_6A" hidden="1">#REF!</definedName>
    <definedName name="_22__123Graph_BGráfico_1I" hidden="1">#REF!</definedName>
    <definedName name="_22__123Graph_DGráfico_1C" hidden="1">#REF!</definedName>
    <definedName name="_22__123Graph_DGráfico_1G" hidden="1">#REF!</definedName>
    <definedName name="_22__FDSAUDITLINK__" hidden="1">{"fdsup://IBCentral/FAT Viewer?action=UPDATE&amp;creator=factset&amp;DOC_NAME=fat:reuters_annual_source_window.fat&amp;display_string=Audit&amp;DYN_ARGS=TRUE&amp;VAR:ID1=738048&amp;VAR:RCODE=FDSINVINCTOT&amp;VAR:SDATE=20081299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220__123Graph_BChart_9A" hidden="1">#REF!</definedName>
    <definedName name="_220__123Graph_CChart_6A" hidden="1">#REF!</definedName>
    <definedName name="_220__123Graph_XChart_13B" hidden="1">#REF!</definedName>
    <definedName name="_220__123Graph_XChart_21C" hidden="1">#REF!</definedName>
    <definedName name="_2201__123Graph_DChart_8A" hidden="1">#REF!</definedName>
    <definedName name="_2202__123Graph_XChart_10B" hidden="1">#REF!</definedName>
    <definedName name="_2203__123Graph_XChart_11B" hidden="1">#REF!</definedName>
    <definedName name="_2204__123Graph_XChart_12B" hidden="1">#REF!</definedName>
    <definedName name="_2205__123Graph_XChart_13B" hidden="1">#REF!</definedName>
    <definedName name="_2206__123Graph_XChart_17B" hidden="1">#REF!</definedName>
    <definedName name="_2207__123Graph_XChart_18B" hidden="1">#REF!</definedName>
    <definedName name="_2208__123Graph_XChart_19C" hidden="1">#REF!</definedName>
    <definedName name="_2209__123Graph_XChart_1A" hidden="1">#REF!</definedName>
    <definedName name="_221__123Graph_BChart_26C" hidden="1">#REF!</definedName>
    <definedName name="_221__123Graph_BChart_8A" hidden="1">#REF!</definedName>
    <definedName name="_221__123Graph_XChart_22C" hidden="1">#REF!</definedName>
    <definedName name="_2210__123Graph_XChart_20C" hidden="1">#REF!</definedName>
    <definedName name="_2211__123Graph_XChart_21C" hidden="1">#REF!</definedName>
    <definedName name="_2212__123Graph_XChart_22C" hidden="1">#REF!</definedName>
    <definedName name="_2213__123Graph_XChart_23C" hidden="1">#REF!</definedName>
    <definedName name="_2214__123Graph_XChart_24C" hidden="1">#REF!</definedName>
    <definedName name="_2215__123Graph_XChart_25C" hidden="1">#REF!</definedName>
    <definedName name="_2216__123Graph_XChart_26C" hidden="1">#REF!</definedName>
    <definedName name="_2217__123Graph_XChart_27C" hidden="1">#REF!</definedName>
    <definedName name="_2218__123Graph_XChart_2A" hidden="1">#REF!</definedName>
    <definedName name="_2219__123Graph_XChart_3A" hidden="1">#REF!</definedName>
    <definedName name="_222__123Graph_AChart_8A" hidden="1">#REF!</definedName>
    <definedName name="_222__123Graph_BChart_27C" hidden="1">#REF!</definedName>
    <definedName name="_222__123Graph_XChart_17B" hidden="1">#REF!</definedName>
    <definedName name="_222__123Graph_XChart_23C" hidden="1">#REF!</definedName>
    <definedName name="_2220__123Graph_XChart_4A" hidden="1">#REF!</definedName>
    <definedName name="_2221__123Graph_XChart_5A" hidden="1">#REF!</definedName>
    <definedName name="_2222__123Graph_XChart_6A" hidden="1">#REF!</definedName>
    <definedName name="_2223__123Graph_XChart_7A" hidden="1">#REF!</definedName>
    <definedName name="_2224__123Graph_XChart_8A" hidden="1">#REF!</definedName>
    <definedName name="_2225__123Graph_XChart_9A" hidden="1">#REF!</definedName>
    <definedName name="_223__123Graph_BChart_9A" hidden="1">#REF!</definedName>
    <definedName name="_223__123Graph_XChart_24C" hidden="1">#REF!</definedName>
    <definedName name="_224__123Graph_AChart_25C" hidden="1">#REF!</definedName>
    <definedName name="_224__123Graph_BChart_13B" hidden="1">#REF!</definedName>
    <definedName name="_224__123Graph_BChart_9A" hidden="1">#REF!</definedName>
    <definedName name="_224__123Graph_CChart_7A" hidden="1">#REF!</definedName>
    <definedName name="_224__123Graph_XChart_18B" hidden="1">#REF!</definedName>
    <definedName name="_224__123Graph_XChart_25C" hidden="1">#REF!</definedName>
    <definedName name="_225__123Graph_AChart_25C" hidden="1">#REF!</definedName>
    <definedName name="_225__123Graph_AChart_2A" hidden="1">#REF!</definedName>
    <definedName name="_225__123Graph_AChart_9A" hidden="1">#REF!</definedName>
    <definedName name="_225__123Graph_CChart_13B" hidden="1">#REF!</definedName>
    <definedName name="_225__123Graph_XChart_26C" hidden="1">#REF!</definedName>
    <definedName name="_226__123Graph_BChart_9A" hidden="1">#REF!</definedName>
    <definedName name="_226__123Graph_XChart_19C" hidden="1">#REF!</definedName>
    <definedName name="_226__123Graph_XChart_27C" hidden="1">#REF!</definedName>
    <definedName name="_227__123Graph_AChart_6A" hidden="1">#REF!</definedName>
    <definedName name="_227__123Graph_BChart_27C" hidden="1">#REF!</definedName>
    <definedName name="_227__123Graph_XChart_2A" hidden="1">#REF!</definedName>
    <definedName name="_228__123Graph_BChart_3A" hidden="1">#REF!</definedName>
    <definedName name="_228__123Graph_CChart_13B" hidden="1">#REF!</definedName>
    <definedName name="_228__123Graph_CChart_8A" hidden="1">#REF!</definedName>
    <definedName name="_228__123Graph_XChart_1A" hidden="1">#REF!</definedName>
    <definedName name="_228__123Graph_XChart_3A" hidden="1">#REF!</definedName>
    <definedName name="_229__123Graph_CChart_13B" hidden="1">#REF!</definedName>
    <definedName name="_229__123Graph_XChart_4A" hidden="1">#REF!</definedName>
    <definedName name="_23___123Graph_AChart_2A" hidden="1">#REF!</definedName>
    <definedName name="_23___123Graph_AChart_7A" hidden="1">#REF!</definedName>
    <definedName name="_23__123Graph_AChart_12B" hidden="1">#REF!</definedName>
    <definedName name="_23__123Graph_AChart_13B" hidden="1">#REF!</definedName>
    <definedName name="_23__123Graph_AChart_18B" hidden="1">#REF!</definedName>
    <definedName name="_23__123Graph_ACHART_3" hidden="1">#REF!</definedName>
    <definedName name="_23__123Graph_AChart_6A" hidden="1">#REF!</definedName>
    <definedName name="_23__123Graph_AChart_7A" hidden="1">#REF!</definedName>
    <definedName name="_23__123Graph_BGráfico_1J" hidden="1">#REF!</definedName>
    <definedName name="_23__123Graph_DGráfico_1D" hidden="1">#REF!</definedName>
    <definedName name="_23__123Graph_DGráfico_1H" hidden="1">#REF!</definedName>
    <definedName name="_23__FDSAUDITLINK__" hidden="1">{"fdsup://IBCentral/FAT Viewer?action=UPDATE&amp;creator=factset&amp;DOC_NAME=fat:reuters_annual_source_window.fat&amp;display_string=Audit&amp;DYN_ARGS=TRUE&amp;VAR:ID1=738048&amp;VAR:RCODE=FDSINVINCTOT&amp;VAR:SDATE=20071299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230__123Graph_CChart_16B" hidden="1">#REF!</definedName>
    <definedName name="_230__123Graph_XChart_20C" hidden="1">#REF!</definedName>
    <definedName name="_230__123Graph_XChart_5A" hidden="1">#REF!</definedName>
    <definedName name="_231__123Graph_AChart_9A" hidden="1">#REF!</definedName>
    <definedName name="_231__123Graph_CChart_13B" hidden="1">#REF!</definedName>
    <definedName name="_231__123Graph_XChart_6A" hidden="1">#REF!</definedName>
    <definedName name="_232__123Graph_AChart_3A" hidden="1">#REF!</definedName>
    <definedName name="_232__123Graph_BChart_16B" hidden="1">#REF!</definedName>
    <definedName name="_232__123Graph_DChart_13B" hidden="1">#REF!</definedName>
    <definedName name="_232__123Graph_XChart_21C" hidden="1">#REF!</definedName>
    <definedName name="_232__123Graph_XChart_7A" hidden="1">#REF!</definedName>
    <definedName name="_233__123Graph_BChart_3A" hidden="1">#REF!</definedName>
    <definedName name="_233__123Graph_CChart_16B" hidden="1">#REF!</definedName>
    <definedName name="_233__123Graph_XChart_8A" hidden="1">#REF!</definedName>
    <definedName name="_234__123Graph_BChart_12B" hidden="1">#REF!</definedName>
    <definedName name="_234__123Graph_BChart_4A" hidden="1">#REF!</definedName>
    <definedName name="_234__123Graph_CChart_16B" hidden="1">#REF!</definedName>
    <definedName name="_234__123Graph_XChart_22C" hidden="1">#REF!</definedName>
    <definedName name="_234__123Graph_XChart_9A" hidden="1">#REF!</definedName>
    <definedName name="_235__123Graph_CChart_17B" hidden="1">#REF!</definedName>
    <definedName name="_236__123Graph_CChart_16B" hidden="1">#REF!</definedName>
    <definedName name="_236__123Graph_DChart_16B" hidden="1">#REF!</definedName>
    <definedName name="_236__123Graph_XChart_23C" hidden="1">#REF!</definedName>
    <definedName name="_237__123Graph_AChart_7A" hidden="1">#REF!</definedName>
    <definedName name="_238__123Graph_AChart_26C" hidden="1">#REF!</definedName>
    <definedName name="_238__123Graph_CChart_17B" hidden="1">#REF!</definedName>
    <definedName name="_238__123Graph_XChart_24C" hidden="1">#REF!</definedName>
    <definedName name="_239__123Graph_AChart_4A" hidden="1">#REF!</definedName>
    <definedName name="_239__123Graph_BChart_4A" hidden="1">#REF!</definedName>
    <definedName name="_239__123Graph_CChart_17B" hidden="1">#REF!</definedName>
    <definedName name="_24___123Graph_AChart_3A" hidden="1">#REF!</definedName>
    <definedName name="_24___123Graph_AChart_8A" hidden="1">#REF!</definedName>
    <definedName name="_24__123Graph_AChart_11B" hidden="1">#REF!</definedName>
    <definedName name="_24__123Graph_AChart_13B" hidden="1">#REF!</definedName>
    <definedName name="_24__123Graph_AChart_17B" hidden="1">#REF!</definedName>
    <definedName name="_24__123Graph_AChart_19C" hidden="1">#REF!</definedName>
    <definedName name="_24__123Graph_AChart_21C" hidden="1">#REF!</definedName>
    <definedName name="_24__123Graph_AChart_22C" hidden="1">#REF!</definedName>
    <definedName name="_24__123Graph_AChart_7A" hidden="1">#REF!</definedName>
    <definedName name="_24__123Graph_AChart_8A" hidden="1">#REF!</definedName>
    <definedName name="_24__123Graph_BCHART_1" hidden="1">#REF!</definedName>
    <definedName name="_24__123Graph_CGráfico_1B" hidden="1">#REF!</definedName>
    <definedName name="_24__123Graph_DGráfico_1E" hidden="1">#REF!</definedName>
    <definedName name="_24__123Graph_EGráfico_1B" hidden="1">#REF!</definedName>
    <definedName name="_24__FDSAUDITLINK__" hidden="1">{"fdsup://IBCentral/FAT Viewer?action=UPDATE&amp;creator=factset&amp;DOC_NAME=fat:reuters_annual_source_window.fat&amp;display_string=Audit&amp;DYN_ARGS=TRUE&amp;VAR:ID1=738048&amp;VAR:RCODE=FDSINVINCTOT&amp;VAR:SDATE=20061299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240__123Graph_AChart_26C" hidden="1">#REF!</definedName>
    <definedName name="_240__123Graph_BChart_12B" hidden="1">#REF!</definedName>
    <definedName name="_240__123Graph_BChart_17B" hidden="1">#REF!</definedName>
    <definedName name="_240__123Graph_BChart_5A" hidden="1">#REF!</definedName>
    <definedName name="_240__123Graph_CChart_22C" hidden="1">#REF!</definedName>
    <definedName name="_240__123Graph_DChart_17B" hidden="1">#REF!</definedName>
    <definedName name="_240__123Graph_XChart_25C" hidden="1">#REF!</definedName>
    <definedName name="_241__123Graph_CChart_17B" hidden="1">#REF!</definedName>
    <definedName name="_242__123Graph_XChart_26C" hidden="1">#REF!</definedName>
    <definedName name="_243__123Graph_BChart_13B" hidden="1">#REF!</definedName>
    <definedName name="_243__123Graph_CChart_22C" hidden="1">#REF!</definedName>
    <definedName name="_244__123Graph_CChart_22C" hidden="1">#REF!</definedName>
    <definedName name="_244__123Graph_DChart_22C" hidden="1">#REF!</definedName>
    <definedName name="_244__123Graph_XChart_27C" hidden="1">#REF!</definedName>
    <definedName name="_245__123Graph_BChart_5A" hidden="1">#REF!</definedName>
    <definedName name="_245__123Graph_CChart_23C" hidden="1">#REF!</definedName>
    <definedName name="_246__123Graph_AChart_5A" hidden="1">#REF!</definedName>
    <definedName name="_246__123Graph_BChart_6A" hidden="1">#REF!</definedName>
    <definedName name="_246__123Graph_CChart_22C" hidden="1">#REF!</definedName>
    <definedName name="_246__123Graph_XChart_2A" hidden="1">#REF!</definedName>
    <definedName name="_247__123Graph_AChart_8A" hidden="1">#REF!</definedName>
    <definedName name="_248__123Graph_AChart_18B" hidden="1">#REF!</definedName>
    <definedName name="_248__123Graph_BChart_18B" hidden="1">#REF!</definedName>
    <definedName name="_248__123Graph_CChart_23C" hidden="1">#REF!</definedName>
    <definedName name="_248__123Graph_DChart_23C" hidden="1">#REF!</definedName>
    <definedName name="_248__123Graph_XChart_3A" hidden="1">#REF!</definedName>
    <definedName name="_249__123Graph_BChart_13B" hidden="1">#REF!</definedName>
    <definedName name="_249__123Graph_CChart_23C" hidden="1">#REF!</definedName>
    <definedName name="_25___123Graph_AChart_4A" hidden="1">#REF!</definedName>
    <definedName name="_25___123Graph_AChart_9A" hidden="1">#REF!</definedName>
    <definedName name="_25__123Graph_AChart_16B" hidden="1">#REF!</definedName>
    <definedName name="_25__123Graph_AChart_8A" hidden="1">#REF!</definedName>
    <definedName name="_25__123Graph_AChart_9A" hidden="1">#REF!</definedName>
    <definedName name="_25__123Graph_BCHART_2" hidden="1">#REF!</definedName>
    <definedName name="_25__123Graph_CGráfico_1C" hidden="1">#REF!</definedName>
    <definedName name="_25__123Graph_DGráfico_1F" hidden="1">#REF!</definedName>
    <definedName name="_25__123Graph_EGráfico_1C" hidden="1">#REF!</definedName>
    <definedName name="_25__FDSAUDITLINK__" hidden="1">{"fdsup://IBCentral/FAT Viewer?action=UPDATE&amp;creator=factset&amp;DOC_NAME=fat:reuters_annual_source_window.fat&amp;display_string=Audit&amp;DYN_ARGS=TRUE&amp;VAR:ID1=738048&amp;VAR:RCODE=FIBCEBIT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50__123Graph_CChart_24C" hidden="1">#REF!</definedName>
    <definedName name="_250__123Graph_XChart_4A" hidden="1">#REF!</definedName>
    <definedName name="_251__123Graph_BChart_6A" hidden="1">#REF!</definedName>
    <definedName name="_251__123Graph_CChart_23C" hidden="1">#REF!</definedName>
    <definedName name="_252__123Graph_AChart_27C" hidden="1">#REF!</definedName>
    <definedName name="_252__123Graph_BChart_16B" hidden="1">#REF!</definedName>
    <definedName name="_252__123Graph_BChart_7A" hidden="1">#REF!</definedName>
    <definedName name="_252__123Graph_DChart_24C" hidden="1">#REF!</definedName>
    <definedName name="_252__123Graph_XChart_5A" hidden="1">#REF!</definedName>
    <definedName name="_253__123Graph_AChart_6A" hidden="1">#REF!</definedName>
    <definedName name="_253__123Graph_CChart_24C" hidden="1">#REF!</definedName>
    <definedName name="_254__123Graph_CChart_24C" hidden="1">#REF!</definedName>
    <definedName name="_254__123Graph_XChart_6A" hidden="1">#REF!</definedName>
    <definedName name="_255__123Graph_AChart_27C" hidden="1">#REF!</definedName>
    <definedName name="_255__123Graph_CChart_25C" hidden="1">#REF!</definedName>
    <definedName name="_256__123Graph_BChart_21C" hidden="1">#REF!</definedName>
    <definedName name="_256__123Graph_CChart_24C" hidden="1">#REF!</definedName>
    <definedName name="_256__123Graph_DChart_25C" hidden="1">#REF!</definedName>
    <definedName name="_256__123Graph_XChart_7A" hidden="1">#REF!</definedName>
    <definedName name="_257__123Graph_AChart_9A" hidden="1">#REF!</definedName>
    <definedName name="_257__123Graph_BChart_7A" hidden="1">#REF!</definedName>
    <definedName name="_258__123Graph_BChart_16B" hidden="1">#REF!</definedName>
    <definedName name="_258__123Graph_BChart_8A" hidden="1">#REF!</definedName>
    <definedName name="_258__123Graph_CChart_25C" hidden="1">#REF!</definedName>
    <definedName name="_258__123Graph_XChart_8A" hidden="1">#REF!</definedName>
    <definedName name="_259__123Graph_CChart_25C" hidden="1">#REF!</definedName>
    <definedName name="_26___123Graph_AChart_5A" hidden="1">#REF!</definedName>
    <definedName name="_26___123Graph_BChart_12B" hidden="1">#REF!</definedName>
    <definedName name="_26__123Graph_AChart_13B" hidden="1">#REF!</definedName>
    <definedName name="_26__123Graph_AChart_19C" hidden="1">#REF!</definedName>
    <definedName name="_26__123Graph_AChart_22C" hidden="1">#REF!</definedName>
    <definedName name="_26__123Graph_AChart_23C" hidden="1">#REF!</definedName>
    <definedName name="_26__123Graph_AChart_9A" hidden="1">#REF!</definedName>
    <definedName name="_26__123Graph_BChart_12B" hidden="1">#REF!</definedName>
    <definedName name="_26__123Graph_BCHART_3" hidden="1">#REF!</definedName>
    <definedName name="_26__123Graph_CGráfico_1D" hidden="1">#REF!</definedName>
    <definedName name="_26__123Graph_DGráfico_1G" hidden="1">#REF!</definedName>
    <definedName name="_26__123Graph_EGráfico_1D" hidden="1">#REF!</definedName>
    <definedName name="_26__FDSAUDITLINK__" hidden="1">{"fdsup://IBCentral/FAT Viewer?action=UPDATE&amp;creator=factset&amp;DOC_NAME=fat:reuters_annual_source_window.fat&amp;display_string=Audit&amp;DYN_ARGS=TRUE&amp;VAR:ID1=738048&amp;VAR:RCODE=FIBCEBIT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60__123Graph_AChart_7A" hidden="1">#REF!</definedName>
    <definedName name="_260__123Graph_CChart_26C" hidden="1">#REF!</definedName>
    <definedName name="_260__123Graph_DChart_26C" hidden="1">#REF!</definedName>
    <definedName name="_260__123Graph_XChart_9A" hidden="1">#REF!</definedName>
    <definedName name="_261__123Graph_BChart_17B" hidden="1">#REF!</definedName>
    <definedName name="_261__123Graph_CChart_25C" hidden="1">#REF!</definedName>
    <definedName name="_263__123Graph_BChart_8A" hidden="1">#REF!</definedName>
    <definedName name="_263__123Graph_CChart_26C" hidden="1">#REF!</definedName>
    <definedName name="_264__123Graph_BChart_22C" hidden="1">#REF!</definedName>
    <definedName name="_264__123Graph_BChart_9A" hidden="1">#REF!</definedName>
    <definedName name="_264__123Graph_CChart_26C" hidden="1">#REF!</definedName>
    <definedName name="_264__123Graph_DChart_4A" hidden="1">#REF!</definedName>
    <definedName name="_265__123Graph_CChart_4A" hidden="1">#REF!</definedName>
    <definedName name="_266__123Graph_AChart_2A" hidden="1">#REF!</definedName>
    <definedName name="_266__123Graph_CChart_26C" hidden="1">#REF!</definedName>
    <definedName name="_267__123Graph_AChart_8A" hidden="1">#REF!</definedName>
    <definedName name="_267__123Graph_BChart_12B" hidden="1">#REF!</definedName>
    <definedName name="_267__123Graph_BChart_17B" hidden="1">#REF!</definedName>
    <definedName name="_268__123Graph_CChart_4A" hidden="1">#REF!</definedName>
    <definedName name="_268__123Graph_DChart_5A" hidden="1">#REF!</definedName>
    <definedName name="_269__123Graph_BChart_9A" hidden="1">#REF!</definedName>
    <definedName name="_269__123Graph_CChart_4A" hidden="1">#REF!</definedName>
    <definedName name="_27___123Graph_AChart_6A" hidden="1">#REF!</definedName>
    <definedName name="_27___123Graph_BChart_13B" hidden="1">#REF!</definedName>
    <definedName name="_27__123Graph_AChart_11B" hidden="1">#REF!</definedName>
    <definedName name="_27__123Graph_AChart_12B" hidden="1">#REF!</definedName>
    <definedName name="_27__123Graph_AChart_1A" hidden="1">#REF!</definedName>
    <definedName name="_27__123Graph_BChart_12B" hidden="1">#REF!</definedName>
    <definedName name="_27__123Graph_BChart_13B" hidden="1">#REF!</definedName>
    <definedName name="_27__123Graph_BCHART_5" hidden="1">#REF!</definedName>
    <definedName name="_27__123Graph_CGráfico_1E" hidden="1">#REF!</definedName>
    <definedName name="_27__123Graph_DGráfico_1H" hidden="1">#REF!</definedName>
    <definedName name="_27__123Graph_EGráfico_1E" hidden="1">#REF!</definedName>
    <definedName name="_27__FDSAUDITLINK__" hidden="1">{"fdsup://IBCentral/FAT Viewer?action=UPDATE&amp;creator=factset&amp;DOC_NAME=fat:reuters_annual_source_window.fat&amp;display_string=Audit&amp;DYN_ARGS=TRUE&amp;VAR:ID1=738048&amp;VAR:RCODE=FIBCEBIT&amp;VAR:SDATE=20061299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70__123Graph_AChart_2A" hidden="1">#REF!</definedName>
    <definedName name="_270__123Graph_BChart_18B" hidden="1">#REF!</definedName>
    <definedName name="_270__123Graph_CChart_13B" hidden="1">#REF!</definedName>
    <definedName name="_270__123Graph_CChart_5A" hidden="1">#REF!</definedName>
    <definedName name="_271__123Graph_CChart_4A" hidden="1">#REF!</definedName>
    <definedName name="_272__123Graph_BChart_23C" hidden="1">#REF!</definedName>
    <definedName name="_272__123Graph_DChart_6A" hidden="1">#REF!</definedName>
    <definedName name="_273__123Graph_CChart_5A" hidden="1">#REF!</definedName>
    <definedName name="_274__123Graph_AChart_9A" hidden="1">#REF!</definedName>
    <definedName name="_274__123Graph_CChart_5A" hidden="1">#REF!</definedName>
    <definedName name="_275__123Graph_CChart_13B" hidden="1">#REF!</definedName>
    <definedName name="_275__123Graph_CChart_6A" hidden="1">#REF!</definedName>
    <definedName name="_276__123Graph_BChart_18B" hidden="1">#REF!</definedName>
    <definedName name="_276__123Graph_CChart_16B" hidden="1">#REF!</definedName>
    <definedName name="_276__123Graph_CChart_5A" hidden="1">#REF!</definedName>
    <definedName name="_276__123Graph_DChart_7A" hidden="1">#REF!</definedName>
    <definedName name="_277__123Graph_BChart_13B" hidden="1">#REF!</definedName>
    <definedName name="_278__123Graph_CChart_6A" hidden="1">#REF!</definedName>
    <definedName name="_279__123Graph_AChart_19C" hidden="1">#REF!</definedName>
    <definedName name="_279__123Graph_BChart_21C" hidden="1">#REF!</definedName>
    <definedName name="_279__123Graph_CChart_6A" hidden="1">#REF!</definedName>
    <definedName name="_28___123Graph_AChart_7A" hidden="1">#REF!</definedName>
    <definedName name="_28___123Graph_BChart_16B" hidden="1">#REF!</definedName>
    <definedName name="_28__123Graph_AChart_10B" hidden="1">#REF!</definedName>
    <definedName name="_28__123Graph_AChart_16B" hidden="1">#REF!</definedName>
    <definedName name="_28__123Graph_AChart_18B" hidden="1">#REF!</definedName>
    <definedName name="_28__123Graph_AChart_23C" hidden="1">#REF!</definedName>
    <definedName name="_28__123Graph_AChart_24C" hidden="1">#REF!</definedName>
    <definedName name="_28__123Graph_BChart_13B" hidden="1">#REF!</definedName>
    <definedName name="_28__123Graph_BChart_16B" hidden="1">#REF!</definedName>
    <definedName name="_28__123Graph_CGráfico_1F" hidden="1">#REF!</definedName>
    <definedName name="_28__123Graph_DCHART_1" hidden="1">#REF!</definedName>
    <definedName name="_28__123Graph_EGráfico_1B" hidden="1">#REF!</definedName>
    <definedName name="_28__123Graph_EGráfico_1F" hidden="1">#REF!</definedName>
    <definedName name="_28__FDSAUDITLINK__" hidden="1">{"fdsup://IBCentral/FAT Viewer?action=UPDATE&amp;creator=factset&amp;DOC_NAME=fat:reuters_annual_source_window.fat&amp;display_string=Audit&amp;DYN_ARGS=TRUE&amp;VAR:ID1=738048&amp;VAR:RCODE=DPTCF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80__123Graph_AChart_3A" hidden="1">#REF!</definedName>
    <definedName name="_280__123Graph_BChart_24C" hidden="1">#REF!</definedName>
    <definedName name="_280__123Graph_CChart_7A" hidden="1">#REF!</definedName>
    <definedName name="_280__123Graph_DChart_8A" hidden="1">#REF!</definedName>
    <definedName name="_281__123Graph_BChart_12B" hidden="1">#REF!</definedName>
    <definedName name="_281__123Graph_CChart_16B" hidden="1">#REF!</definedName>
    <definedName name="_281__123Graph_CChart_6A" hidden="1">#REF!</definedName>
    <definedName name="_281__123Graph_XChart_10B" hidden="1">#REF!</definedName>
    <definedName name="_282__123Graph_CChart_17B" hidden="1">#REF!</definedName>
    <definedName name="_282__123Graph_XChart_11B" hidden="1">#REF!</definedName>
    <definedName name="_283__123Graph_CChart_7A" hidden="1">#REF!</definedName>
    <definedName name="_283__123Graph_XChart_12B" hidden="1">#REF!</definedName>
    <definedName name="_284__123Graph_CChart_7A" hidden="1">#REF!</definedName>
    <definedName name="_284__123Graph_XChart_13B" hidden="1">#REF!</definedName>
    <definedName name="_285__123Graph_AChart_3A" hidden="1">#REF!</definedName>
    <definedName name="_285__123Graph_BChart_21C" hidden="1">#REF!</definedName>
    <definedName name="_285__123Graph_CChart_8A" hidden="1">#REF!</definedName>
    <definedName name="_285__123Graph_XChart_17B" hidden="1">#REF!</definedName>
    <definedName name="_286__123Graph_CChart_7A" hidden="1">#REF!</definedName>
    <definedName name="_286__123Graph_XChart_18B" hidden="1">#REF!</definedName>
    <definedName name="_287__123Graph_BChart_16B" hidden="1">#REF!</definedName>
    <definedName name="_287__123Graph_CChart_17B" hidden="1">#REF!</definedName>
    <definedName name="_287__123Graph_XChart_19C" hidden="1">#REF!</definedName>
    <definedName name="_288__123Graph_BChart_13B" hidden="1">#REF!</definedName>
    <definedName name="_288__123Graph_BChart_22C" hidden="1">#REF!</definedName>
    <definedName name="_288__123Graph_BChart_25C" hidden="1">#REF!</definedName>
    <definedName name="_288__123Graph_CChart_22C" hidden="1">#REF!</definedName>
    <definedName name="_288__123Graph_CChart_8A" hidden="1">#REF!</definedName>
    <definedName name="_288__123Graph_XChart_1A" hidden="1">#REF!</definedName>
    <definedName name="_289__123Graph_CChart_8A" hidden="1">#REF!</definedName>
    <definedName name="_289__123Graph_XChart_20C" hidden="1">#REF!</definedName>
    <definedName name="_29___123Graph_AChart_8A" hidden="1">#REF!</definedName>
    <definedName name="_29___123Graph_BChart_17B" hidden="1">#REF!</definedName>
    <definedName name="_29__123Graph_AChart_13B" hidden="1">#REF!</definedName>
    <definedName name="_29__123Graph_AChart_16B" hidden="1">#REF!</definedName>
    <definedName name="_29__123Graph_AChart_1A" hidden="1">#REF!</definedName>
    <definedName name="_29__123Graph_BChart_16B" hidden="1">#REF!</definedName>
    <definedName name="_29__123Graph_BChart_17B" hidden="1">#REF!</definedName>
    <definedName name="_29__123Graph_CGráfico_1G" hidden="1">#REF!</definedName>
    <definedName name="_29__123Graph_DCHART_2" hidden="1">#REF!</definedName>
    <definedName name="_29__123Graph_EGráfico_1C" hidden="1">#REF!</definedName>
    <definedName name="_29__123Graph_EGráfico_1G" hidden="1">#REF!</definedName>
    <definedName name="_29__FDSAUDITLINK__" hidden="1">{"fdsup://IBCentral/FAT Viewer?action=UPDATE&amp;creator=factset&amp;DOC_NAME=fat:reuters_annual_source_window.fat&amp;display_string=Audit&amp;DYN_ARGS=TRUE&amp;VAR:ID1=738048&amp;VAR:RCODE=DPTCF&amp;VAR:SDATE=20071299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90__123Graph_DChart_13B" hidden="1">#REF!</definedName>
    <definedName name="_290__123Graph_XChart_21C" hidden="1">#REF!</definedName>
    <definedName name="_291__123Graph_CChart_8A" hidden="1">#REF!</definedName>
    <definedName name="_291__123Graph_XChart_22C" hidden="1">#REF!</definedName>
    <definedName name="_292__123Graph_XChart_23C" hidden="1">#REF!</definedName>
    <definedName name="_293__123Graph_CChart_22C" hidden="1">#REF!</definedName>
    <definedName name="_293__123Graph_DChart_13B" hidden="1">#REF!</definedName>
    <definedName name="_293__123Graph_XChart_24C" hidden="1">#REF!</definedName>
    <definedName name="_294__123Graph_AChart_4A" hidden="1">#REF!</definedName>
    <definedName name="_294__123Graph_BChart_22C" hidden="1">#REF!</definedName>
    <definedName name="_294__123Graph_CChart_23C" hidden="1">#REF!</definedName>
    <definedName name="_294__123Graph_DChart_13B" hidden="1">#REF!</definedName>
    <definedName name="_294__123Graph_XChart_25C" hidden="1">#REF!</definedName>
    <definedName name="_295__123Graph_BChart_16B" hidden="1">#REF!</definedName>
    <definedName name="_295__123Graph_DChart_16B" hidden="1">#REF!</definedName>
    <definedName name="_295__123Graph_XChart_26C" hidden="1">#REF!</definedName>
    <definedName name="_296__123Graph_BChart_26C" hidden="1">#REF!</definedName>
    <definedName name="_296__123Graph_DChart_13B" hidden="1">#REF!</definedName>
    <definedName name="_296__123Graph_XChart_27C" hidden="1">#REF!</definedName>
    <definedName name="_297__123Graph_BChart_17B" hidden="1">#REF!</definedName>
    <definedName name="_297__123Graph_BChart_23C" hidden="1">#REF!</definedName>
    <definedName name="_297__123Graph_XChart_2A" hidden="1">#REF!</definedName>
    <definedName name="_298__123Graph_DChart_16B" hidden="1">#REF!</definedName>
    <definedName name="_298__123Graph_XChart_3A" hidden="1">#REF!</definedName>
    <definedName name="_299__123Graph_CChart_23C" hidden="1">#REF!</definedName>
    <definedName name="_299__123Graph_DChart_16B" hidden="1">#REF!</definedName>
    <definedName name="_299__123Graph_XChart_4A" hidden="1">#REF!</definedName>
    <definedName name="_3___123Graph_AChart_12B" hidden="1">#REF!</definedName>
    <definedName name="_3__123Graph_AChart_10B" hidden="1">#REF!</definedName>
    <definedName name="_3__123Graph_AChart_11B" hidden="1">#REF!</definedName>
    <definedName name="_3__123Graph_AChart_12B" hidden="1">#REF!</definedName>
    <definedName name="_3__123Graph_ACHART_3" hidden="1">#REF!</definedName>
    <definedName name="_3__123Graph_BCHART_1" hidden="1">#REF!</definedName>
    <definedName name="_3__123Graph_BGráfico_1D" hidden="1">#REF!</definedName>
    <definedName name="_3__123Graph_CCHART_2" hidden="1">#REF!</definedName>
    <definedName name="_3__FDSAUDITLINK__" hidden="1">{"fdsup://IBCentral/FAT Viewer?action=UPDATE&amp;creator=factset&amp;DOC_NAME=fat:reuters_annual_source_window.fat&amp;display_string=Audit&amp;DYN_ARGS=TRUE&amp;VAR:ID1=738048&amp;VAR:RCODE=SCEX&amp;VAR:SDATE=20061299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30___123Graph_AChart_9A" hidden="1">#REF!</definedName>
    <definedName name="_30___123Graph_BChart_18B" hidden="1">#REF!</definedName>
    <definedName name="_30__123Graph_AChart_11B" hidden="1">#REF!</definedName>
    <definedName name="_30__123Graph_AChart_16B" hidden="1">#REF!</definedName>
    <definedName name="_30__123Graph_AChart_17B" hidden="1">#REF!</definedName>
    <definedName name="_30__123Graph_AChart_20C" hidden="1">#REF!</definedName>
    <definedName name="_30__123Graph_AChart_24C" hidden="1">#REF!</definedName>
    <definedName name="_30__123Graph_AChart_25C" hidden="1">#REF!</definedName>
    <definedName name="_30__123Graph_BChart_17B" hidden="1">#REF!</definedName>
    <definedName name="_30__123Graph_BChart_18B" hidden="1">#REF!</definedName>
    <definedName name="_30__123Graph_CGráfico_1H" hidden="1">#REF!</definedName>
    <definedName name="_30__123Graph_EGráfico_1D" hidden="1">#REF!</definedName>
    <definedName name="_30__123Graph_EGráfico_1H" hidden="1">#REF!</definedName>
    <definedName name="_30__123Graph_LBL_ACHART_1" hidden="1">#REF!</definedName>
    <definedName name="_30__FDSAUDITLINK__" hidden="1">{"fdsup://IBCentral/FAT Viewer?action=UPDATE&amp;creator=factset&amp;DOC_NAME=fat:reuters_annual_source_window.fat&amp;display_string=Audit&amp;DYN_ARGS=TRUE&amp;VAR:ID1=738048&amp;VAR:RCODE=DPTCF&amp;VAR:SDATE=20061299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300__123Graph_AChart_4A" hidden="1">#REF!</definedName>
    <definedName name="_300__123Graph_CChart_24C" hidden="1">#REF!</definedName>
    <definedName name="_300__123Graph_DChart_17B" hidden="1">#REF!</definedName>
    <definedName name="_300__123Graph_XChart_5A" hidden="1">#REF!</definedName>
    <definedName name="_301__123Graph_DChart_16B" hidden="1">#REF!</definedName>
    <definedName name="_301__123Graph_XChart_6A" hidden="1">#REF!</definedName>
    <definedName name="_302__123Graph_BChart_17B" hidden="1">#REF!</definedName>
    <definedName name="_302__123Graph_XChart_7A" hidden="1">#REF!</definedName>
    <definedName name="_303__123Graph_BChart_23C" hidden="1">#REF!</definedName>
    <definedName name="_303__123Graph_DChart_17B" hidden="1">#REF!</definedName>
    <definedName name="_303__123Graph_XChart_8A" hidden="1">#REF!</definedName>
    <definedName name="_304__123Graph_BChart_27C" hidden="1">#REF!</definedName>
    <definedName name="_304__123Graph_DChart_17B" hidden="1">#REF!</definedName>
    <definedName name="_304__123Graph_XChart_9A" hidden="1">#REF!</definedName>
    <definedName name="_305__123Graph_CChart_24C" hidden="1">#REF!</definedName>
    <definedName name="_305__123Graph_DChart_22C" hidden="1">#REF!</definedName>
    <definedName name="_306__123Graph_BChart_24C" hidden="1">#REF!</definedName>
    <definedName name="_306__123Graph_CChart_25C" hidden="1">#REF!</definedName>
    <definedName name="_306__123Graph_DChart_17B" hidden="1">#REF!</definedName>
    <definedName name="_307__123Graph_BChart_18B" hidden="1">#REF!</definedName>
    <definedName name="_308__123Graph_AChart_5A" hidden="1">#REF!</definedName>
    <definedName name="_308__123Graph_DChart_22C" hidden="1">#REF!</definedName>
    <definedName name="_309__123Graph_BChart_18B" hidden="1">#REF!</definedName>
    <definedName name="_309__123Graph_DChart_22C" hidden="1">#REF!</definedName>
    <definedName name="_31___123Graph_BChart_12B" hidden="1">#REF!</definedName>
    <definedName name="_31___123Graph_BChart_21C" hidden="1">#REF!</definedName>
    <definedName name="_31__123Graph_AChart_16B" hidden="1">#REF!</definedName>
    <definedName name="_31__123Graph_BChart_18B" hidden="1">#REF!</definedName>
    <definedName name="_31__123Graph_BChart_21C" hidden="1">#REF!</definedName>
    <definedName name="_31__123Graph_DGráfico_1B" hidden="1">#REF!</definedName>
    <definedName name="_31__123Graph_EGráfico_1E" hidden="1">#REF!</definedName>
    <definedName name="_31__123Graph_LBL_ACHART_2" hidden="1">#REF!</definedName>
    <definedName name="_31__FDSAUDITLINK__" hidden="1">{"fdsup://IBCentral/FAT Viewer?action=UPDATE&amp;creator=factset&amp;DOC_NAME=fat:reuters_annual_source_window.fat&amp;display_string=Audit&amp;DYN_ARGS=TRUE&amp;VAR:ID1=738048&amp;VAR:RCODE=FIBCEBITDA&amp;VAR:SDATE=20081299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310__123Graph_AChart_1A" hidden="1">#REF!</definedName>
    <definedName name="_310__123Graph_DChart_23C" hidden="1">#REF!</definedName>
    <definedName name="_311__123Graph_CChart_25C" hidden="1">#REF!</definedName>
    <definedName name="_311__123Graph_DChart_22C" hidden="1">#REF!</definedName>
    <definedName name="_312__123Graph_BChart_24C" hidden="1">#REF!</definedName>
    <definedName name="_312__123Graph_BChart_3A" hidden="1">#REF!</definedName>
    <definedName name="_312__123Graph_CChart_26C" hidden="1">#REF!</definedName>
    <definedName name="_313__123Graph_DChart_23C" hidden="1">#REF!</definedName>
    <definedName name="_314__123Graph_DChart_23C" hidden="1">#REF!</definedName>
    <definedName name="_315__123Graph_AChart_5A" hidden="1">#REF!</definedName>
    <definedName name="_315__123Graph_BChart_25C" hidden="1">#REF!</definedName>
    <definedName name="_315__123Graph_DChart_24C" hidden="1">#REF!</definedName>
    <definedName name="_316__123Graph_BChart_21C" hidden="1">#REF!</definedName>
    <definedName name="_316__123Graph_DChart_23C" hidden="1">#REF!</definedName>
    <definedName name="_317__123Graph_BChart_21C" hidden="1">#REF!</definedName>
    <definedName name="_317__123Graph_CChart_26C" hidden="1">#REF!</definedName>
    <definedName name="_318__123Graph_CChart_4A" hidden="1">#REF!</definedName>
    <definedName name="_318__123Graph_DChart_24C" hidden="1">#REF!</definedName>
    <definedName name="_319__123Graph_DChart_24C" hidden="1">#REF!</definedName>
    <definedName name="_32___123Graph_BChart_13B" hidden="1">#REF!</definedName>
    <definedName name="_32___123Graph_BChart_22C" hidden="1">#REF!</definedName>
    <definedName name="_32__123Graph_AChart_12B" hidden="1">#REF!</definedName>
    <definedName name="_32__123Graph_AChart_19C" hidden="1">#REF!</definedName>
    <definedName name="_32__123Graph_AChart_20C" hidden="1">#REF!</definedName>
    <definedName name="_32__123Graph_AChart_25C" hidden="1">#REF!</definedName>
    <definedName name="_32__123Graph_AChart_26C" hidden="1">#REF!</definedName>
    <definedName name="_32__123Graph_BChart_21C" hidden="1">#REF!</definedName>
    <definedName name="_32__123Graph_BChart_22C" hidden="1">#REF!</definedName>
    <definedName name="_32__123Graph_DGráfico_1C" hidden="1">#REF!</definedName>
    <definedName name="_32__123Graph_EGráfico_1F" hidden="1">#REF!</definedName>
    <definedName name="_32__123Graph_LBL_ACHART_3" hidden="1">#REF!</definedName>
    <definedName name="_32__FDSAUDITLINK__" hidden="1">{"fdsup://IBCentral/FAT Viewer?action=UPDATE&amp;creator=factset&amp;DOC_NAME=fat:reuters_annual_source_window.fat&amp;display_string=Audit&amp;DYN_ARGS=TRUE&amp;VAR:ID1=738048&amp;VAR:RCODE=FIBCEBITDA&amp;VAR:SDATE=20071299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320__123Graph_BChart_4A" hidden="1">#REF!</definedName>
    <definedName name="_320__123Graph_DChart_25C" hidden="1">#REF!</definedName>
    <definedName name="_321__123Graph_BChart_25C" hidden="1">#REF!</definedName>
    <definedName name="_321__123Graph_DChart_24C" hidden="1">#REF!</definedName>
    <definedName name="_322__123Graph_AChart_6A" hidden="1">#REF!</definedName>
    <definedName name="_323__123Graph_BChart_22C" hidden="1">#REF!</definedName>
    <definedName name="_323__123Graph_CChart_4A" hidden="1">#REF!</definedName>
    <definedName name="_323__123Graph_DChart_25C" hidden="1">#REF!</definedName>
    <definedName name="_324__123Graph_BChart_26C" hidden="1">#REF!</definedName>
    <definedName name="_324__123Graph_CChart_5A" hidden="1">#REF!</definedName>
    <definedName name="_324__123Graph_DChart_25C" hidden="1">#REF!</definedName>
    <definedName name="_325__123Graph_DChart_26C" hidden="1">#REF!</definedName>
    <definedName name="_326__123Graph_DChart_25C" hidden="1">#REF!</definedName>
    <definedName name="_327__123Graph_BChart_22C" hidden="1">#REF!</definedName>
    <definedName name="_328__123Graph_BChart_5A" hidden="1">#REF!</definedName>
    <definedName name="_328__123Graph_DChart_26C" hidden="1">#REF!</definedName>
    <definedName name="_329__123Graph_CChart_5A" hidden="1">#REF!</definedName>
    <definedName name="_329__123Graph_DChart_26C" hidden="1">#REF!</definedName>
    <definedName name="_33___123Graph_BChart_16B" hidden="1">#REF!</definedName>
    <definedName name="_33___123Graph_BChart_23C" hidden="1">#REF!</definedName>
    <definedName name="_33__123Graph_AChart_12B" hidden="1">#REF!</definedName>
    <definedName name="_33__123Graph_AChart_17B" hidden="1">#REF!</definedName>
    <definedName name="_33__123Graph_AChart_21C" hidden="1">#REF!</definedName>
    <definedName name="_33__123Graph_BChart_22C" hidden="1">#REF!</definedName>
    <definedName name="_33__123Graph_BChart_23C" hidden="1">#REF!</definedName>
    <definedName name="_33__123Graph_DGráfico_1D" hidden="1">#REF!</definedName>
    <definedName name="_33__123Graph_EGráfico_1G" hidden="1">#REF!</definedName>
    <definedName name="_33__123Graph_LBL_BCHART_3" hidden="1">#REF!</definedName>
    <definedName name="_33__FDSAUDITLINK__" hidden="1">{"fdsup://IBCentral/FAT Viewer?action=UPDATE&amp;creator=factset&amp;DOC_NAME=fat:reuters_annual_source_window.fat&amp;display_string=Audit&amp;DYN_ARGS=TRUE&amp;VAR:ID1=738048&amp;VAR:RCODE=FIBCEBITDA&amp;VAR:SDATE=20061299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330__123Graph_AChart_6A" hidden="1">#REF!</definedName>
    <definedName name="_330__123Graph_BChart_23C" hidden="1">#REF!</definedName>
    <definedName name="_330__123Graph_BChart_26C" hidden="1">#REF!</definedName>
    <definedName name="_330__123Graph_CChart_6A" hidden="1">#REF!</definedName>
    <definedName name="_330__123Graph_DChart_4A" hidden="1">#REF!</definedName>
    <definedName name="_331__123Graph_DChart_26C" hidden="1">#REF!</definedName>
    <definedName name="_333__123Graph_BChart_27C" hidden="1">#REF!</definedName>
    <definedName name="_333__123Graph_DChart_4A" hidden="1">#REF!</definedName>
    <definedName name="_334__123Graph_DChart_4A" hidden="1">#REF!</definedName>
    <definedName name="_335__123Graph_CChart_6A" hidden="1">#REF!</definedName>
    <definedName name="_335__123Graph_DChart_5A" hidden="1">#REF!</definedName>
    <definedName name="_336__123Graph_AChart_7A" hidden="1">#REF!</definedName>
    <definedName name="_336__123Graph_BChart_6A" hidden="1">#REF!</definedName>
    <definedName name="_336__123Graph_CChart_7A" hidden="1">#REF!</definedName>
    <definedName name="_336__123Graph_DChart_4A" hidden="1">#REF!</definedName>
    <definedName name="_337__123Graph_BChart_23C" hidden="1">#REF!</definedName>
    <definedName name="_337__123Graph_BChart_24C" hidden="1">#REF!</definedName>
    <definedName name="_338__123Graph_DChart_5A" hidden="1">#REF!</definedName>
    <definedName name="_339__123Graph_BChart_27C" hidden="1">#REF!</definedName>
    <definedName name="_339__123Graph_DChart_5A" hidden="1">#REF!</definedName>
    <definedName name="_34___123Graph_BChart_17B" hidden="1">#REF!</definedName>
    <definedName name="_34___123Graph_BChart_24C" hidden="1">#REF!</definedName>
    <definedName name="_34__123Graph_AChart_17B" hidden="1">#REF!</definedName>
    <definedName name="_34__123Graph_AChart_26C" hidden="1">#REF!</definedName>
    <definedName name="_34__123Graph_AChart_27C" hidden="1">#REF!</definedName>
    <definedName name="_34__123Graph_BChart_23C" hidden="1">#REF!</definedName>
    <definedName name="_34__123Graph_BChart_24C" hidden="1">#REF!</definedName>
    <definedName name="_34__123Graph_DGráfico_1E" hidden="1">#REF!</definedName>
    <definedName name="_34__123Graph_EGráfico_1H" hidden="1">#REF!</definedName>
    <definedName name="_34__123Graph_LBL_DCHART_1" hidden="1">#REF!</definedName>
    <definedName name="_34__FDSAUDITLINK__" hidden="1">{"fdsup://IBCentral/FAT Viewer?action=UPDATE&amp;creator=factset&amp;DOC_NAME=fat:reuters_annual_source_window.fat&amp;display_string=Audit&amp;DYN_ARGS=TRUE&amp;VAR:ID1=738048&amp;VAR:RCODE=FCOG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340__123Graph_DChart_6A" hidden="1">#REF!</definedName>
    <definedName name="_341__123Graph_AChart_20C" hidden="1">#REF!</definedName>
    <definedName name="_341__123Graph_CChart_7A" hidden="1">#REF!</definedName>
    <definedName name="_341__123Graph_DChart_5A" hidden="1">#REF!</definedName>
    <definedName name="_342__123Graph_CChart_8A" hidden="1">#REF!</definedName>
    <definedName name="_343__123Graph_DChart_6A" hidden="1">#REF!</definedName>
    <definedName name="_344__123Graph_BChart_25C" hidden="1">#REF!</definedName>
    <definedName name="_344__123Graph_BChart_7A" hidden="1">#REF!</definedName>
    <definedName name="_344__123Graph_DChart_6A" hidden="1">#REF!</definedName>
    <definedName name="_345__123Graph_AChart_7A" hidden="1">#REF!</definedName>
    <definedName name="_345__123Graph_DChart_7A" hidden="1">#REF!</definedName>
    <definedName name="_346__123Graph_DChart_6A" hidden="1">#REF!</definedName>
    <definedName name="_347__123Graph_BChart_24C" hidden="1">#REF!</definedName>
    <definedName name="_347__123Graph_CChart_8A" hidden="1">#REF!</definedName>
    <definedName name="_348__123Graph_BChart_3A" hidden="1">#REF!</definedName>
    <definedName name="_348__123Graph_DChart_13B" hidden="1">#REF!</definedName>
    <definedName name="_348__123Graph_DChart_7A" hidden="1">#REF!</definedName>
    <definedName name="_349__123Graph_DChart_7A" hidden="1">#REF!</definedName>
    <definedName name="_35___123Graph_BChart_18B" hidden="1">#REF!</definedName>
    <definedName name="_35___123Graph_BChart_25C" hidden="1">#REF!</definedName>
    <definedName name="_35__123Graph_AChart_16B" hidden="1">#REF!</definedName>
    <definedName name="_35__123Graph_AChart_18B" hidden="1">#REF!</definedName>
    <definedName name="_35__123Graph_AChart_21C" hidden="1">#REF!</definedName>
    <definedName name="_35__123Graph_BChart_24C" hidden="1">#REF!</definedName>
    <definedName name="_35__123Graph_BChart_25C" hidden="1">#REF!</definedName>
    <definedName name="_35__123Graph_DGráfico_1F" hidden="1">#REF!</definedName>
    <definedName name="_35__123Graph_LBL_DCHART_2" hidden="1">#REF!</definedName>
    <definedName name="_35__FDSAUDITLINK__" hidden="1">{"fdsup://IBCentral/FAT Viewer?action=UPDATE&amp;creator=factset&amp;DOC_NAME=fat:reuters_annual_source_window.fat&amp;display_string=Audit&amp;DYN_ARGS=TRUE&amp;VAR:ID1=738048&amp;VAR:RCODE=FCOGS&amp;VAR:SDATE=20071299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350__123Graph_AChart_8A" hidden="1">#REF!</definedName>
    <definedName name="_350__123Graph_DChart_8A" hidden="1">#REF!</definedName>
    <definedName name="_351__123Graph_BChart_26C" hidden="1">#REF!</definedName>
    <definedName name="_351__123Graph_DChart_7A" hidden="1">#REF!</definedName>
    <definedName name="_351__123Graph_XChart_10B" hidden="1">#REF!</definedName>
    <definedName name="_352__123Graph_BChart_8A" hidden="1">#REF!</definedName>
    <definedName name="_352__123Graph_XChart_11B" hidden="1">#REF!</definedName>
    <definedName name="_353__123Graph_DChart_13B" hidden="1">#REF!</definedName>
    <definedName name="_353__123Graph_DChart_8A" hidden="1">#REF!</definedName>
    <definedName name="_353__123Graph_XChart_12B" hidden="1">#REF!</definedName>
    <definedName name="_354__123Graph_DChart_16B" hidden="1">#REF!</definedName>
    <definedName name="_354__123Graph_DChart_8A" hidden="1">#REF!</definedName>
    <definedName name="_354__123Graph_XChart_13B" hidden="1">#REF!</definedName>
    <definedName name="_355__123Graph_XChart_10B" hidden="1">#REF!</definedName>
    <definedName name="_355__123Graph_XChart_17B" hidden="1">#REF!</definedName>
    <definedName name="_356__123Graph_DChart_8A" hidden="1">#REF!</definedName>
    <definedName name="_356__123Graph_XChart_11B" hidden="1">#REF!</definedName>
    <definedName name="_356__123Graph_XChart_18B" hidden="1">#REF!</definedName>
    <definedName name="_357__123Graph_BChart_25C" hidden="1">#REF!</definedName>
    <definedName name="_357__123Graph_BChart_4A" hidden="1">#REF!</definedName>
    <definedName name="_357__123Graph_XChart_11B" hidden="1">#REF!</definedName>
    <definedName name="_357__123Graph_XChart_12B" hidden="1">#REF!</definedName>
    <definedName name="_357__123Graph_XChart_19C" hidden="1">#REF!</definedName>
    <definedName name="_358__123Graph_BChart_27C" hidden="1">#REF!</definedName>
    <definedName name="_358__123Graph_XChart_10B" hidden="1">#REF!</definedName>
    <definedName name="_358__123Graph_XChart_13B" hidden="1">#REF!</definedName>
    <definedName name="_358__123Graph_XChart_1A" hidden="1">#REF!</definedName>
    <definedName name="_359__123Graph_DChart_16B" hidden="1">#REF!</definedName>
    <definedName name="_359__123Graph_XChart_12B" hidden="1">#REF!</definedName>
    <definedName name="_359__123Graph_XChart_17B" hidden="1">#REF!</definedName>
    <definedName name="_359__123Graph_XChart_20C" hidden="1">#REF!</definedName>
    <definedName name="_36___123Graph_BChart_21C" hidden="1">#REF!</definedName>
    <definedName name="_36___123Graph_BChart_26C" hidden="1">#REF!</definedName>
    <definedName name="_36__123Graph_AChart_17B" hidden="1">#REF!</definedName>
    <definedName name="_36__123Graph_AChart_1A" hidden="1">#REF!</definedName>
    <definedName name="_36__123Graph_AChart_22C" hidden="1">#REF!</definedName>
    <definedName name="_36__123Graph_AChart_27C" hidden="1">#REF!</definedName>
    <definedName name="_36__123Graph_AChart_2A" hidden="1">#REF!</definedName>
    <definedName name="_36__123Graph_BChart_25C" hidden="1">#REF!</definedName>
    <definedName name="_36__123Graph_BChart_26C" hidden="1">#REF!</definedName>
    <definedName name="_36__123Graph_DGráfico_1G" hidden="1">#REF!</definedName>
    <definedName name="_36__123Graph_XCHART_2" hidden="1">#REF!</definedName>
    <definedName name="_36__FDSAUDITLINK__" hidden="1">{"fdsup://IBCentral/FAT Viewer?action=UPDATE&amp;creator=factset&amp;DOC_NAME=fat:reuters_annual_source_window.fat&amp;display_string=Audit&amp;DYN_ARGS=TRUE&amp;VAR:ID1=738048&amp;VAR:RCODE=FCOGS&amp;VAR:SDATE=20061299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360__123Graph_AChart_8A" hidden="1">#REF!</definedName>
    <definedName name="_360__123Graph_BChart_5A" hidden="1">#REF!</definedName>
    <definedName name="_360__123Graph_BChart_9A" hidden="1">#REF!</definedName>
    <definedName name="_360__123Graph_DChart_17B" hidden="1">#REF!</definedName>
    <definedName name="_360__123Graph_XChart_11B" hidden="1">#REF!</definedName>
    <definedName name="_360__123Graph_XChart_18B" hidden="1">#REF!</definedName>
    <definedName name="_360__123Graph_XChart_21C" hidden="1">#REF!</definedName>
    <definedName name="_361__123Graph_XChart_13B" hidden="1">#REF!</definedName>
    <definedName name="_361__123Graph_XChart_19C" hidden="1">#REF!</definedName>
    <definedName name="_361__123Graph_XChart_22C" hidden="1">#REF!</definedName>
    <definedName name="_362__123Graph_XChart_12B" hidden="1">#REF!</definedName>
    <definedName name="_362__123Graph_XChart_1A" hidden="1">#REF!</definedName>
    <definedName name="_362__123Graph_XChart_23C" hidden="1">#REF!</definedName>
    <definedName name="_363__123Graph_XChart_17B" hidden="1">#REF!</definedName>
    <definedName name="_363__123Graph_XChart_20C" hidden="1">#REF!</definedName>
    <definedName name="_363__123Graph_XChart_24C" hidden="1">#REF!</definedName>
    <definedName name="_364__123Graph_AChart_9A" hidden="1">#REF!</definedName>
    <definedName name="_364__123Graph_XChart_13B" hidden="1">#REF!</definedName>
    <definedName name="_364__123Graph_XChart_21C" hidden="1">#REF!</definedName>
    <definedName name="_364__123Graph_XChart_25C" hidden="1">#REF!</definedName>
    <definedName name="_365__123Graph_BChart_3A" hidden="1">#REF!</definedName>
    <definedName name="_365__123Graph_DChart_17B" hidden="1">#REF!</definedName>
    <definedName name="_365__123Graph_XChart_18B" hidden="1">#REF!</definedName>
    <definedName name="_365__123Graph_XChart_22C" hidden="1">#REF!</definedName>
    <definedName name="_365__123Graph_XChart_26C" hidden="1">#REF!</definedName>
    <definedName name="_366__123Graph_BChart_5A" hidden="1">#REF!</definedName>
    <definedName name="_366__123Graph_DChart_22C" hidden="1">#REF!</definedName>
    <definedName name="_366__123Graph_XChart_17B" hidden="1">#REF!</definedName>
    <definedName name="_366__123Graph_XChart_23C" hidden="1">#REF!</definedName>
    <definedName name="_366__123Graph_XChart_27C" hidden="1">#REF!</definedName>
    <definedName name="_367__123Graph_BChart_26C" hidden="1">#REF!</definedName>
    <definedName name="_367__123Graph_XChart_19C" hidden="1">#REF!</definedName>
    <definedName name="_367__123Graph_XChart_24C" hidden="1">#REF!</definedName>
    <definedName name="_367__123Graph_XChart_2A" hidden="1">#REF!</definedName>
    <definedName name="_368__123Graph_CChart_13B" hidden="1">#REF!</definedName>
    <definedName name="_368__123Graph_XChart_18B" hidden="1">#REF!</definedName>
    <definedName name="_368__123Graph_XChart_25C" hidden="1">#REF!</definedName>
    <definedName name="_368__123Graph_XChart_3A" hidden="1">#REF!</definedName>
    <definedName name="_369__123Graph_BChart_6A" hidden="1">#REF!</definedName>
    <definedName name="_369__123Graph_XChart_1A" hidden="1">#REF!</definedName>
    <definedName name="_369__123Graph_XChart_26C" hidden="1">#REF!</definedName>
    <definedName name="_369__123Graph_XChart_4A" hidden="1">#REF!</definedName>
    <definedName name="_37___123Graph_BChart_22C" hidden="1">#REF!</definedName>
    <definedName name="_37___123Graph_BChart_27C" hidden="1">#REF!</definedName>
    <definedName name="_37__123Graph_AChart_12B" hidden="1">#REF!</definedName>
    <definedName name="_37__123Graph_BChart_26C" hidden="1">#REF!</definedName>
    <definedName name="_37__123Graph_BChart_27C" hidden="1">#REF!</definedName>
    <definedName name="_37__123Graph_DGráfico_1H" hidden="1">#REF!</definedName>
    <definedName name="_37__123Graph_XCHART_3" hidden="1">#REF!</definedName>
    <definedName name="_37__FDSAUDITLINK__" hidden="1">{"fdsup://IBCentral/FAT Viewer?action=UPDATE&amp;creator=factset&amp;DOC_NAME=fat:reuters_annual_source_window.fat&amp;display_string=Audit&amp;DYN_ARGS=TRUE&amp;VAR:ID1=738048&amp;VAR:RCODE=FDSREVSTOTAL&amp;VAR:SDATE=20081299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370__123Graph_XChart_19C" hidden="1">#REF!</definedName>
    <definedName name="_370__123Graph_XChart_27C" hidden="1">#REF!</definedName>
    <definedName name="_370__123Graph_XChart_5A" hidden="1">#REF!</definedName>
    <definedName name="_371__123Graph_DChart_22C" hidden="1">#REF!</definedName>
    <definedName name="_371__123Graph_XChart_20C" hidden="1">#REF!</definedName>
    <definedName name="_371__123Graph_XChart_2A" hidden="1">#REF!</definedName>
    <definedName name="_371__123Graph_XChart_6A" hidden="1">#REF!</definedName>
    <definedName name="_372__123Graph_AChart_21C" hidden="1">#REF!</definedName>
    <definedName name="_372__123Graph_BChart_4A" hidden="1">#REF!</definedName>
    <definedName name="_372__123Graph_DChart_23C" hidden="1">#REF!</definedName>
    <definedName name="_372__123Graph_XChart_1A" hidden="1">#REF!</definedName>
    <definedName name="_372__123Graph_XChart_3A" hidden="1">#REF!</definedName>
    <definedName name="_372__123Graph_XChart_7A" hidden="1">#REF!</definedName>
    <definedName name="_373__123Graph_XChart_21C" hidden="1">#REF!</definedName>
    <definedName name="_373__123Graph_XChart_4A" hidden="1">#REF!</definedName>
    <definedName name="_373__123Graph_XChart_8A" hidden="1">#REF!</definedName>
    <definedName name="_374__123Graph_XChart_20C" hidden="1">#REF!</definedName>
    <definedName name="_374__123Graph_XChart_5A" hidden="1">#REF!</definedName>
    <definedName name="_374__123Graph_XChart_9A" hidden="1">#REF!</definedName>
    <definedName name="_375__123Graph_AChart_9A" hidden="1">#REF!</definedName>
    <definedName name="_375__123Graph_BChart_6A" hidden="1">#REF!</definedName>
    <definedName name="_375__123Graph_XChart_22C" hidden="1">#REF!</definedName>
    <definedName name="_375__123Graph_XChart_6A" hidden="1">#REF!</definedName>
    <definedName name="_376__123Graph_CChart_16B" hidden="1">#REF!</definedName>
    <definedName name="_376__123Graph_XChart_21C" hidden="1">#REF!</definedName>
    <definedName name="_376__123Graph_XChart_7A" hidden="1">#REF!</definedName>
    <definedName name="_377__123Graph_BChart_27C" hidden="1">#REF!</definedName>
    <definedName name="_377__123Graph_DChart_23C" hidden="1">#REF!</definedName>
    <definedName name="_377__123Graph_XChart_23C" hidden="1">#REF!</definedName>
    <definedName name="_377__123Graph_XChart_8A" hidden="1">#REF!</definedName>
    <definedName name="_378__123Graph_BChart_12B" hidden="1">#REF!</definedName>
    <definedName name="_378__123Graph_BChart_7A" hidden="1">#REF!</definedName>
    <definedName name="_378__123Graph_DChart_24C" hidden="1">#REF!</definedName>
    <definedName name="_378__123Graph_XChart_22C" hidden="1">#REF!</definedName>
    <definedName name="_378__123Graph_XChart_9A" hidden="1">#REF!</definedName>
    <definedName name="_379__123Graph_BChart_5A" hidden="1">#REF!</definedName>
    <definedName name="_379__123Graph_XChart_24C" hidden="1">#REF!</definedName>
    <definedName name="_38___123Graph_BChart_23C" hidden="1">#REF!</definedName>
    <definedName name="_38___123Graph_BChart_3A" hidden="1">#REF!</definedName>
    <definedName name="_38__123Graph_AChart_18B" hidden="1">#REF!</definedName>
    <definedName name="_38__123Graph_AChart_22C" hidden="1">#REF!</definedName>
    <definedName name="_38__123Graph_AChart_2A" hidden="1">#REF!</definedName>
    <definedName name="_38__123Graph_AChart_3A" hidden="1">#REF!</definedName>
    <definedName name="_38__123Graph_BChart_27C" hidden="1">#REF!</definedName>
    <definedName name="_38__123Graph_BChart_3A" hidden="1">#REF!</definedName>
    <definedName name="_38__123Graph_EGráfico_1B" hidden="1">#REF!</definedName>
    <definedName name="_38__FDSAUDITLINK__" hidden="1">{"fdsup://IBCentral/FAT Viewer?action=UPDATE&amp;creator=factset&amp;DOC_NAME=fat:reuters_annual_source_window.fat&amp;display_string=Audit&amp;DYN_ARGS=TRUE&amp;VAR:ID1=738048&amp;VAR:RCODE=FDSREVSTOTAL&amp;VAR:SDATE=20071299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380__123Graph_XChart_23C" hidden="1">#REF!</definedName>
    <definedName name="_381__123Graph_XChart_25C" hidden="1">#REF!</definedName>
    <definedName name="_382__123Graph_XChart_24C" hidden="1">#REF!</definedName>
    <definedName name="_383__123Graph_DChart_24C" hidden="1">#REF!</definedName>
    <definedName name="_383__123Graph_XChart_26C" hidden="1">#REF!</definedName>
    <definedName name="_384__123Graph_BChart_7A" hidden="1">#REF!</definedName>
    <definedName name="_384__123Graph_CChart_17B" hidden="1">#REF!</definedName>
    <definedName name="_384__123Graph_DChart_25C" hidden="1">#REF!</definedName>
    <definedName name="_384__123Graph_XChart_25C" hidden="1">#REF!</definedName>
    <definedName name="_385__123Graph_XChart_27C" hidden="1">#REF!</definedName>
    <definedName name="_386__123Graph_BChart_6A" hidden="1">#REF!</definedName>
    <definedName name="_386__123Graph_XChart_26C" hidden="1">#REF!</definedName>
    <definedName name="_387__123Graph_BChart_3A" hidden="1">#REF!</definedName>
    <definedName name="_387__123Graph_BChart_8A" hidden="1">#REF!</definedName>
    <definedName name="_387__123Graph_XChart_2A" hidden="1">#REF!</definedName>
    <definedName name="_388__123Graph_XChart_27C" hidden="1">#REF!</definedName>
    <definedName name="_389__123Graph_DChart_25C" hidden="1">#REF!</definedName>
    <definedName name="_389__123Graph_XChart_3A" hidden="1">#REF!</definedName>
    <definedName name="_39___123Graph_BChart_24C" hidden="1">#REF!</definedName>
    <definedName name="_39___123Graph_BChart_4A" hidden="1">#REF!</definedName>
    <definedName name="_39__123Graph_AChart_18B" hidden="1">#REF!</definedName>
    <definedName name="_39__123Graph_AChart_23C" hidden="1">#REF!</definedName>
    <definedName name="_39__123Graph_BChart_3A" hidden="1">#REF!</definedName>
    <definedName name="_39__123Graph_BChart_4A" hidden="1">#REF!</definedName>
    <definedName name="_39__123Graph_EGráfico_1C" hidden="1">#REF!</definedName>
    <definedName name="_39__FDSAUDITLINK__" hidden="1">{"fdsup://IBCentral/FAT Viewer?action=UPDATE&amp;creator=factset&amp;DOC_NAME=fat:reuters_annual_source_window.fat&amp;display_string=Audit&amp;DYN_ARGS=TRUE&amp;VAR:ID1=738048&amp;VAR:RCODE=FDSREVSTOTAL&amp;VAR:SDATE=20061299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390__123Graph_BChart_12B" hidden="1">#REF!</definedName>
    <definedName name="_390__123Graph_DChart_26C" hidden="1">#REF!</definedName>
    <definedName name="_390__123Graph_XChart_2A" hidden="1">#REF!</definedName>
    <definedName name="_391__123Graph_XChart_4A" hidden="1">#REF!</definedName>
    <definedName name="_392__123Graph_BChart_13B" hidden="1">#REF!</definedName>
    <definedName name="_392__123Graph_CChart_22C" hidden="1">#REF!</definedName>
    <definedName name="_392__123Graph_XChart_3A" hidden="1">#REF!</definedName>
    <definedName name="_393__123Graph_BChart_7A" hidden="1">#REF!</definedName>
    <definedName name="_393__123Graph_BChart_8A" hidden="1">#REF!</definedName>
    <definedName name="_393__123Graph_XChart_5A" hidden="1">#REF!</definedName>
    <definedName name="_394__123Graph_XChart_4A" hidden="1">#REF!</definedName>
    <definedName name="_395__123Graph_DChart_26C" hidden="1">#REF!</definedName>
    <definedName name="_395__123Graph_XChart_6A" hidden="1">#REF!</definedName>
    <definedName name="_396__123Graph_BChart_9A" hidden="1">#REF!</definedName>
    <definedName name="_396__123Graph_DChart_4A" hidden="1">#REF!</definedName>
    <definedName name="_396__123Graph_XChart_5A" hidden="1">#REF!</definedName>
    <definedName name="_397__123Graph_BChart_4A" hidden="1">#REF!</definedName>
    <definedName name="_397__123Graph_XChart_7A" hidden="1">#REF!</definedName>
    <definedName name="_398__123Graph_XChart_6A" hidden="1">#REF!</definedName>
    <definedName name="_399__123Graph_XChart_8A" hidden="1">#REF!</definedName>
    <definedName name="_4___123Graph_AChart_13B" hidden="1">#REF!</definedName>
    <definedName name="_4__123Graph_AChart_10B" hidden="1">#REF!</definedName>
    <definedName name="_4__123Graph_AChart_11B" hidden="1">#REF!</definedName>
    <definedName name="_4__123Graph_AChart_12B" hidden="1">#REF!</definedName>
    <definedName name="_4__123Graph_AChart_13B" hidden="1">#REF!</definedName>
    <definedName name="_4__123Graph_BCHART_1" hidden="1">#REF!</definedName>
    <definedName name="_4__123Graph_BCHART_4" hidden="1">#REF!</definedName>
    <definedName name="_4__123Graph_BGráfico_1E" hidden="1">#REF!</definedName>
    <definedName name="_4__123Graph_DCHART_2" hidden="1">#REF!</definedName>
    <definedName name="_4__FDSAUDITLINK__" hidden="1">{"fdsup://IBCentral/FAT Viewer?action=UPDATE&amp;creator=factset&amp;DOC_NAME=fat:reuters_annual_source_window.fat&amp;display_string=Audit&amp;DYN_ARGS=TRUE&amp;VAR:ID1=738048&amp;VAR:RCODE=TIAT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40___123Graph_BChart_25C" hidden="1">#REF!</definedName>
    <definedName name="_40___123Graph_BChart_5A" hidden="1">#REF!</definedName>
    <definedName name="_40__123Graph_AChart_13B" hidden="1">#REF!</definedName>
    <definedName name="_40__123Graph_AChart_19C" hidden="1">#REF!</definedName>
    <definedName name="_40__123Graph_AChart_20C" hidden="1">#REF!</definedName>
    <definedName name="_40__123Graph_AChart_3A" hidden="1">#REF!</definedName>
    <definedName name="_40__123Graph_AChart_4A" hidden="1">#REF!</definedName>
    <definedName name="_40__123Graph_BChart_4A" hidden="1">#REF!</definedName>
    <definedName name="_40__123Graph_BChart_5A" hidden="1">#REF!</definedName>
    <definedName name="_40__123Graph_EGráfico_1D" hidden="1">#REF!</definedName>
    <definedName name="_400__123Graph_BChart_8A" hidden="1">#REF!</definedName>
    <definedName name="_400__123Graph_CChart_23C" hidden="1">#REF!</definedName>
    <definedName name="_400__123Graph_XChart_7A" hidden="1">#REF!</definedName>
    <definedName name="_401__123Graph_DChart_4A" hidden="1">#REF!</definedName>
    <definedName name="_401__123Graph_XChart_9A" hidden="1">#REF!</definedName>
    <definedName name="_402__123Graph_BChart_9A" hidden="1">#REF!</definedName>
    <definedName name="_402__123Graph_DChart_5A" hidden="1">#REF!</definedName>
    <definedName name="_402__123Graph_XChart_8A" hidden="1">#REF!</definedName>
    <definedName name="_403__123Graph_AChart_22C" hidden="1">#REF!</definedName>
    <definedName name="_404__123Graph_XChart_9A" hidden="1">#REF!</definedName>
    <definedName name="_405__123Graph_BChart_13B" hidden="1">#REF!</definedName>
    <definedName name="_405__123Graph_CChart_13B" hidden="1">#REF!</definedName>
    <definedName name="_406__123Graph_BChart_16B" hidden="1">#REF!</definedName>
    <definedName name="_407__123Graph_BChart_5A" hidden="1">#REF!</definedName>
    <definedName name="_407__123Graph_BChart_9A" hidden="1">#REF!</definedName>
    <definedName name="_407__123Graph_DChart_5A" hidden="1">#REF!</definedName>
    <definedName name="_408__123Graph_CChart_24C" hidden="1">#REF!</definedName>
    <definedName name="_408__123Graph_DChart_6A" hidden="1">#REF!</definedName>
    <definedName name="_41___123Graph_BChart_26C" hidden="1">#REF!</definedName>
    <definedName name="_41___123Graph_BChart_6A" hidden="1">#REF!</definedName>
    <definedName name="_41__123Graph_AChart_17B" hidden="1">#REF!</definedName>
    <definedName name="_41__123Graph_AChart_18B" hidden="1">#REF!</definedName>
    <definedName name="_41__123Graph_AChart_23C" hidden="1">#REF!</definedName>
    <definedName name="_41__123Graph_BChart_5A" hidden="1">#REF!</definedName>
    <definedName name="_41__123Graph_BChart_6A" hidden="1">#REF!</definedName>
    <definedName name="_41__123Graph_EGráfico_1E" hidden="1">#REF!</definedName>
    <definedName name="_411__123Graph_CChart_13B" hidden="1">#REF!</definedName>
    <definedName name="_413__123Graph_DChart_6A" hidden="1">#REF!</definedName>
    <definedName name="_414__123Graph_CChart_13B" hidden="1">#REF!</definedName>
    <definedName name="_414__123Graph_CChart_16B" hidden="1">#REF!</definedName>
    <definedName name="_414__123Graph_DChart_7A" hidden="1">#REF!</definedName>
    <definedName name="_416__123Graph_CChart_25C" hidden="1">#REF!</definedName>
    <definedName name="_417__123Graph_BChart_6A" hidden="1">#REF!</definedName>
    <definedName name="_419__123Graph_DChart_7A" hidden="1">#REF!</definedName>
    <definedName name="_42___123Graph_BChart_27C" hidden="1">#REF!</definedName>
    <definedName name="_42___123Graph_BChart_7A" hidden="1">#REF!</definedName>
    <definedName name="_42__123Graph_AChart_11B" hidden="1">#REF!</definedName>
    <definedName name="_42__123Graph_AChart_13B" hidden="1">#REF!</definedName>
    <definedName name="_42__123Graph_AChart_18B" hidden="1">#REF!</definedName>
    <definedName name="_42__123Graph_AChart_24C" hidden="1">#REF!</definedName>
    <definedName name="_42__123Graph_AChart_4A" hidden="1">#REF!</definedName>
    <definedName name="_42__123Graph_AChart_5A" hidden="1">#REF!</definedName>
    <definedName name="_42__123Graph_BChart_6A" hidden="1">#REF!</definedName>
    <definedName name="_42__123Graph_BChart_7A" hidden="1">#REF!</definedName>
    <definedName name="_42__123Graph_EGráfico_1F" hidden="1">#REF!</definedName>
    <definedName name="_420__123Graph_BChart_16B" hidden="1">#REF!</definedName>
    <definedName name="_420__123Graph_BChart_17B" hidden="1">#REF!</definedName>
    <definedName name="_420__123Graph_CChart_16B" hidden="1">#REF!</definedName>
    <definedName name="_420__123Graph_DChart_8A" hidden="1">#REF!</definedName>
    <definedName name="_421__123Graph_CChart_16B" hidden="1">#REF!</definedName>
    <definedName name="_421__123Graph_XChart_10B" hidden="1">#REF!</definedName>
    <definedName name="_422__123Graph_XChart_11B" hidden="1">#REF!</definedName>
    <definedName name="_423__123Graph_CChart_17B" hidden="1">#REF!</definedName>
    <definedName name="_423__123Graph_XChart_12B" hidden="1">#REF!</definedName>
    <definedName name="_424__123Graph_CChart_26C" hidden="1">#REF!</definedName>
    <definedName name="_424__123Graph_XChart_13B" hidden="1">#REF!</definedName>
    <definedName name="_425__123Graph_DChart_8A" hidden="1">#REF!</definedName>
    <definedName name="_425__123Graph_XChart_17B" hidden="1">#REF!</definedName>
    <definedName name="_426__123Graph_XChart_10B" hidden="1">#REF!</definedName>
    <definedName name="_426__123Graph_XChart_18B" hidden="1">#REF!</definedName>
    <definedName name="_427__123Graph_BChart_7A" hidden="1">#REF!</definedName>
    <definedName name="_427__123Graph_XChart_10B" hidden="1">#REF!</definedName>
    <definedName name="_427__123Graph_XChart_11B" hidden="1">#REF!</definedName>
    <definedName name="_427__123Graph_XChart_19C" hidden="1">#REF!</definedName>
    <definedName name="_428__123Graph_CChart_17B" hidden="1">#REF!</definedName>
    <definedName name="_428__123Graph_XChart_12B" hidden="1">#REF!</definedName>
    <definedName name="_428__123Graph_XChart_1A" hidden="1">#REF!</definedName>
    <definedName name="_429__123Graph_CChart_17B" hidden="1">#REF!</definedName>
    <definedName name="_429__123Graph_XChart_11B" hidden="1">#REF!</definedName>
    <definedName name="_429__123Graph_XChart_13B" hidden="1">#REF!</definedName>
    <definedName name="_429__123Graph_XChart_20C" hidden="1">#REF!</definedName>
    <definedName name="_43___123Graph_BChart_3A" hidden="1">#REF!</definedName>
    <definedName name="_43___123Graph_BChart_8A" hidden="1">#REF!</definedName>
    <definedName name="_43__123Graph_AChart_19C" hidden="1">#REF!</definedName>
    <definedName name="_43__123Graph_BChart_7A" hidden="1">#REF!</definedName>
    <definedName name="_43__123Graph_BChart_8A" hidden="1">#REF!</definedName>
    <definedName name="_43__123Graph_EGráfico_1G" hidden="1">#REF!</definedName>
    <definedName name="_430__123Graph_XChart_17B" hidden="1">#REF!</definedName>
    <definedName name="_430__123Graph_XChart_21C" hidden="1">#REF!</definedName>
    <definedName name="_431__123Graph_XChart_12B" hidden="1">#REF!</definedName>
    <definedName name="_431__123Graph_XChart_18B" hidden="1">#REF!</definedName>
    <definedName name="_431__123Graph_XChart_22C" hidden="1">#REF!</definedName>
    <definedName name="_432__123Graph_CChart_22C" hidden="1">#REF!</definedName>
    <definedName name="_432__123Graph_CChart_4A" hidden="1">#REF!</definedName>
    <definedName name="_432__123Graph_XChart_19C" hidden="1">#REF!</definedName>
    <definedName name="_432__123Graph_XChart_23C" hidden="1">#REF!</definedName>
    <definedName name="_433__123Graph_XChart_13B" hidden="1">#REF!</definedName>
    <definedName name="_433__123Graph_XChart_1A" hidden="1">#REF!</definedName>
    <definedName name="_433__123Graph_XChart_24C" hidden="1">#REF!</definedName>
    <definedName name="_434__123Graph_AChart_23C" hidden="1">#REF!</definedName>
    <definedName name="_434__123Graph_BChart_18B" hidden="1">#REF!</definedName>
    <definedName name="_434__123Graph_XChart_20C" hidden="1">#REF!</definedName>
    <definedName name="_434__123Graph_XChart_25C" hidden="1">#REF!</definedName>
    <definedName name="_435__123Graph_BChart_17B" hidden="1">#REF!</definedName>
    <definedName name="_435__123Graph_CChart_22C" hidden="1">#REF!</definedName>
    <definedName name="_435__123Graph_XChart_17B" hidden="1">#REF!</definedName>
    <definedName name="_435__123Graph_XChart_21C" hidden="1">#REF!</definedName>
    <definedName name="_435__123Graph_XChart_26C" hidden="1">#REF!</definedName>
    <definedName name="_436__123Graph_XChart_22C" hidden="1">#REF!</definedName>
    <definedName name="_436__123Graph_XChart_27C" hidden="1">#REF!</definedName>
    <definedName name="_437__123Graph_BChart_8A" hidden="1">#REF!</definedName>
    <definedName name="_437__123Graph_XChart_18B" hidden="1">#REF!</definedName>
    <definedName name="_437__123Graph_XChart_23C" hidden="1">#REF!</definedName>
    <definedName name="_437__123Graph_XChart_2A" hidden="1">#REF!</definedName>
    <definedName name="_438__123Graph_CChart_22C" hidden="1">#REF!</definedName>
    <definedName name="_438__123Graph_XChart_24C" hidden="1">#REF!</definedName>
    <definedName name="_438__123Graph_XChart_3A" hidden="1">#REF!</definedName>
    <definedName name="_439__123Graph_XChart_19C" hidden="1">#REF!</definedName>
    <definedName name="_439__123Graph_XChart_25C" hidden="1">#REF!</definedName>
    <definedName name="_439__123Graph_XChart_4A" hidden="1">#REF!</definedName>
    <definedName name="_44___123Graph_BChart_4A" hidden="1">#REF!</definedName>
    <definedName name="_44___123Graph_BChart_9A" hidden="1">#REF!</definedName>
    <definedName name="_44__123Graph_AChart_19C" hidden="1">#REF!</definedName>
    <definedName name="_44__123Graph_AChart_21C" hidden="1">#REF!</definedName>
    <definedName name="_44__123Graph_AChart_24C" hidden="1">#REF!</definedName>
    <definedName name="_44__123Graph_AChart_5A" hidden="1">#REF!</definedName>
    <definedName name="_44__123Graph_AChart_6A" hidden="1">#REF!</definedName>
    <definedName name="_44__123Graph_BChart_8A" hidden="1">#REF!</definedName>
    <definedName name="_44__123Graph_BChart_9A" hidden="1">#REF!</definedName>
    <definedName name="_44__123Graph_EGráfico_1H" hidden="1">#REF!</definedName>
    <definedName name="_440__123Graph_CChart_5A" hidden="1">#REF!</definedName>
    <definedName name="_440__123Graph_XChart_26C" hidden="1">#REF!</definedName>
    <definedName name="_440__123Graph_XChart_5A" hidden="1">#REF!</definedName>
    <definedName name="_441__123Graph_CChart_23C" hidden="1">#REF!</definedName>
    <definedName name="_441__123Graph_XChart_1A" hidden="1">#REF!</definedName>
    <definedName name="_441__123Graph_XChart_27C" hidden="1">#REF!</definedName>
    <definedName name="_441__123Graph_XChart_6A" hidden="1">#REF!</definedName>
    <definedName name="_442__123Graph_CChart_23C" hidden="1">#REF!</definedName>
    <definedName name="_442__123Graph_XChart_2A" hidden="1">#REF!</definedName>
    <definedName name="_442__123Graph_XChart_7A" hidden="1">#REF!</definedName>
    <definedName name="_443__123Graph_XChart_20C" hidden="1">#REF!</definedName>
    <definedName name="_443__123Graph_XChart_3A" hidden="1">#REF!</definedName>
    <definedName name="_443__123Graph_XChart_8A" hidden="1">#REF!</definedName>
    <definedName name="_444__123Graph_XChart_4A" hidden="1">#REF!</definedName>
    <definedName name="_444__123Graph_XChart_9A" hidden="1">#REF!</definedName>
    <definedName name="_445__123Graph_XChart_21C" hidden="1">#REF!</definedName>
    <definedName name="_445__123Graph_XChart_5A" hidden="1">#REF!</definedName>
    <definedName name="_446__123Graph_XChart_6A" hidden="1">#REF!</definedName>
    <definedName name="_447__123Graph_BChart_9A" hidden="1">#REF!</definedName>
    <definedName name="_447__123Graph_CChart_23C" hidden="1">#REF!</definedName>
    <definedName name="_447__123Graph_XChart_22C" hidden="1">#REF!</definedName>
    <definedName name="_447__123Graph_XChart_7A" hidden="1">#REF!</definedName>
    <definedName name="_448__123Graph_BChart_21C" hidden="1">#REF!</definedName>
    <definedName name="_448__123Graph_CChart_6A" hidden="1">#REF!</definedName>
    <definedName name="_448__123Graph_XChart_8A" hidden="1">#REF!</definedName>
    <definedName name="_449__123Graph_CChart_24C" hidden="1">#REF!</definedName>
    <definedName name="_449__123Graph_XChart_23C" hidden="1">#REF!</definedName>
    <definedName name="_449__123Graph_XChart_9A" hidden="1">#REF!</definedName>
    <definedName name="_45___123Graph_BChart_5A" hidden="1">#REF!</definedName>
    <definedName name="_45___123Graph_CChart_13B" hidden="1">#REF!</definedName>
    <definedName name="_45__123Graph_AChart_12B" hidden="1">#REF!</definedName>
    <definedName name="_45__123Graph_AChart_16B" hidden="1">#REF!</definedName>
    <definedName name="_45__123Graph_AChart_1A" hidden="1">#REF!</definedName>
    <definedName name="_45__123Graph_AChart_25C" hidden="1">#REF!</definedName>
    <definedName name="_45__123Graph_BChart_9A" hidden="1">#REF!</definedName>
    <definedName name="_45__123Graph_CChart_13B" hidden="1">#REF!</definedName>
    <definedName name="_450__123Graph_BChart_18B" hidden="1">#REF!</definedName>
    <definedName name="_450__123Graph_CChart_24C" hidden="1">#REF!</definedName>
    <definedName name="_451__123Graph_XChart_24C" hidden="1">#REF!</definedName>
    <definedName name="_453__123Graph_XChart_25C" hidden="1">#REF!</definedName>
    <definedName name="_455__123Graph_XChart_26C" hidden="1">#REF!</definedName>
    <definedName name="_456__123Graph_CChart_24C" hidden="1">#REF!</definedName>
    <definedName name="_456__123Graph_CChart_25C" hidden="1">#REF!</definedName>
    <definedName name="_456__123Graph_CChart_7A" hidden="1">#REF!</definedName>
    <definedName name="_457__123Graph_CChart_13B" hidden="1">#REF!</definedName>
    <definedName name="_457__123Graph_XChart_27C" hidden="1">#REF!</definedName>
    <definedName name="_459__123Graph_CChart_25C" hidden="1">#REF!</definedName>
    <definedName name="_459__123Graph_XChart_2A" hidden="1">#REF!</definedName>
    <definedName name="_46___123Graph_BChart_6A" hidden="1">#REF!</definedName>
    <definedName name="_46___123Graph_CChart_16B" hidden="1">#REF!</definedName>
    <definedName name="_46__123Graph_AChart_19C" hidden="1">#REF!</definedName>
    <definedName name="_46__123Graph_AChart_6A" hidden="1">#REF!</definedName>
    <definedName name="_46__123Graph_AChart_7A" hidden="1">#REF!</definedName>
    <definedName name="_46__123Graph_BGráfico_1B" hidden="1">#REF!</definedName>
    <definedName name="_46__123Graph_CChart_13B" hidden="1">#REF!</definedName>
    <definedName name="_46__123Graph_CChart_16B" hidden="1">#REF!</definedName>
    <definedName name="_461__123Graph_XChart_3A" hidden="1">#REF!</definedName>
    <definedName name="_462__123Graph_BChart_22C" hidden="1">#REF!</definedName>
    <definedName name="_463__123Graph_CChart_26C" hidden="1">#REF!</definedName>
    <definedName name="_463__123Graph_XChart_4A" hidden="1">#REF!</definedName>
    <definedName name="_464__123Graph_CChart_8A" hidden="1">#REF!</definedName>
    <definedName name="_465__123Graph_AChart_24C" hidden="1">#REF!</definedName>
    <definedName name="_465__123Graph_BChart_21C" hidden="1">#REF!</definedName>
    <definedName name="_465__123Graph_CChart_25C" hidden="1">#REF!</definedName>
    <definedName name="_465__123Graph_XChart_5A" hidden="1">#REF!</definedName>
    <definedName name="_467__123Graph_CChart_16B" hidden="1">#REF!</definedName>
    <definedName name="_467__123Graph_XChart_6A" hidden="1">#REF!</definedName>
    <definedName name="_468__123Graph_CChart_26C" hidden="1">#REF!</definedName>
    <definedName name="_469__123Graph_XChart_7A" hidden="1">#REF!</definedName>
    <definedName name="_47___123Graph_BChart_7A" hidden="1">#REF!</definedName>
    <definedName name="_47___123Graph_CChart_17B" hidden="1">#REF!</definedName>
    <definedName name="_47__123Graph_AChart_13B" hidden="1">#REF!</definedName>
    <definedName name="_47__123Graph_AChart_18B" hidden="1">#REF!</definedName>
    <definedName name="_47__123Graph_AChart_25C" hidden="1">#REF!</definedName>
    <definedName name="_47__123Graph_BGráfico_1C" hidden="1">#REF!</definedName>
    <definedName name="_47__123Graph_CChart_16B" hidden="1">#REF!</definedName>
    <definedName name="_47__123Graph_CChart_17B" hidden="1">#REF!</definedName>
    <definedName name="_470__123Graph_CChart_4A" hidden="1">#REF!</definedName>
    <definedName name="_471__123Graph_XChart_8A" hidden="1">#REF!</definedName>
    <definedName name="_472__123Graph_DChart_13B" hidden="1">#REF!</definedName>
    <definedName name="_473__123Graph_XChart_9A" hidden="1">#REF!</definedName>
    <definedName name="_474__123Graph_CChart_26C" hidden="1">#REF!</definedName>
    <definedName name="_476__123Graph_BChart_23C" hidden="1">#REF!</definedName>
    <definedName name="_477__123Graph_CChart_17B" hidden="1">#REF!</definedName>
    <definedName name="_477__123Graph_CChart_4A" hidden="1">#REF!</definedName>
    <definedName name="_477__123Graph_CChart_5A" hidden="1">#REF!</definedName>
    <definedName name="_48___123Graph_BChart_8A" hidden="1">#REF!</definedName>
    <definedName name="_48___123Graph_CChart_22C" hidden="1">#REF!</definedName>
    <definedName name="_48__123Graph_AChart_16B" hidden="1">#REF!</definedName>
    <definedName name="_48__123Graph_AChart_19C" hidden="1">#REF!</definedName>
    <definedName name="_48__123Graph_AChart_1A" hidden="1">#REF!</definedName>
    <definedName name="_48__123Graph_AChart_22C" hidden="1">#REF!</definedName>
    <definedName name="_48__123Graph_AChart_26C" hidden="1">#REF!</definedName>
    <definedName name="_48__123Graph_AChart_7A" hidden="1">#REF!</definedName>
    <definedName name="_48__123Graph_AChart_8A" hidden="1">#REF!</definedName>
    <definedName name="_48__123Graph_BGráfico_1D" hidden="1">#REF!</definedName>
    <definedName name="_48__123Graph_CChart_17B" hidden="1">#REF!</definedName>
    <definedName name="_48__123Graph_CChart_22C" hidden="1">#REF!</definedName>
    <definedName name="_480__123Graph_BChart_22C" hidden="1">#REF!</definedName>
    <definedName name="_480__123Graph_DChart_16B" hidden="1">#REF!</definedName>
    <definedName name="_483__123Graph_CChart_4A" hidden="1">#REF!</definedName>
    <definedName name="_484__123Graph_CChart_6A" hidden="1">#REF!</definedName>
    <definedName name="_486__123Graph_CChart_5A" hidden="1">#REF!</definedName>
    <definedName name="_487__123Graph_CChart_22C" hidden="1">#REF!</definedName>
    <definedName name="_488__123Graph_DChart_17B" hidden="1">#REF!</definedName>
    <definedName name="_49___123Graph_BChart_9A" hidden="1">#REF!</definedName>
    <definedName name="_49___123Graph_CChart_23C" hidden="1">#REF!</definedName>
    <definedName name="_49__123Graph_AChart_1A" hidden="1">#REF!</definedName>
    <definedName name="_49__123Graph_BGráfico_1E" hidden="1">#REF!</definedName>
    <definedName name="_49__123Graph_CChart_22C" hidden="1">#REF!</definedName>
    <definedName name="_49__123Graph_CChart_23C" hidden="1">#REF!</definedName>
    <definedName name="_490__123Graph_BChart_24C" hidden="1">#REF!</definedName>
    <definedName name="_491__123Graph_CChart_7A" hidden="1">#REF!</definedName>
    <definedName name="_492__123Graph_CChart_5A" hidden="1">#REF!</definedName>
    <definedName name="_495__123Graph_BChart_23C" hidden="1">#REF!</definedName>
    <definedName name="_495__123Graph_CChart_6A" hidden="1">#REF!</definedName>
    <definedName name="_496__123Graph_AChart_25C" hidden="1">#REF!</definedName>
    <definedName name="_496__123Graph_DChart_22C" hidden="1">#REF!</definedName>
    <definedName name="_496__123Graph_XChart_18B" hidden="1">#REF!</definedName>
    <definedName name="_497__123Graph_CChart_23C" hidden="1">#REF!</definedName>
    <definedName name="_497__123Graph_XChart_19C" hidden="1">#REF!</definedName>
    <definedName name="_498__123Graph_CChart_8A" hidden="1">#REF!</definedName>
    <definedName name="_498__123Graph_XChart_1A" hidden="1">#REF!</definedName>
    <definedName name="_499__123Graph_XChart_20C" hidden="1">#REF!</definedName>
    <definedName name="_5___123Graph_AChart_16B" hidden="1">#REF!</definedName>
    <definedName name="_5__123Graph_AChart_10B" hidden="1">#REF!</definedName>
    <definedName name="_5__123Graph_AChart_13B" hidden="1">#REF!</definedName>
    <definedName name="_5__123Graph_AChart_16B" hidden="1">#REF!</definedName>
    <definedName name="_5__123Graph_BCHART_2" hidden="1">#REF!</definedName>
    <definedName name="_5__123Graph_BGráfico_1B" hidden="1">#REF!</definedName>
    <definedName name="_5__123Graph_BGráfico_1F" hidden="1">#REF!</definedName>
    <definedName name="_5__123Graph_ECHART_2" hidden="1">#REF!</definedName>
    <definedName name="_5__123Graph_XCHART_1" hidden="1">#REF!</definedName>
    <definedName name="_5__FDSAUDITLINK__" hidden="1">{"fdsup://IBCentral/FAT Viewer?action=UPDATE&amp;creator=factset&amp;DOC_NAME=fat:reuters_annual_source_window.fat&amp;display_string=Audit&amp;DYN_ARGS=TRUE&amp;VAR:ID1=738048&amp;VAR:RCODE=TIAT&amp;VAR:SDATE=20071299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50___123Graph_CChart_13B" hidden="1">#REF!</definedName>
    <definedName name="_50___123Graph_CChart_24C" hidden="1">#REF!</definedName>
    <definedName name="_50__123Graph_AChart_20C" hidden="1">#REF!</definedName>
    <definedName name="_50__123Graph_AChart_26C" hidden="1">#REF!</definedName>
    <definedName name="_50__123Graph_AChart_8A" hidden="1">#REF!</definedName>
    <definedName name="_50__123Graph_AChart_9A" hidden="1">#REF!</definedName>
    <definedName name="_50__123Graph_BGráfico_1F" hidden="1">#REF!</definedName>
    <definedName name="_50__123Graph_CChart_23C" hidden="1">#REF!</definedName>
    <definedName name="_50__123Graph_CChart_24C" hidden="1">#REF!</definedName>
    <definedName name="_501__123Graph_CChart_6A" hidden="1">#REF!</definedName>
    <definedName name="_504__123Graph_BChart_25C" hidden="1">#REF!</definedName>
    <definedName name="_504__123Graph_CChart_7A" hidden="1">#REF!</definedName>
    <definedName name="_504__123Graph_DChart_23C" hidden="1">#REF!</definedName>
    <definedName name="_505__123Graph_DChart_13B" hidden="1">#REF!</definedName>
    <definedName name="_505__123Graph_XChart_26C" hidden="1">#REF!</definedName>
    <definedName name="_506__123Graph_XChart_27C" hidden="1">#REF!</definedName>
    <definedName name="_507__123Graph_CChart_24C" hidden="1">#REF!</definedName>
    <definedName name="_507__123Graph_XChart_2A" hidden="1">#REF!</definedName>
    <definedName name="_508__123Graph_XChart_3A" hidden="1">#REF!</definedName>
    <definedName name="_509__123Graph_XChart_4A" hidden="1">#REF!</definedName>
    <definedName name="_51___123Graph_CChart_16B" hidden="1">#REF!</definedName>
    <definedName name="_51___123Graph_CChart_25C" hidden="1">#REF!</definedName>
    <definedName name="_51__123Graph_AChart_16B" hidden="1">#REF!</definedName>
    <definedName name="_51__123Graph_AChart_1A" hidden="1">#REF!</definedName>
    <definedName name="_51__123Graph_AChart_27C" hidden="1">#REF!</definedName>
    <definedName name="_51__123Graph_BGráfico_1G" hidden="1">#REF!</definedName>
    <definedName name="_51__123Graph_CChart_24C" hidden="1">#REF!</definedName>
    <definedName name="_51__123Graph_CChart_25C" hidden="1">#REF!</definedName>
    <definedName name="_510__123Graph_BChart_24C" hidden="1">#REF!</definedName>
    <definedName name="_510__123Graph_CChart_7A" hidden="1">#REF!</definedName>
    <definedName name="_512__123Graph_DChart_16B" hidden="1">#REF!</definedName>
    <definedName name="_512__123Graph_DChart_24C" hidden="1">#REF!</definedName>
    <definedName name="_513__123Graph_CChart_8A" hidden="1">#REF!</definedName>
    <definedName name="_517__123Graph_CChart_25C" hidden="1">#REF!</definedName>
    <definedName name="_518__123Graph_BChart_26C" hidden="1">#REF!</definedName>
    <definedName name="_519__123Graph_CChart_8A" hidden="1">#REF!</definedName>
    <definedName name="_519__123Graph_DChart_17B" hidden="1">#REF!</definedName>
    <definedName name="_52___123Graph_CChart_17B" hidden="1">#REF!</definedName>
    <definedName name="_52___123Graph_CChart_26C" hidden="1">#REF!</definedName>
    <definedName name="_52__123Graph_AChart_23C" hidden="1">#REF!</definedName>
    <definedName name="_52__123Graph_AChart_9A" hidden="1">#REF!</definedName>
    <definedName name="_52__123Graph_BChart_12B" hidden="1">#REF!</definedName>
    <definedName name="_52__123Graph_BGráfico_1H" hidden="1">#REF!</definedName>
    <definedName name="_52__123Graph_CChart_25C" hidden="1">#REF!</definedName>
    <definedName name="_52__123Graph_CChart_26C" hidden="1">#REF!</definedName>
    <definedName name="_520__123Graph_DChart_25C" hidden="1">#REF!</definedName>
    <definedName name="_522__123Graph_DChart_13B" hidden="1">#REF!</definedName>
    <definedName name="_525__123Graph_BChart_25C" hidden="1">#REF!</definedName>
    <definedName name="_526__123Graph_DChart_22C" hidden="1">#REF!</definedName>
    <definedName name="_527__123Graph_AChart_26C" hidden="1">#REF!</definedName>
    <definedName name="_527__123Graph_CChart_26C" hidden="1">#REF!</definedName>
    <definedName name="_528__123Graph_DChart_13B" hidden="1">#REF!</definedName>
    <definedName name="_528__123Graph_DChart_26C" hidden="1">#REF!</definedName>
    <definedName name="_53___123Graph_CChart_22C" hidden="1">#REF!</definedName>
    <definedName name="_53___123Graph_CChart_4A" hidden="1">#REF!</definedName>
    <definedName name="_53__123Graph_AChart_19C" hidden="1">#REF!</definedName>
    <definedName name="_53__123Graph_AChart_20C" hidden="1">#REF!</definedName>
    <definedName name="_53__123Graph_AChart_27C" hidden="1">#REF!</definedName>
    <definedName name="_53__123Graph_BGráfico_1I" hidden="1">#REF!</definedName>
    <definedName name="_53__123Graph_CChart_26C" hidden="1">#REF!</definedName>
    <definedName name="_53__123Graph_CChart_4A" hidden="1">#REF!</definedName>
    <definedName name="_531__123Graph_DChart_16B" hidden="1">#REF!</definedName>
    <definedName name="_532__123Graph_BChart_27C" hidden="1">#REF!</definedName>
    <definedName name="_533__123Graph_DChart_23C" hidden="1">#REF!</definedName>
    <definedName name="_536__123Graph_DChart_4A" hidden="1">#REF!</definedName>
    <definedName name="_537__123Graph_CChart_4A" hidden="1">#REF!</definedName>
    <definedName name="_537__123Graph_DChart_16B" hidden="1">#REF!</definedName>
    <definedName name="_54___123Graph_CChart_23C" hidden="1">#REF!</definedName>
    <definedName name="_54___123Graph_CChart_5A" hidden="1">#REF!</definedName>
    <definedName name="_54__123Graph_AChart_17B" hidden="1">#REF!</definedName>
    <definedName name="_54__123Graph_AChart_1A" hidden="1">#REF!</definedName>
    <definedName name="_54__123Graph_AChart_20C" hidden="1">#REF!</definedName>
    <definedName name="_54__123Graph_AChart_2A" hidden="1">#REF!</definedName>
    <definedName name="_54__123Graph_BChart_12B" hidden="1">#REF!</definedName>
    <definedName name="_54__123Graph_BChart_13B" hidden="1">#REF!</definedName>
    <definedName name="_54__123Graph_BGráfico_1J" hidden="1">#REF!</definedName>
    <definedName name="_54__123Graph_CChart_4A" hidden="1">#REF!</definedName>
    <definedName name="_54__123Graph_CChart_5A" hidden="1">#REF!</definedName>
    <definedName name="_540__123Graph_BChart_26C" hidden="1">#REF!</definedName>
    <definedName name="_540__123Graph_DChart_17B" hidden="1">#REF!</definedName>
    <definedName name="_540__123Graph_DChart_24C" hidden="1">#REF!</definedName>
    <definedName name="_544__123Graph_DChart_5A" hidden="1">#REF!</definedName>
    <definedName name="_546__123Graph_BChart_3A" hidden="1">#REF!</definedName>
    <definedName name="_546__123Graph_DChart_17B" hidden="1">#REF!</definedName>
    <definedName name="_547__123Graph_CChart_5A" hidden="1">#REF!</definedName>
    <definedName name="_547__123Graph_DChart_25C" hidden="1">#REF!</definedName>
    <definedName name="_549__123Graph_DChart_22C" hidden="1">#REF!</definedName>
    <definedName name="_55___123Graph_CChart_24C" hidden="1">#REF!</definedName>
    <definedName name="_55___123Graph_CChart_6A" hidden="1">#REF!</definedName>
    <definedName name="_55__123Graph_AChart_21C" hidden="1">#REF!</definedName>
    <definedName name="_55__123Graph_CChart_13B" hidden="1">#REF!</definedName>
    <definedName name="_55__123Graph_CChart_5A" hidden="1">#REF!</definedName>
    <definedName name="_55__123Graph_CChart_6A" hidden="1">#REF!</definedName>
    <definedName name="_552__123Graph_DChart_6A" hidden="1">#REF!</definedName>
    <definedName name="_554__123Graph_DChart_26C" hidden="1">#REF!</definedName>
    <definedName name="_555__123Graph_BChart_27C" hidden="1">#REF!</definedName>
    <definedName name="_555__123Graph_DChart_22C" hidden="1">#REF!</definedName>
    <definedName name="_557__123Graph_CChart_6A" hidden="1">#REF!</definedName>
    <definedName name="_558__123Graph_AChart_27C" hidden="1">#REF!</definedName>
    <definedName name="_558__123Graph_DChart_23C" hidden="1">#REF!</definedName>
    <definedName name="_56___123Graph_CChart_25C" hidden="1">#REF!</definedName>
    <definedName name="_56___123Graph_CChart_7A" hidden="1">#REF!</definedName>
    <definedName name="_56__123Graph_AChart_12B" hidden="1">#REF!</definedName>
    <definedName name="_56__123Graph_AChart_17B" hidden="1">#REF!</definedName>
    <definedName name="_56__123Graph_AChart_20C" hidden="1">#REF!</definedName>
    <definedName name="_56__123Graph_AChart_24C" hidden="1">#REF!</definedName>
    <definedName name="_56__123Graph_AChart_2A" hidden="1">#REF!</definedName>
    <definedName name="_56__123Graph_BChart_13B" hidden="1">#REF!</definedName>
    <definedName name="_56__123Graph_BChart_16B" hidden="1">#REF!</definedName>
    <definedName name="_56__123Graph_CChart_16B" hidden="1">#REF!</definedName>
    <definedName name="_56__123Graph_CChart_6A" hidden="1">#REF!</definedName>
    <definedName name="_56__123Graph_CChart_7A" hidden="1">#REF!</definedName>
    <definedName name="_560__123Graph_BChart_4A" hidden="1">#REF!</definedName>
    <definedName name="_560__123Graph_DChart_7A" hidden="1">#REF!</definedName>
    <definedName name="_561__123Graph_DChart_4A" hidden="1">#REF!</definedName>
    <definedName name="_564__123Graph_DChart_23C" hidden="1">#REF!</definedName>
    <definedName name="_567__123Graph_CChart_7A" hidden="1">#REF!</definedName>
    <definedName name="_567__123Graph_DChart_24C" hidden="1">#REF!</definedName>
    <definedName name="_568__123Graph_DChart_5A" hidden="1">#REF!</definedName>
    <definedName name="_568__123Graph_DChart_8A" hidden="1">#REF!</definedName>
    <definedName name="_569__123Graph_XChart_10B" hidden="1">#REF!</definedName>
    <definedName name="_57___123Graph_CChart_26C" hidden="1">#REF!</definedName>
    <definedName name="_57___123Graph_CChart_8A" hidden="1">#REF!</definedName>
    <definedName name="_57__123Graph_AChart_16B" hidden="1">#REF!</definedName>
    <definedName name="_57__123Graph_AChart_3A" hidden="1">#REF!</definedName>
    <definedName name="_57__123Graph_CChart_17B" hidden="1">#REF!</definedName>
    <definedName name="_57__123Graph_CChart_7A" hidden="1">#REF!</definedName>
    <definedName name="_57__123Graph_CChart_8A" hidden="1">#REF!</definedName>
    <definedName name="_570__123Graph_BChart_3A" hidden="1">#REF!</definedName>
    <definedName name="_570__123Graph_XChart_11B" hidden="1">#REF!</definedName>
    <definedName name="_571__123Graph_XChart_12B" hidden="1">#REF!</definedName>
    <definedName name="_572__123Graph_XChart_13B" hidden="1">#REF!</definedName>
    <definedName name="_573__123Graph_DChart_24C" hidden="1">#REF!</definedName>
    <definedName name="_573__123Graph_XChart_17B" hidden="1">#REF!</definedName>
    <definedName name="_574__123Graph_BChart_5A" hidden="1">#REF!</definedName>
    <definedName name="_574__123Graph_XChart_18B" hidden="1">#REF!</definedName>
    <definedName name="_575__123Graph_DChart_6A" hidden="1">#REF!</definedName>
    <definedName name="_575__123Graph_XChart_19C" hidden="1">#REF!</definedName>
    <definedName name="_576__123Graph_DChart_25C" hidden="1">#REF!</definedName>
    <definedName name="_576__123Graph_XChart_1A" hidden="1">#REF!</definedName>
    <definedName name="_577__123Graph_CChart_8A" hidden="1">#REF!</definedName>
    <definedName name="_577__123Graph_XChart_20C" hidden="1">#REF!</definedName>
    <definedName name="_578__123Graph_XChart_21C" hidden="1">#REF!</definedName>
    <definedName name="_579__123Graph_XChart_22C" hidden="1">#REF!</definedName>
    <definedName name="_58___123Graph_CChart_4A" hidden="1">#REF!</definedName>
    <definedName name="_58___123Graph_DChart_13B" hidden="1">#REF!</definedName>
    <definedName name="_58__123Graph_AChart_21C" hidden="1">#REF!</definedName>
    <definedName name="_58__123Graph_BChart_16B" hidden="1">#REF!</definedName>
    <definedName name="_58__123Graph_BChart_17B" hidden="1">#REF!</definedName>
    <definedName name="_58__123Graph_CChart_22C" hidden="1">#REF!</definedName>
    <definedName name="_58__123Graph_CChart_8A" hidden="1">#REF!</definedName>
    <definedName name="_58__123Graph_DChart_13B" hidden="1">#REF!</definedName>
    <definedName name="_580__123Graph_XChart_23C" hidden="1">#REF!</definedName>
    <definedName name="_581__123Graph_XChart_24C" hidden="1">#REF!</definedName>
    <definedName name="_582__123Graph_DChart_25C" hidden="1">#REF!</definedName>
    <definedName name="_582__123Graph_DChart_7A" hidden="1">#REF!</definedName>
    <definedName name="_582__123Graph_XChart_25C" hidden="1">#REF!</definedName>
    <definedName name="_583__123Graph_XChart_26C" hidden="1">#REF!</definedName>
    <definedName name="_584__123Graph_XChart_27C" hidden="1">#REF!</definedName>
    <definedName name="_585__123Graph_BChart_4A" hidden="1">#REF!</definedName>
    <definedName name="_585__123Graph_DChart_26C" hidden="1">#REF!</definedName>
    <definedName name="_585__123Graph_XChart_2A" hidden="1">#REF!</definedName>
    <definedName name="_586__123Graph_XChart_3A" hidden="1">#REF!</definedName>
    <definedName name="_587__123Graph_DChart_13B" hidden="1">#REF!</definedName>
    <definedName name="_587__123Graph_XChart_4A" hidden="1">#REF!</definedName>
    <definedName name="_588__123Graph_BChart_6A" hidden="1">#REF!</definedName>
    <definedName name="_588__123Graph_XChart_5A" hidden="1">#REF!</definedName>
    <definedName name="_589__123Graph_AChart_2A" hidden="1">#REF!</definedName>
    <definedName name="_589__123Graph_DChart_8A" hidden="1">#REF!</definedName>
    <definedName name="_589__123Graph_XChart_6A" hidden="1">#REF!</definedName>
    <definedName name="_59___123Graph_CChart_5A" hidden="1">#REF!</definedName>
    <definedName name="_59___123Graph_DChart_16B" hidden="1">#REF!</definedName>
    <definedName name="_59__123Graph_AChart_1A" hidden="1">#REF!</definedName>
    <definedName name="_59__123Graph_AChart_21C" hidden="1">#REF!</definedName>
    <definedName name="_59__123Graph_AChart_3A" hidden="1">#REF!</definedName>
    <definedName name="_59__123Graph_CChart_23C" hidden="1">#REF!</definedName>
    <definedName name="_59__123Graph_DChart_13B" hidden="1">#REF!</definedName>
    <definedName name="_59__123Graph_DChart_16B" hidden="1">#REF!</definedName>
    <definedName name="_590__123Graph_XChart_7A" hidden="1">#REF!</definedName>
    <definedName name="_591__123Graph_DChart_26C" hidden="1">#REF!</definedName>
    <definedName name="_591__123Graph_XChart_10B" hidden="1">#REF!</definedName>
    <definedName name="_591__123Graph_XChart_8A" hidden="1">#REF!</definedName>
    <definedName name="_592__123Graph_XChart_9A" hidden="1">#REF!</definedName>
    <definedName name="_593__123Graph_XChart_11B" hidden="1">#REF!</definedName>
    <definedName name="_594__123Graph_DChart_4A" hidden="1">#REF!</definedName>
    <definedName name="_595__123Graph_XChart_12B" hidden="1">#REF!</definedName>
    <definedName name="_597__123Graph_DChart_16B" hidden="1">#REF!</definedName>
    <definedName name="_597__123Graph_XChart_13B" hidden="1">#REF!</definedName>
    <definedName name="_599__123Graph_XChart_17B" hidden="1">#REF!</definedName>
    <definedName name="_6___123Graph_AChart_10B" hidden="1">#REF!</definedName>
    <definedName name="_6___123Graph_AChart_17B" hidden="1">#REF!</definedName>
    <definedName name="_6__123Graph_AChart_10B" hidden="1">#REF!</definedName>
    <definedName name="_6__123Graph_AChart_11B" hidden="1">#REF!</definedName>
    <definedName name="_6__123Graph_AChart_12B" hidden="1">#REF!</definedName>
    <definedName name="_6__123Graph_AChart_16B" hidden="1">#REF!</definedName>
    <definedName name="_6__123Graph_AChart_17B" hidden="1">#REF!</definedName>
    <definedName name="_6__123Graph_BCHART_3" hidden="1">#REF!</definedName>
    <definedName name="_6__123Graph_BGráfico_1C" hidden="1">#REF!</definedName>
    <definedName name="_6__123Graph_BGráfico_1G" hidden="1">#REF!</definedName>
    <definedName name="_6__123Graph_FCHART_2" hidden="1">#REF!</definedName>
    <definedName name="_6__123Graph_XCHART_4" hidden="1">#REF!</definedName>
    <definedName name="_6__FDSAUDITLINK__" hidden="1">{"fdsup://IBCentral/FAT Viewer?action=UPDATE&amp;creator=factset&amp;DOC_NAME=fat:reuters_annual_source_window.fat&amp;display_string=Audit&amp;DYN_ARGS=TRUE&amp;VAR:ID1=738048&amp;VAR:RCODE=TIAT&amp;VAR:SDATE=20061299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60___123Graph_CChart_6A" hidden="1">#REF!</definedName>
    <definedName name="_60___123Graph_DChart_17B" hidden="1">#REF!</definedName>
    <definedName name="_60__123Graph_AChart_13B" hidden="1">#REF!</definedName>
    <definedName name="_60__123Graph_AChart_17B" hidden="1">#REF!</definedName>
    <definedName name="_60__123Graph_AChart_20C" hidden="1">#REF!</definedName>
    <definedName name="_60__123Graph_AChart_22C" hidden="1">#REF!</definedName>
    <definedName name="_60__123Graph_AChart_25C" hidden="1">#REF!</definedName>
    <definedName name="_60__123Graph_AChart_4A" hidden="1">#REF!</definedName>
    <definedName name="_60__123Graph_BChart_17B" hidden="1">#REF!</definedName>
    <definedName name="_60__123Graph_BChart_18B" hidden="1">#REF!</definedName>
    <definedName name="_60__123Graph_CChart_24C" hidden="1">#REF!</definedName>
    <definedName name="_60__123Graph_DChart_16B" hidden="1">#REF!</definedName>
    <definedName name="_60__123Graph_DChart_17B" hidden="1">#REF!</definedName>
    <definedName name="_600__123Graph_BChart_5A" hidden="1">#REF!</definedName>
    <definedName name="_600__123Graph_DChart_4A" hidden="1">#REF!</definedName>
    <definedName name="_601__123Graph_XChart_18B" hidden="1">#REF!</definedName>
    <definedName name="_602__123Graph_BChart_7A" hidden="1">#REF!</definedName>
    <definedName name="_603__123Graph_DChart_5A" hidden="1">#REF!</definedName>
    <definedName name="_603__123Graph_XChart_19C" hidden="1">#REF!</definedName>
    <definedName name="_605__123Graph_XChart_1A" hidden="1">#REF!</definedName>
    <definedName name="_607__123Graph_DChart_17B" hidden="1">#REF!</definedName>
    <definedName name="_607__123Graph_XChart_20C" hidden="1">#REF!</definedName>
    <definedName name="_609__123Graph_DChart_5A" hidden="1">#REF!</definedName>
    <definedName name="_609__123Graph_XChart_21C" hidden="1">#REF!</definedName>
    <definedName name="_61___123Graph_CChart_7A" hidden="1">#REF!</definedName>
    <definedName name="_61___123Graph_DChart_22C" hidden="1">#REF!</definedName>
    <definedName name="_61__123Graph_AChart_21C" hidden="1">#REF!</definedName>
    <definedName name="_61__123Graph_CChart_25C" hidden="1">#REF!</definedName>
    <definedName name="_61__123Graph_DChart_17B" hidden="1">#REF!</definedName>
    <definedName name="_61__123Graph_DChart_22C" hidden="1">#REF!</definedName>
    <definedName name="_611__123Graph_XChart_22C" hidden="1">#REF!</definedName>
    <definedName name="_612__123Graph_DChart_6A" hidden="1">#REF!</definedName>
    <definedName name="_613__123Graph_XChart_23C" hidden="1">#REF!</definedName>
    <definedName name="_615__123Graph_BChart_6A" hidden="1">#REF!</definedName>
    <definedName name="_615__123Graph_XChart_24C" hidden="1">#REF!</definedName>
    <definedName name="_616__123Graph_BChart_8A" hidden="1">#REF!</definedName>
    <definedName name="_617__123Graph_DChart_22C" hidden="1">#REF!</definedName>
    <definedName name="_617__123Graph_XChart_25C" hidden="1">#REF!</definedName>
    <definedName name="_618__123Graph_DChart_6A" hidden="1">#REF!</definedName>
    <definedName name="_619__123Graph_XChart_26C" hidden="1">#REF!</definedName>
    <definedName name="_62___123Graph_CChart_8A" hidden="1">#REF!</definedName>
    <definedName name="_62___123Graph_DChart_23C" hidden="1">#REF!</definedName>
    <definedName name="_62__123Graph_AChart_10B" hidden="1">#REF!</definedName>
    <definedName name="_62__123Graph_AChart_4A" hidden="1">#REF!</definedName>
    <definedName name="_62__123Graph_BChart_18B" hidden="1">#REF!</definedName>
    <definedName name="_62__123Graph_BChart_21C" hidden="1">#REF!</definedName>
    <definedName name="_62__123Graph_CChart_26C" hidden="1">#REF!</definedName>
    <definedName name="_62__123Graph_DChart_22C" hidden="1">#REF!</definedName>
    <definedName name="_62__123Graph_DChart_23C" hidden="1">#REF!</definedName>
    <definedName name="_620__123Graph_AChart_3A" hidden="1">#REF!</definedName>
    <definedName name="_621__123Graph_DChart_7A" hidden="1">#REF!</definedName>
    <definedName name="_621__123Graph_XChart_27C" hidden="1">#REF!</definedName>
    <definedName name="_623__123Graph_XChart_2A" hidden="1">#REF!</definedName>
    <definedName name="_625__123Graph_XChart_3A" hidden="1">#REF!</definedName>
    <definedName name="_627__123Graph_DChart_23C" hidden="1">#REF!</definedName>
    <definedName name="_627__123Graph_DChart_7A" hidden="1">#REF!</definedName>
    <definedName name="_627__123Graph_XChart_4A" hidden="1">#REF!</definedName>
    <definedName name="_629__123Graph_XChart_5A" hidden="1">#REF!</definedName>
    <definedName name="_63___123Graph_DChart_13B" hidden="1">#REF!</definedName>
    <definedName name="_63___123Graph_DChart_24C" hidden="1">#REF!</definedName>
    <definedName name="_63__123Graph_AChart_18B" hidden="1">#REF!</definedName>
    <definedName name="_63__123Graph_AChart_22C" hidden="1">#REF!</definedName>
    <definedName name="_63__123Graph_AChart_5A" hidden="1">#REF!</definedName>
    <definedName name="_63__123Graph_CChart_4A" hidden="1">#REF!</definedName>
    <definedName name="_63__123Graph_DChart_23C" hidden="1">#REF!</definedName>
    <definedName name="_63__123Graph_DChart_24C" hidden="1">#REF!</definedName>
    <definedName name="_630__123Graph_BChart_7A" hidden="1">#REF!</definedName>
    <definedName name="_630__123Graph_BChart_9A" hidden="1">#REF!</definedName>
    <definedName name="_630__123Graph_DChart_8A" hidden="1">#REF!</definedName>
    <definedName name="_631__123Graph_XChart_6A" hidden="1">#REF!</definedName>
    <definedName name="_633__123Graph_XChart_7A" hidden="1">#REF!</definedName>
    <definedName name="_635__123Graph_XChart_8A" hidden="1">#REF!</definedName>
    <definedName name="_636__123Graph_DChart_8A" hidden="1">#REF!</definedName>
    <definedName name="_637__123Graph_DChart_24C" hidden="1">#REF!</definedName>
    <definedName name="_637__123Graph_XChart_9A" hidden="1">#REF!</definedName>
    <definedName name="_639__123Graph_XChart_10B" hidden="1">#REF!</definedName>
    <definedName name="_64___123Graph_DChart_16B" hidden="1">#REF!</definedName>
    <definedName name="_64___123Graph_DChart_25C" hidden="1">#REF!</definedName>
    <definedName name="_64__123Graph_AChart_18B" hidden="1">#REF!</definedName>
    <definedName name="_64__123Graph_AChart_22C" hidden="1">#REF!</definedName>
    <definedName name="_64__123Graph_AChart_26C" hidden="1">#REF!</definedName>
    <definedName name="_64__123Graph_BChart_21C" hidden="1">#REF!</definedName>
    <definedName name="_64__123Graph_BChart_22C" hidden="1">#REF!</definedName>
    <definedName name="_64__123Graph_CChart_5A" hidden="1">#REF!</definedName>
    <definedName name="_64__123Graph_DChart_24C" hidden="1">#REF!</definedName>
    <definedName name="_64__123Graph_DChart_25C" hidden="1">#REF!</definedName>
    <definedName name="_640__123Graph_XChart_10B" hidden="1">#REF!</definedName>
    <definedName name="_644__123Graph_CChart_13B" hidden="1">#REF!</definedName>
    <definedName name="_644__123Graph_XChart_11B" hidden="1">#REF!</definedName>
    <definedName name="_645__123Graph_BChart_8A" hidden="1">#REF!</definedName>
    <definedName name="_647__123Graph_DChart_25C" hidden="1">#REF!</definedName>
    <definedName name="_648__123Graph_XChart_11B" hidden="1">#REF!</definedName>
    <definedName name="_648__123Graph_XChart_12B" hidden="1">#REF!</definedName>
    <definedName name="_65___123Graph_DChart_17B" hidden="1">#REF!</definedName>
    <definedName name="_65___123Graph_DChart_26C" hidden="1">#REF!</definedName>
    <definedName name="_65__123Graph_AChart_20C" hidden="1">#REF!</definedName>
    <definedName name="_65__123Graph_AChart_23C" hidden="1">#REF!</definedName>
    <definedName name="_65__123Graph_AChart_5A" hidden="1">#REF!</definedName>
    <definedName name="_65__123Graph_CChart_6A" hidden="1">#REF!</definedName>
    <definedName name="_65__123Graph_DChart_25C" hidden="1">#REF!</definedName>
    <definedName name="_65__123Graph_DChart_26C" hidden="1">#REF!</definedName>
    <definedName name="_651__123Graph_AChart_4A" hidden="1">#REF!</definedName>
    <definedName name="_652__123Graph_XChart_13B" hidden="1">#REF!</definedName>
    <definedName name="_656__123Graph_XChart_17B" hidden="1">#REF!</definedName>
    <definedName name="_657__123Graph_DChart_26C" hidden="1">#REF!</definedName>
    <definedName name="_657__123Graph_XChart_12B" hidden="1">#REF!</definedName>
    <definedName name="_658__123Graph_CChart_16B" hidden="1">#REF!</definedName>
    <definedName name="_66___123Graph_DChart_22C" hidden="1">#REF!</definedName>
    <definedName name="_66___123Graph_DChart_4A" hidden="1">#REF!</definedName>
    <definedName name="_66__123Graph_AChart_21C" hidden="1">#REF!</definedName>
    <definedName name="_66__123Graph_AChart_22C" hidden="1">#REF!</definedName>
    <definedName name="_66__123Graph_AChart_6A" hidden="1">#REF!</definedName>
    <definedName name="_66__123Graph_BChart_22C" hidden="1">#REF!</definedName>
    <definedName name="_66__123Graph_BChart_23C" hidden="1">#REF!</definedName>
    <definedName name="_66__123Graph_CChart_7A" hidden="1">#REF!</definedName>
    <definedName name="_66__123Graph_DChart_26C" hidden="1">#REF!</definedName>
    <definedName name="_66__123Graph_DChart_4A" hidden="1">#REF!</definedName>
    <definedName name="_660__123Graph_BChart_9A" hidden="1">#REF!</definedName>
    <definedName name="_660__123Graph_XChart_18B" hidden="1">#REF!</definedName>
    <definedName name="_664__123Graph_XChart_19C" hidden="1">#REF!</definedName>
    <definedName name="_666__123Graph_XChart_13B" hidden="1">#REF!</definedName>
    <definedName name="_667__123Graph_DChart_4A" hidden="1">#REF!</definedName>
    <definedName name="_668__123Graph_XChart_1A" hidden="1">#REF!</definedName>
    <definedName name="_67___123Graph_DChart_23C" hidden="1">#REF!</definedName>
    <definedName name="_67___123Graph_DChart_5A" hidden="1">#REF!</definedName>
    <definedName name="_67__123Graph_AChart_17B" hidden="1">#REF!</definedName>
    <definedName name="_67__123Graph_CChart_8A" hidden="1">#REF!</definedName>
    <definedName name="_67__123Graph_DChart_4A" hidden="1">#REF!</definedName>
    <definedName name="_67__123Graph_DChart_5A" hidden="1">#REF!</definedName>
    <definedName name="_672__123Graph_CChart_17B" hidden="1">#REF!</definedName>
    <definedName name="_672__123Graph_XChart_20C" hidden="1">#REF!</definedName>
    <definedName name="_675__123Graph_CChart_13B" hidden="1">#REF!</definedName>
    <definedName name="_675__123Graph_XChart_17B" hidden="1">#REF!</definedName>
    <definedName name="_676__123Graph_XChart_21C" hidden="1">#REF!</definedName>
    <definedName name="_677__123Graph_DChart_5A" hidden="1">#REF!</definedName>
    <definedName name="_68___123Graph_DChart_24C" hidden="1">#REF!</definedName>
    <definedName name="_68___123Graph_DChart_6A" hidden="1">#REF!</definedName>
    <definedName name="_68__123Graph_AChart_23C" hidden="1">#REF!</definedName>
    <definedName name="_68__123Graph_AChart_27C" hidden="1">#REF!</definedName>
    <definedName name="_68__123Graph_AChart_6A" hidden="1">#REF!</definedName>
    <definedName name="_68__123Graph_BChart_23C" hidden="1">#REF!</definedName>
    <definedName name="_68__123Graph_BChart_24C" hidden="1">#REF!</definedName>
    <definedName name="_68__123Graph_CGráfico_1B" hidden="1">#REF!</definedName>
    <definedName name="_68__123Graph_DChart_5A" hidden="1">#REF!</definedName>
    <definedName name="_68__123Graph_DChart_6A" hidden="1">#REF!</definedName>
    <definedName name="_680__123Graph_XChart_22C" hidden="1">#REF!</definedName>
    <definedName name="_682__123Graph_AChart_5A" hidden="1">#REF!</definedName>
    <definedName name="_684__123Graph_XChart_18B" hidden="1">#REF!</definedName>
    <definedName name="_684__123Graph_XChart_23C" hidden="1">#REF!</definedName>
    <definedName name="_686__123Graph_CChart_22C" hidden="1">#REF!</definedName>
    <definedName name="_687__123Graph_DChart_6A" hidden="1">#REF!</definedName>
    <definedName name="_688__123Graph_XChart_24C" hidden="1">#REF!</definedName>
    <definedName name="_69___123Graph_DChart_25C" hidden="1">#REF!</definedName>
    <definedName name="_69___123Graph_DChart_7A" hidden="1">#REF!</definedName>
    <definedName name="_69__123Graph_AChart_18B" hidden="1">#REF!</definedName>
    <definedName name="_69__123Graph_AChart_23C" hidden="1">#REF!</definedName>
    <definedName name="_69__123Graph_AChart_7A" hidden="1">#REF!</definedName>
    <definedName name="_69__123Graph_CGráfico_1C" hidden="1">#REF!</definedName>
    <definedName name="_69__123Graph_DChart_6A" hidden="1">#REF!</definedName>
    <definedName name="_69__123Graph_DChart_7A" hidden="1">#REF!</definedName>
    <definedName name="_690__123Graph_CChart_16B" hidden="1">#REF!</definedName>
    <definedName name="_692__123Graph_XChart_25C" hidden="1">#REF!</definedName>
    <definedName name="_693__123Graph_XChart_19C" hidden="1">#REF!</definedName>
    <definedName name="_696__123Graph_XChart_26C" hidden="1">#REF!</definedName>
    <definedName name="_697__123Graph_DChart_7A" hidden="1">#REF!</definedName>
    <definedName name="_7___123Graph_AChart_11B" hidden="1">#REF!</definedName>
    <definedName name="_7___123Graph_AChart_18B" hidden="1">#REF!</definedName>
    <definedName name="_7__123Graph_AChart_17B" hidden="1">#REF!</definedName>
    <definedName name="_7__123Graph_AChart_18B" hidden="1">#REF!</definedName>
    <definedName name="_7__123Graph_BCHART_5" hidden="1">#REF!</definedName>
    <definedName name="_7__123Graph_BGráfico_1D" hidden="1">#REF!</definedName>
    <definedName name="_7__123Graph_BGráfico_1H" hidden="1">#REF!</definedName>
    <definedName name="_7__FDSAUDITLINK__" hidden="1">{"fdsup://IBCentral/FAT Viewer?action=UPDATE&amp;creator=factset&amp;DOC_NAME=fat:reuters_annual_source_window.fat&amp;display_string=Audit&amp;DYN_ARGS=TRUE&amp;VAR:ID1=738048&amp;VAR:RCODE=TTAX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70___123Graph_DChart_26C" hidden="1">#REF!</definedName>
    <definedName name="_70___123Graph_DChart_8A" hidden="1">#REF!</definedName>
    <definedName name="_70__123Graph_AChart_13B" hidden="1">#REF!</definedName>
    <definedName name="_70__123Graph_AChart_24C" hidden="1">#REF!</definedName>
    <definedName name="_70__123Graph_BChart_24C" hidden="1">#REF!</definedName>
    <definedName name="_70__123Graph_BChart_25C" hidden="1">#REF!</definedName>
    <definedName name="_70__123Graph_CGráfico_1D" hidden="1">#REF!</definedName>
    <definedName name="_70__123Graph_DChart_7A" hidden="1">#REF!</definedName>
    <definedName name="_70__123Graph_DChart_8A" hidden="1">#REF!</definedName>
    <definedName name="_700__123Graph_CChart_23C" hidden="1">#REF!</definedName>
    <definedName name="_700__123Graph_XChart_27C" hidden="1">#REF!</definedName>
    <definedName name="_702__123Graph_XChart_1A" hidden="1">#REF!</definedName>
    <definedName name="_704__123Graph_XChart_2A" hidden="1">#REF!</definedName>
    <definedName name="_705__123Graph_CChart_17B" hidden="1">#REF!</definedName>
    <definedName name="_707__123Graph_DChart_8A" hidden="1">#REF!</definedName>
    <definedName name="_708__123Graph_XChart_10B" hidden="1">#REF!</definedName>
    <definedName name="_708__123Graph_XChart_3A" hidden="1">#REF!</definedName>
    <definedName name="_709__123Graph_XChart_11B" hidden="1">#REF!</definedName>
    <definedName name="_71___123Graph_DChart_4A" hidden="1">#REF!</definedName>
    <definedName name="_71___123Graph_XChart_10B" hidden="1">#REF!</definedName>
    <definedName name="_71__123Graph_AChart_21C" hidden="1">#REF!</definedName>
    <definedName name="_71__123Graph_AChart_23C" hidden="1">#REF!</definedName>
    <definedName name="_71__123Graph_AChart_7A" hidden="1">#REF!</definedName>
    <definedName name="_71__123Graph_CGráfico_1E" hidden="1">#REF!</definedName>
    <definedName name="_71__123Graph_DChart_8A" hidden="1">#REF!</definedName>
    <definedName name="_71__123Graph_XChart_10B" hidden="1">#REF!</definedName>
    <definedName name="_710__123Graph_XChart_12B" hidden="1">#REF!</definedName>
    <definedName name="_711__123Graph_XChart_13B" hidden="1">#REF!</definedName>
    <definedName name="_711__123Graph_XChart_20C" hidden="1">#REF!</definedName>
    <definedName name="_712__123Graph_XChart_17B" hidden="1">#REF!</definedName>
    <definedName name="_712__123Graph_XChart_4A" hidden="1">#REF!</definedName>
    <definedName name="_713__123Graph_AChart_6A" hidden="1">#REF!</definedName>
    <definedName name="_713__123Graph_XChart_18B" hidden="1">#REF!</definedName>
    <definedName name="_714__123Graph_CChart_24C" hidden="1">#REF!</definedName>
    <definedName name="_714__123Graph_XChart_19C" hidden="1">#REF!</definedName>
    <definedName name="_715__123Graph_XChart_1A" hidden="1">#REF!</definedName>
    <definedName name="_716__123Graph_XChart_20C" hidden="1">#REF!</definedName>
    <definedName name="_716__123Graph_XChart_5A" hidden="1">#REF!</definedName>
    <definedName name="_717__123Graph_XChart_21C" hidden="1">#REF!</definedName>
    <definedName name="_718__123Graph_XChart_22C" hidden="1">#REF!</definedName>
    <definedName name="_719__123Graph_XChart_23C" hidden="1">#REF!</definedName>
    <definedName name="_72___123Graph_DChart_5A" hidden="1">#REF!</definedName>
    <definedName name="_72___123Graph_XChart_11B" hidden="1">#REF!</definedName>
    <definedName name="_72__123Graph_AChart_19C" hidden="1">#REF!</definedName>
    <definedName name="_72__123Graph_AChart_22C" hidden="1">#REF!</definedName>
    <definedName name="_72__123Graph_AChart_2A" hidden="1">#REF!</definedName>
    <definedName name="_72__123Graph_AChart_8A" hidden="1">#REF!</definedName>
    <definedName name="_72__123Graph_BChart_25C" hidden="1">#REF!</definedName>
    <definedName name="_72__123Graph_BChart_26C" hidden="1">#REF!</definedName>
    <definedName name="_72__123Graph_CGráfico_1F" hidden="1">#REF!</definedName>
    <definedName name="_72__123Graph_XChart_10B" hidden="1">#REF!</definedName>
    <definedName name="_72__123Graph_XChart_11B" hidden="1">#REF!</definedName>
    <definedName name="_720__123Graph_CChart_22C" hidden="1">#REF!</definedName>
    <definedName name="_720__123Graph_XChart_21C" hidden="1">#REF!</definedName>
    <definedName name="_720__123Graph_XChart_24C" hidden="1">#REF!</definedName>
    <definedName name="_720__123Graph_XChart_6A" hidden="1">#REF!</definedName>
    <definedName name="_721__123Graph_XChart_25C" hidden="1">#REF!</definedName>
    <definedName name="_722__123Graph_XChart_26C" hidden="1">#REF!</definedName>
    <definedName name="_723__123Graph_XChart_27C" hidden="1">#REF!</definedName>
    <definedName name="_724__123Graph_XChart_2A" hidden="1">#REF!</definedName>
    <definedName name="_724__123Graph_XChart_7A" hidden="1">#REF!</definedName>
    <definedName name="_725__123Graph_XChart_3A" hidden="1">#REF!</definedName>
    <definedName name="_726__123Graph_XChart_4A" hidden="1">#REF!</definedName>
    <definedName name="_727__123Graph_XChart_5A" hidden="1">#REF!</definedName>
    <definedName name="_728__123Graph_CChart_25C" hidden="1">#REF!</definedName>
    <definedName name="_728__123Graph_XChart_6A" hidden="1">#REF!</definedName>
    <definedName name="_728__123Graph_XChart_8A" hidden="1">#REF!</definedName>
    <definedName name="_729__123Graph_XChart_22C" hidden="1">#REF!</definedName>
    <definedName name="_729__123Graph_XChart_7A" hidden="1">#REF!</definedName>
    <definedName name="_73___123Graph_DChart_6A" hidden="1">#REF!</definedName>
    <definedName name="_73___123Graph_XChart_12B" hidden="1">#REF!</definedName>
    <definedName name="_73__123Graph_AChart_24C" hidden="1">#REF!</definedName>
    <definedName name="_73__123Graph_CGráfico_1G" hidden="1">#REF!</definedName>
    <definedName name="_73__123Graph_XChart_11B" hidden="1">#REF!</definedName>
    <definedName name="_73__123Graph_XChart_12B" hidden="1">#REF!</definedName>
    <definedName name="_730__123Graph_XChart_8A" hidden="1">#REF!</definedName>
    <definedName name="_731__123Graph_XChart_9A" hidden="1">#REF!</definedName>
    <definedName name="_732__123Graph_XChart_9A" hidden="1">#REF!</definedName>
    <definedName name="_735__123Graph_CChart_23C" hidden="1">#REF!</definedName>
    <definedName name="_738__123Graph_XChart_23C" hidden="1">#REF!</definedName>
    <definedName name="_74___123Graph_DChart_7A" hidden="1">#REF!</definedName>
    <definedName name="_74___123Graph_XChart_13B" hidden="1">#REF!</definedName>
    <definedName name="_74__123Graph_AChart_24C" hidden="1">#REF!</definedName>
    <definedName name="_74__123Graph_AChart_8A" hidden="1">#REF!</definedName>
    <definedName name="_74__123Graph_BChart_26C" hidden="1">#REF!</definedName>
    <definedName name="_74__123Graph_BChart_27C" hidden="1">#REF!</definedName>
    <definedName name="_74__123Graph_CGráfico_1H" hidden="1">#REF!</definedName>
    <definedName name="_74__123Graph_XChart_12B" hidden="1">#REF!</definedName>
    <definedName name="_74__123Graph_XChart_13B" hidden="1">#REF!</definedName>
    <definedName name="_742__123Graph_CChart_26C" hidden="1">#REF!</definedName>
    <definedName name="_744__123Graph_AChart_7A" hidden="1">#REF!</definedName>
    <definedName name="_747__123Graph_XChart_24C" hidden="1">#REF!</definedName>
    <definedName name="_75___123Graph_DChart_8A" hidden="1">#REF!</definedName>
    <definedName name="_75___123Graph_XChart_17B" hidden="1">#REF!</definedName>
    <definedName name="_75__123Graph_AChart_16B" hidden="1">#REF!</definedName>
    <definedName name="_75__123Graph_AChart_25C" hidden="1">#REF!</definedName>
    <definedName name="_75__123Graph_AChart_9A" hidden="1">#REF!</definedName>
    <definedName name="_75__123Graph_DChart_13B" hidden="1">#REF!</definedName>
    <definedName name="_75__123Graph_XChart_13B" hidden="1">#REF!</definedName>
    <definedName name="_75__123Graph_XChart_17B" hidden="1">#REF!</definedName>
    <definedName name="_750__123Graph_CChart_24C" hidden="1">#REF!</definedName>
    <definedName name="_756__123Graph_CChart_4A" hidden="1">#REF!</definedName>
    <definedName name="_756__123Graph_XChart_25C" hidden="1">#REF!</definedName>
    <definedName name="_76___123Graph_XChart_10B" hidden="1">#REF!</definedName>
    <definedName name="_76___123Graph_XChart_18B" hidden="1">#REF!</definedName>
    <definedName name="_76__123Graph_AChart_24C" hidden="1">#REF!</definedName>
    <definedName name="_76__123Graph_AChart_3A" hidden="1">#REF!</definedName>
    <definedName name="_76__123Graph_BChart_27C" hidden="1">#REF!</definedName>
    <definedName name="_76__123Graph_BChart_3A" hidden="1">#REF!</definedName>
    <definedName name="_76__123Graph_DChart_16B" hidden="1">#REF!</definedName>
    <definedName name="_76__123Graph_XChart_17B" hidden="1">#REF!</definedName>
    <definedName name="_76__123Graph_XChart_18B" hidden="1">#REF!</definedName>
    <definedName name="_765__123Graph_CChart_25C" hidden="1">#REF!</definedName>
    <definedName name="_765__123Graph_XChart_26C" hidden="1">#REF!</definedName>
    <definedName name="_77___123Graph_XChart_11B" hidden="1">#REF!</definedName>
    <definedName name="_77___123Graph_XChart_19C" hidden="1">#REF!</definedName>
    <definedName name="_77__123Graph_AChart_18B" hidden="1">#REF!</definedName>
    <definedName name="_77__123Graph_AChart_22C" hidden="1">#REF!</definedName>
    <definedName name="_77__123Graph_AChart_9A" hidden="1">#REF!</definedName>
    <definedName name="_77__123Graph_DChart_17B" hidden="1">#REF!</definedName>
    <definedName name="_77__123Graph_XChart_18B" hidden="1">#REF!</definedName>
    <definedName name="_77__123Graph_XChart_19C" hidden="1">#REF!</definedName>
    <definedName name="_770__123Graph_CChart_5A" hidden="1">#REF!</definedName>
    <definedName name="_774__123Graph_XChart_27C" hidden="1">#REF!</definedName>
    <definedName name="_775__123Graph_AChart_8A" hidden="1">#REF!</definedName>
    <definedName name="_78___123Graph_XChart_12B" hidden="1">#REF!</definedName>
    <definedName name="_78___123Graph_XChart_1A" hidden="1">#REF!</definedName>
    <definedName name="_78__123Graph_AChart_19C" hidden="1">#REF!</definedName>
    <definedName name="_78__123Graph_AChart_23C" hidden="1">#REF!</definedName>
    <definedName name="_78__123Graph_AChart_25C" hidden="1">#REF!</definedName>
    <definedName name="_78__123Graph_BChart_12B" hidden="1">#REF!</definedName>
    <definedName name="_78__123Graph_BChart_3A" hidden="1">#REF!</definedName>
    <definedName name="_78__123Graph_BChart_4A" hidden="1">#REF!</definedName>
    <definedName name="_78__123Graph_DChart_22C" hidden="1">#REF!</definedName>
    <definedName name="_78__123Graph_XChart_19C" hidden="1">#REF!</definedName>
    <definedName name="_78__123Graph_XChart_1A" hidden="1">#REF!</definedName>
    <definedName name="_780__123Graph_CChart_26C" hidden="1">#REF!</definedName>
    <definedName name="_783__123Graph_XChart_2A" hidden="1">#REF!</definedName>
    <definedName name="_784__123Graph_CChart_6A" hidden="1">#REF!</definedName>
    <definedName name="_79___123Graph_XChart_13B" hidden="1">#REF!</definedName>
    <definedName name="_79___123Graph_XChart_20C" hidden="1">#REF!</definedName>
    <definedName name="_79__123Graph_AChart_25C" hidden="1">#REF!</definedName>
    <definedName name="_79__123Graph_DChart_23C" hidden="1">#REF!</definedName>
    <definedName name="_79__123Graph_XChart_1A" hidden="1">#REF!</definedName>
    <definedName name="_79__123Graph_XChart_20C" hidden="1">#REF!</definedName>
    <definedName name="_792__123Graph_XChart_3A" hidden="1">#REF!</definedName>
    <definedName name="_795__123Graph_CChart_4A" hidden="1">#REF!</definedName>
    <definedName name="_798__123Graph_CChart_7A" hidden="1">#REF!</definedName>
    <definedName name="_8___123Graph_AChart_12B" hidden="1">#REF!</definedName>
    <definedName name="_8___123Graph_AChart_19C" hidden="1">#REF!</definedName>
    <definedName name="_8__123Graph_AChart_10B" hidden="1">#REF!</definedName>
    <definedName name="_8__123Graph_AChart_11B" hidden="1">#REF!</definedName>
    <definedName name="_8__123Graph_AChart_12B" hidden="1">#REF!</definedName>
    <definedName name="_8__123Graph_AChart_13B" hidden="1">#REF!</definedName>
    <definedName name="_8__123Graph_AChart_18B" hidden="1">#REF!</definedName>
    <definedName name="_8__123Graph_AChart_19C" hidden="1">#REF!</definedName>
    <definedName name="_8__123Graph_BGráfico_1E" hidden="1">#REF!</definedName>
    <definedName name="_8__123Graph_BGráfico_1I" hidden="1">#REF!</definedName>
    <definedName name="_8__123Graph_DCHART_1" hidden="1">#REF!</definedName>
    <definedName name="_8__FDSAUDITLINK__" hidden="1">{"fdsup://IBCentral/FAT Viewer?action=UPDATE&amp;creator=factset&amp;DOC_NAME=fat:reuters_annual_source_window.fat&amp;display_string=Audit&amp;DYN_ARGS=TRUE&amp;VAR:ID1=738048&amp;VAR:RCODE=TTAX&amp;VAR:SDATE=20071299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80___123Graph_XChart_17B" hidden="1">#REF!</definedName>
    <definedName name="_80___123Graph_XChart_21C" hidden="1">#REF!</definedName>
    <definedName name="_80__123Graph_AChart_1A" hidden="1">#REF!</definedName>
    <definedName name="_80__123Graph_AChart_26C" hidden="1">#REF!</definedName>
    <definedName name="_80__123Graph_AChart_4A" hidden="1">#REF!</definedName>
    <definedName name="_80__123Graph_BChart_12B" hidden="1">#REF!</definedName>
    <definedName name="_80__123Graph_BChart_4A" hidden="1">#REF!</definedName>
    <definedName name="_80__123Graph_BChart_5A" hidden="1">#REF!</definedName>
    <definedName name="_80__123Graph_DChart_24C" hidden="1">#REF!</definedName>
    <definedName name="_80__123Graph_XChart_20C" hidden="1">#REF!</definedName>
    <definedName name="_80__123Graph_XChart_21C" hidden="1">#REF!</definedName>
    <definedName name="_801__123Graph_XChart_4A" hidden="1">#REF!</definedName>
    <definedName name="_806__123Graph_AChart_9A" hidden="1">#REF!</definedName>
    <definedName name="_81___123Graph_XChart_18B" hidden="1">#REF!</definedName>
    <definedName name="_81___123Graph_XChart_22C" hidden="1">#REF!</definedName>
    <definedName name="_81__123Graph_AChart_1A" hidden="1">#REF!</definedName>
    <definedName name="_81__123Graph_AChart_25C" hidden="1">#REF!</definedName>
    <definedName name="_81__123Graph_BChart_13B" hidden="1">#REF!</definedName>
    <definedName name="_81__123Graph_DChart_25C" hidden="1">#REF!</definedName>
    <definedName name="_81__123Graph_XChart_21C" hidden="1">#REF!</definedName>
    <definedName name="_81__123Graph_XChart_22C" hidden="1">#REF!</definedName>
    <definedName name="_810__123Graph_CChart_5A" hidden="1">#REF!</definedName>
    <definedName name="_810__123Graph_XChart_5A" hidden="1">#REF!</definedName>
    <definedName name="_812__123Graph_CChart_8A" hidden="1">#REF!</definedName>
    <definedName name="_819__123Graph_XChart_6A" hidden="1">#REF!</definedName>
    <definedName name="_82___123Graph_XChart_19C" hidden="1">#REF!</definedName>
    <definedName name="_82___123Graph_XChart_23C" hidden="1">#REF!</definedName>
    <definedName name="_82__123Graph_BChart_5A" hidden="1">#REF!</definedName>
    <definedName name="_82__123Graph_BChart_6A" hidden="1">#REF!</definedName>
    <definedName name="_82__123Graph_DChart_26C" hidden="1">#REF!</definedName>
    <definedName name="_82__123Graph_XChart_22C" hidden="1">#REF!</definedName>
    <definedName name="_82__123Graph_XChart_23C" hidden="1">#REF!</definedName>
    <definedName name="_825__123Graph_CChart_6A" hidden="1">#REF!</definedName>
    <definedName name="_826__123Graph_DChart_13B" hidden="1">#REF!</definedName>
    <definedName name="_828__123Graph_XChart_7A" hidden="1">#REF!</definedName>
    <definedName name="_83___123Graph_XChart_1A" hidden="1">#REF!</definedName>
    <definedName name="_83___123Graph_XChart_24C" hidden="1">#REF!</definedName>
    <definedName name="_83__123Graph_AChart_23C" hidden="1">#REF!</definedName>
    <definedName name="_83__123Graph_AChart_26C" hidden="1">#REF!</definedName>
    <definedName name="_83__123Graph_BChart_13B" hidden="1">#REF!</definedName>
    <definedName name="_83__123Graph_DChart_4A" hidden="1">#REF!</definedName>
    <definedName name="_83__123Graph_XChart_23C" hidden="1">#REF!</definedName>
    <definedName name="_83__123Graph_XChart_24C" hidden="1">#REF!</definedName>
    <definedName name="_837__123Graph_BChart_12B" hidden="1">#REF!</definedName>
    <definedName name="_837__123Graph_XChart_8A" hidden="1">#REF!</definedName>
    <definedName name="_84___123Graph_XChart_20C" hidden="1">#REF!</definedName>
    <definedName name="_84___123Graph_XChart_25C" hidden="1">#REF!</definedName>
    <definedName name="_84__123Graph_AChart_16B" hidden="1">#REF!</definedName>
    <definedName name="_84__123Graph_AChart_24C" hidden="1">#REF!</definedName>
    <definedName name="_84__123Graph_AChart_26C" hidden="1">#REF!</definedName>
    <definedName name="_84__123Graph_AChart_5A" hidden="1">#REF!</definedName>
    <definedName name="_84__123Graph_BChart_16B" hidden="1">#REF!</definedName>
    <definedName name="_84__123Graph_BChart_6A" hidden="1">#REF!</definedName>
    <definedName name="_84__123Graph_BChart_7A" hidden="1">#REF!</definedName>
    <definedName name="_84__123Graph_DChart_5A" hidden="1">#REF!</definedName>
    <definedName name="_84__123Graph_XChart_24C" hidden="1">#REF!</definedName>
    <definedName name="_84__123Graph_XChart_25C" hidden="1">#REF!</definedName>
    <definedName name="_840__123Graph_CChart_7A" hidden="1">#REF!</definedName>
    <definedName name="_840__123Graph_DChart_16B" hidden="1">#REF!</definedName>
    <definedName name="_846__123Graph_XChart_9A" hidden="1">#REF!</definedName>
    <definedName name="_85___123Graph_XChart_21C" hidden="1">#REF!</definedName>
    <definedName name="_85___123Graph_XChart_26C" hidden="1">#REF!</definedName>
    <definedName name="_85__123Graph_AChart_27C" hidden="1">#REF!</definedName>
    <definedName name="_85__123Graph_DChart_6A" hidden="1">#REF!</definedName>
    <definedName name="_85__123Graph_XChart_25C" hidden="1">#REF!</definedName>
    <definedName name="_85__123Graph_XChart_26C" hidden="1">#REF!</definedName>
    <definedName name="_854__123Graph_DChart_17B" hidden="1">#REF!</definedName>
    <definedName name="_855__123Graph_CChart_8A" hidden="1">#REF!</definedName>
    <definedName name="_86___123Graph_XChart_22C" hidden="1">#REF!</definedName>
    <definedName name="_86___123Graph_XChart_27C" hidden="1">#REF!</definedName>
    <definedName name="_86__123Graph_AChart_26C" hidden="1">#REF!</definedName>
    <definedName name="_86__123Graph_BChart_16B" hidden="1">#REF!</definedName>
    <definedName name="_86__123Graph_BChart_7A" hidden="1">#REF!</definedName>
    <definedName name="_86__123Graph_BChart_8A" hidden="1">#REF!</definedName>
    <definedName name="_86__123Graph_DChart_7A" hidden="1">#REF!</definedName>
    <definedName name="_86__123Graph_XChart_26C" hidden="1">#REF!</definedName>
    <definedName name="_86__123Graph_XChart_27C" hidden="1">#REF!</definedName>
    <definedName name="_868__123Graph_BChart_13B" hidden="1">#REF!</definedName>
    <definedName name="_868__123Graph_DChart_22C" hidden="1">#REF!</definedName>
    <definedName name="_87___123Graph_XChart_23C" hidden="1">#REF!</definedName>
    <definedName name="_87___123Graph_XChart_2A" hidden="1">#REF!</definedName>
    <definedName name="_87__123Graph_AChart_19C" hidden="1">#REF!</definedName>
    <definedName name="_87__123Graph_AChart_1A" hidden="1">#REF!</definedName>
    <definedName name="_87__123Graph_BChart_17B" hidden="1">#REF!</definedName>
    <definedName name="_87__123Graph_DChart_8A" hidden="1">#REF!</definedName>
    <definedName name="_87__123Graph_XChart_27C" hidden="1">#REF!</definedName>
    <definedName name="_87__123Graph_XChart_2A" hidden="1">#REF!</definedName>
    <definedName name="_870__123Graph_DChart_13B" hidden="1">#REF!</definedName>
    <definedName name="_88___123Graph_XChart_24C" hidden="1">#REF!</definedName>
    <definedName name="_88___123Graph_XChart_3A" hidden="1">#REF!</definedName>
    <definedName name="_88__123Graph_AChart_20C" hidden="1">#REF!</definedName>
    <definedName name="_88__123Graph_AChart_27C" hidden="1">#REF!</definedName>
    <definedName name="_88__123Graph_AChart_6A" hidden="1">#REF!</definedName>
    <definedName name="_88__123Graph_BChart_8A" hidden="1">#REF!</definedName>
    <definedName name="_88__123Graph_BChart_9A" hidden="1">#REF!</definedName>
    <definedName name="_88__123Graph_DGráfico_1B" hidden="1">#REF!</definedName>
    <definedName name="_88__123Graph_XChart_2A" hidden="1">#REF!</definedName>
    <definedName name="_88__123Graph_XChart_3A" hidden="1">#REF!</definedName>
    <definedName name="_882__123Graph_DChart_23C" hidden="1">#REF!</definedName>
    <definedName name="_885__123Graph_DChart_16B" hidden="1">#REF!</definedName>
    <definedName name="_89___123Graph_XChart_25C" hidden="1">#REF!</definedName>
    <definedName name="_89___123Graph_XChart_4A" hidden="1">#REF!</definedName>
    <definedName name="_89__123Graph_AChart_24C" hidden="1">#REF!</definedName>
    <definedName name="_89__123Graph_AChart_27C" hidden="1">#REF!</definedName>
    <definedName name="_89__123Graph_BChart_17B" hidden="1">#REF!</definedName>
    <definedName name="_89__123Graph_DGráfico_1C" hidden="1">#REF!</definedName>
    <definedName name="_89__123Graph_XChart_3A" hidden="1">#REF!</definedName>
    <definedName name="_89__123Graph_XChart_4A" hidden="1">#REF!</definedName>
    <definedName name="_896__123Graph_DChart_24C" hidden="1">#REF!</definedName>
    <definedName name="_899__123Graph_BChart_16B" hidden="1">#REF!</definedName>
    <definedName name="_9___123Graph_AChart_13B" hidden="1">#REF!</definedName>
    <definedName name="_9___123Graph_AChart_1A" hidden="1">#REF!</definedName>
    <definedName name="_9__123Graph_AChart_10B" hidden="1">#REF!</definedName>
    <definedName name="_9__123Graph_AChart_12B" hidden="1">#REF!</definedName>
    <definedName name="_9__123Graph_AChart_19C" hidden="1">#REF!</definedName>
    <definedName name="_9__123Graph_AChart_1A" hidden="1">#REF!</definedName>
    <definedName name="_9__123Graph_BGráfico_1F" hidden="1">#REF!</definedName>
    <definedName name="_9__123Graph_BGráfico_1J" hidden="1">#REF!</definedName>
    <definedName name="_9__123Graph_DCHART_2" hidden="1">#REF!</definedName>
    <definedName name="_9__FDSAUDITLINK__" hidden="1">{"fdsup://IBCentral/FAT Viewer?action=UPDATE&amp;creator=factset&amp;DOC_NAME=fat:reuters_annual_source_window.fat&amp;display_string=Audit&amp;DYN_ARGS=TRUE&amp;VAR:ID1=738048&amp;VAR:RCODE=TTAX&amp;VAR:SDATE=20061299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90___123Graph_XChart_26C" hidden="1">#REF!</definedName>
    <definedName name="_90___123Graph_XChart_5A" hidden="1">#REF!</definedName>
    <definedName name="_90__123Graph_AChart_17B" hidden="1">#REF!</definedName>
    <definedName name="_90__123Graph_AChart_20C" hidden="1">#REF!</definedName>
    <definedName name="_90__123Graph_AChart_25C" hidden="1">#REF!</definedName>
    <definedName name="_90__123Graph_AChart_2A" hidden="1">#REF!</definedName>
    <definedName name="_90__123Graph_BChart_18B" hidden="1">#REF!</definedName>
    <definedName name="_90__123Graph_BChart_9A" hidden="1">#REF!</definedName>
    <definedName name="_90__123Graph_CChart_13B" hidden="1">#REF!</definedName>
    <definedName name="_90__123Graph_DGráfico_1D" hidden="1">#REF!</definedName>
    <definedName name="_90__123Graph_XChart_4A" hidden="1">#REF!</definedName>
    <definedName name="_90__123Graph_XChart_5A" hidden="1">#REF!</definedName>
    <definedName name="_900__123Graph_DChart_17B" hidden="1">#REF!</definedName>
    <definedName name="_91___123Graph_XChart_27C" hidden="1">#REF!</definedName>
    <definedName name="_91___123Graph_XChart_6A" hidden="1">#REF!</definedName>
    <definedName name="_91__123Graph_AChart_27C" hidden="1">#REF!</definedName>
    <definedName name="_91__123Graph_DGráfico_1E" hidden="1">#REF!</definedName>
    <definedName name="_91__123Graph_XChart_5A" hidden="1">#REF!</definedName>
    <definedName name="_91__123Graph_XChart_6A" hidden="1">#REF!</definedName>
    <definedName name="_910__123Graph_DChart_25C" hidden="1">#REF!</definedName>
    <definedName name="_915__123Graph_DChart_22C" hidden="1">#REF!</definedName>
    <definedName name="_92___123Graph_XChart_2A" hidden="1">#REF!</definedName>
    <definedName name="_92___123Graph_XChart_7A" hidden="1">#REF!</definedName>
    <definedName name="_92__123Graph_AChart_7A" hidden="1">#REF!</definedName>
    <definedName name="_92__123Graph_BChart_18B" hidden="1">#REF!</definedName>
    <definedName name="_92__123Graph_CChart_13B" hidden="1">#REF!</definedName>
    <definedName name="_92__123Graph_CChart_16B" hidden="1">#REF!</definedName>
    <definedName name="_92__123Graph_DGráfico_1F" hidden="1">#REF!</definedName>
    <definedName name="_92__123Graph_XChart_6A" hidden="1">#REF!</definedName>
    <definedName name="_92__123Graph_XChart_7A" hidden="1">#REF!</definedName>
    <definedName name="_924__123Graph_DChart_26C" hidden="1">#REF!</definedName>
    <definedName name="_93___123Graph_XChart_3A" hidden="1">#REF!</definedName>
    <definedName name="_93___123Graph_XChart_8A" hidden="1">#REF!</definedName>
    <definedName name="_93__123Graph_AChart_11B" hidden="1">#REF!</definedName>
    <definedName name="_93__123Graph_AChart_2A" hidden="1">#REF!</definedName>
    <definedName name="_93__123Graph_BChart_21C" hidden="1">#REF!</definedName>
    <definedName name="_93__123Graph_DGráfico_1G" hidden="1">#REF!</definedName>
    <definedName name="_93__123Graph_XChart_7A" hidden="1">#REF!</definedName>
    <definedName name="_93__123Graph_XChart_8A" hidden="1">#REF!</definedName>
    <definedName name="_930__123Graph_BChart_17B" hidden="1">#REF!</definedName>
    <definedName name="_930__123Graph_DChart_23C" hidden="1">#REF!</definedName>
    <definedName name="_938__123Graph_DChart_4A" hidden="1">#REF!</definedName>
    <definedName name="_94___123Graph_XChart_4A" hidden="1">#REF!</definedName>
    <definedName name="_94___123Graph_XChart_9A" hidden="1">#REF!</definedName>
    <definedName name="_94__123Graph_AChart_2A" hidden="1">#REF!</definedName>
    <definedName name="_94__123Graph_CChart_16B" hidden="1">#REF!</definedName>
    <definedName name="_94__123Graph_CChart_17B" hidden="1">#REF!</definedName>
    <definedName name="_94__123Graph_DGráfico_1H" hidden="1">#REF!</definedName>
    <definedName name="_94__123Graph_XChart_8A" hidden="1">#REF!</definedName>
    <definedName name="_94__123Graph_XChart_9A" hidden="1">#REF!</definedName>
    <definedName name="_945__123Graph_DChart_24C" hidden="1">#REF!</definedName>
    <definedName name="_95___123Graph_XChart_5A" hidden="1">#REF!</definedName>
    <definedName name="_95__123Graph_AChart_10B" hidden="1">#REF!</definedName>
    <definedName name="_95__123Graph_AChart_25C" hidden="1">#REF!</definedName>
    <definedName name="_95__123Graph_AChart_3A" hidden="1">#REF!</definedName>
    <definedName name="_95__123Graph_BChart_21C" hidden="1">#REF!</definedName>
    <definedName name="_95__123Graph_EGráfico_1B" hidden="1">#REF!</definedName>
    <definedName name="_95__123Graph_XChart_9A" hidden="1">#REF!</definedName>
    <definedName name="_952__123Graph_DChart_5A" hidden="1">#REF!</definedName>
    <definedName name="_96___123Graph_XChart_6A" hidden="1">#REF!</definedName>
    <definedName name="_96__123Graph_AChart_11B" hidden="1">#REF!</definedName>
    <definedName name="_96__123Graph_AChart_20C" hidden="1">#REF!</definedName>
    <definedName name="_96__123Graph_AChart_21C" hidden="1">#REF!</definedName>
    <definedName name="_96__123Graph_AChart_26C" hidden="1">#REF!</definedName>
    <definedName name="_96__123Graph_AChart_2A" hidden="1">#REF!</definedName>
    <definedName name="_96__123Graph_AChart_8A" hidden="1">#REF!</definedName>
    <definedName name="_96__123Graph_BChart_22C" hidden="1">#REF!</definedName>
    <definedName name="_96__123Graph_CChart_17B" hidden="1">#REF!</definedName>
    <definedName name="_96__123Graph_CChart_22C" hidden="1">#REF!</definedName>
    <definedName name="_96__123Graph_EGráfico_1C" hidden="1">#REF!</definedName>
    <definedName name="_960__123Graph_DChart_25C" hidden="1">#REF!</definedName>
    <definedName name="_961__123Graph_BChart_18B" hidden="1">#REF!</definedName>
    <definedName name="_966__123Graph_DChart_6A" hidden="1">#REF!</definedName>
    <definedName name="_97___123Graph_XChart_7A" hidden="1">#REF!</definedName>
    <definedName name="_97__123Graph_AChart_12B" hidden="1">#REF!</definedName>
    <definedName name="_97__123Graph_AChart_1A" hidden="1">#REF!</definedName>
    <definedName name="_97__123Graph_EGráfico_1D" hidden="1">#REF!</definedName>
    <definedName name="_975__123Graph_DChart_26C" hidden="1">#REF!</definedName>
    <definedName name="_98___123Graph_XChart_8A" hidden="1">#REF!</definedName>
    <definedName name="_98__123Graph_AChart_13B" hidden="1">#REF!</definedName>
    <definedName name="_98__123Graph_AChart_17B" hidden="1">#REF!</definedName>
    <definedName name="_98__123Graph_AChart_3A" hidden="1">#REF!</definedName>
    <definedName name="_98__123Graph_BChart_22C" hidden="1">#REF!</definedName>
    <definedName name="_98__123Graph_CChart_22C" hidden="1">#REF!</definedName>
    <definedName name="_98__123Graph_CChart_23C" hidden="1">#REF!</definedName>
    <definedName name="_98__123Graph_EGráfico_1E" hidden="1">#REF!</definedName>
    <definedName name="_980__123Graph_DChart_7A" hidden="1">#REF!</definedName>
    <definedName name="_99___123Graph_XChart_9A" hidden="1">#REF!</definedName>
    <definedName name="_99__123Graph_AChart_16B" hidden="1">#REF!</definedName>
    <definedName name="_99__123Graph_AChart_21C" hidden="1">#REF!</definedName>
    <definedName name="_99__123Graph_AChart_3A" hidden="1">#REF!</definedName>
    <definedName name="_99__123Graph_BChart_23C" hidden="1">#REF!</definedName>
    <definedName name="_99__123Graph_EGráfico_1F" hidden="1">#REF!</definedName>
    <definedName name="_990__123Graph_DChart_4A" hidden="1">#REF!</definedName>
    <definedName name="_992__123Graph_BChart_21C" hidden="1">#REF!</definedName>
    <definedName name="_994__123Graph_DChart_8A" hidden="1">#REF!</definedName>
    <definedName name="_995__123Graph_XChart_10B" hidden="1">#REF!</definedName>
    <definedName name="_996__123Graph_XChart_11B" hidden="1">#REF!</definedName>
    <definedName name="_997__123Graph_XChart_12B" hidden="1">#REF!</definedName>
    <definedName name="_998__123Graph_XChart_13B" hidden="1">#REF!</definedName>
    <definedName name="_999__123Graph_XChart_17B" hidden="1">#REF!</definedName>
    <definedName name="_a1" hidden="1">{"'Sheet1'!$A$1:$G$96","'Sheet1'!$A$1:$H$96"}</definedName>
    <definedName name="_a2" hidden="1">{"'Sheet1'!$A$1:$G$96","'Sheet1'!$A$1:$H$96"}</definedName>
    <definedName name="_aaa" hidden="1">{#N/A,#N/A,FALSE,"Aging Summary";#N/A,#N/A,FALSE,"Ratio Analysis";#N/A,#N/A,FALSE,"Test 120 Day Accts";#N/A,#N/A,FALSE,"Tickmarks"}</definedName>
    <definedName name="_ANA1" hidden="1">{#N/A,#N/A,TRUE,"EC COMM-t";#N/A,#N/A,TRUE,"EC PAR PDTS-t";#N/A,#N/A,TRUE,"EC MAT-t";#N/A,#N/A,TRUE,"SUIVI HAUSSES-t"}</definedName>
    <definedName name="_ANA1_1" hidden="1">{#N/A,#N/A,TRUE,"EC COMM-t";#N/A,#N/A,TRUE,"EC PAR PDTS-t";#N/A,#N/A,TRUE,"EC MAT-t";#N/A,#N/A,TRUE,"SUIVI HAUSSES-t"}</definedName>
    <definedName name="_ANA1_2" hidden="1">{#N/A,#N/A,TRUE,"EC COMM-t";#N/A,#N/A,TRUE,"EC PAR PDTS-t";#N/A,#N/A,TRUE,"EC MAT-t";#N/A,#N/A,TRUE,"SUIVI HAUSSES-t"}</definedName>
    <definedName name="_ANA1_3" hidden="1">{#N/A,#N/A,TRUE,"EC COMM-t";#N/A,#N/A,TRUE,"EC PAR PDTS-t";#N/A,#N/A,TRUE,"EC MAT-t";#N/A,#N/A,TRUE,"SUIVI HAUSSES-t"}</definedName>
    <definedName name="_ANA1_4" hidden="1">{#N/A,#N/A,TRUE,"EC COMM-t";#N/A,#N/A,TRUE,"EC PAR PDTS-t";#N/A,#N/A,TRUE,"EC MAT-t";#N/A,#N/A,TRUE,"SUIVI HAUSSES-t"}</definedName>
    <definedName name="_ANA1_5" hidden="1">{#N/A,#N/A,TRUE,"EC COMM-t";#N/A,#N/A,TRUE,"EC PAR PDTS-t";#N/A,#N/A,TRUE,"EC MAT-t";#N/A,#N/A,TRUE,"SUIVI HAUSSES-t"}</definedName>
    <definedName name="_ana2" hidden="1">{#N/A,#N/A,TRUE,"EC COMM-t";#N/A,#N/A,TRUE,"EC PAR PDTS-t";#N/A,#N/A,TRUE,"EC MAT-t";#N/A,#N/A,TRUE,"SUIVI HAUSSES-t"}</definedName>
    <definedName name="_ana2_1" hidden="1">{#N/A,#N/A,TRUE,"EC COMM-t";#N/A,#N/A,TRUE,"EC PAR PDTS-t";#N/A,#N/A,TRUE,"EC MAT-t";#N/A,#N/A,TRUE,"SUIVI HAUSSES-t"}</definedName>
    <definedName name="_ana2_2" hidden="1">{#N/A,#N/A,TRUE,"EC COMM-t";#N/A,#N/A,TRUE,"EC PAR PDTS-t";#N/A,#N/A,TRUE,"EC MAT-t";#N/A,#N/A,TRUE,"SUIVI HAUSSES-t"}</definedName>
    <definedName name="_ana2_3" hidden="1">{#N/A,#N/A,TRUE,"EC COMM-t";#N/A,#N/A,TRUE,"EC PAR PDTS-t";#N/A,#N/A,TRUE,"EC MAT-t";#N/A,#N/A,TRUE,"SUIVI HAUSSES-t"}</definedName>
    <definedName name="_ana2_4" hidden="1">{#N/A,#N/A,TRUE,"EC COMM-t";#N/A,#N/A,TRUE,"EC PAR PDTS-t";#N/A,#N/A,TRUE,"EC MAT-t";#N/A,#N/A,TRUE,"SUIVI HAUSSES-t"}</definedName>
    <definedName name="_ana2_5" hidden="1">{#N/A,#N/A,TRUE,"EC COMM-t";#N/A,#N/A,TRUE,"EC PAR PDTS-t";#N/A,#N/A,TRUE,"EC MAT-t";#N/A,#N/A,TRUE,"SUIVI HAUSSES-t"}</definedName>
    <definedName name="_ana2222" hidden="1">{#N/A,#N/A,TRUE,"EC COMM-t";#N/A,#N/A,TRUE,"EC PAR PDTS-t";#N/A,#N/A,TRUE,"EC MAT-t";#N/A,#N/A,TRUE,"SUIVI HAUSSES-t"}</definedName>
    <definedName name="_ana2222_1" hidden="1">{#N/A,#N/A,TRUE,"EC COMM-t";#N/A,#N/A,TRUE,"EC PAR PDTS-t";#N/A,#N/A,TRUE,"EC MAT-t";#N/A,#N/A,TRUE,"SUIVI HAUSSES-t"}</definedName>
    <definedName name="_ana2222_2" hidden="1">{#N/A,#N/A,TRUE,"EC COMM-t";#N/A,#N/A,TRUE,"EC PAR PDTS-t";#N/A,#N/A,TRUE,"EC MAT-t";#N/A,#N/A,TRUE,"SUIVI HAUSSES-t"}</definedName>
    <definedName name="_ana2222_3" hidden="1">{#N/A,#N/A,TRUE,"EC COMM-t";#N/A,#N/A,TRUE,"EC PAR PDTS-t";#N/A,#N/A,TRUE,"EC MAT-t";#N/A,#N/A,TRUE,"SUIVI HAUSSES-t"}</definedName>
    <definedName name="_ana2222_4" hidden="1">{#N/A,#N/A,TRUE,"EC COMM-t";#N/A,#N/A,TRUE,"EC PAR PDTS-t";#N/A,#N/A,TRUE,"EC MAT-t";#N/A,#N/A,TRUE,"SUIVI HAUSSES-t"}</definedName>
    <definedName name="_ana2222_5" hidden="1">{#N/A,#N/A,TRUE,"EC COMM-t";#N/A,#N/A,TRUE,"EC PAR PDTS-t";#N/A,#N/A,TRUE,"EC MAT-t";#N/A,#N/A,TRUE,"SUIVI HAUSSES-t"}</definedName>
    <definedName name="_as1" hidden="1">{"comp1",#N/A,FALSE,"COMPS";"footnotes",#N/A,FALSE,"COMPS"}</definedName>
    <definedName name="_AtRisk_SimSetting_AutomaticallyGenerateReports" hidden="1">TRUE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1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162" hidden="1">#REF!</definedName>
    <definedName name="_bdm.3D489FF782644E41A1236B6FF90B2B54.edm" hidden="1">#REF!</definedName>
    <definedName name="_bdm.D2866DA761E747E59470D6CEB2BFA49F.edm" hidden="1">#REF!</definedName>
    <definedName name="_bdm.DCC1068D689A4C09935F155632AABD0F.edm" hidden="1">#REF!</definedName>
    <definedName name="_bdm.FE81A8FAE5D141CE97CB0C2107B66E67.edm" hidden="1">#REF!</definedName>
    <definedName name="_cvb5" hidden="1">{"'Sheet1'!$A$1:$G$96","'Sheet1'!$A$1:$H$96"}</definedName>
    <definedName name="_DCF1" hidden="1">{#N/A,#N/A,FALSE,"Operations";#N/A,#N/A,FALSE,"Financials"}</definedName>
    <definedName name="_dfd1" hidden="1">{"comp1",#N/A,FALSE,"COMPS";"footnotes",#N/A,FALSE,"COMPS"}</definedName>
    <definedName name="_Dist_Bin" hidden="1">#REF!</definedName>
    <definedName name="_Dist_Values" hidden="1">#REF!</definedName>
    <definedName name="_ECA1" hidden="1">{#N/A,#N/A,FALSE,"ANALYSE";#N/A,#N/A,FALSE,"PM VALEUR"}</definedName>
    <definedName name="_ECA1_1" hidden="1">{#N/A,#N/A,FALSE,"ANALYSE";#N/A,#N/A,FALSE,"PM VALEUR"}</definedName>
    <definedName name="_ECA1_2" hidden="1">{#N/A,#N/A,FALSE,"ANALYSE";#N/A,#N/A,FALSE,"PM VALEUR"}</definedName>
    <definedName name="_ECA1_3" hidden="1">{#N/A,#N/A,FALSE,"ANALYSE";#N/A,#N/A,FALSE,"PM VALEUR"}</definedName>
    <definedName name="_ECA1_4" hidden="1">{#N/A,#N/A,FALSE,"ANALYSE";#N/A,#N/A,FALSE,"PM VALEUR"}</definedName>
    <definedName name="_ECA1_5" hidden="1">{#N/A,#N/A,FALSE,"ANALYSE";#N/A,#N/A,FALSE,"PM VALEUR"}</definedName>
    <definedName name="_edp1" hidden="1">{"assumption 50 50",#N/A,TRUE,"Merger";"has gets cash",#N/A,TRUE,"Merger";"accretion dilution",#N/A,TRUE,"Merger";"comparison credit stats",#N/A,TRUE,"Merger";"pf credit stats",#N/A,TRUE,"Merger";"pf sheets",#N/A,TRUE,"Merger"}</definedName>
    <definedName name="_eyr1" hidden="1">{"hiden",#N/A,FALSE,"14";"hidden",#N/A,FALSE,"16";"hidden",#N/A,FALSE,"18";"hidden",#N/A,FALSE,"20"}</definedName>
    <definedName name="_f1" hidden="1">{"assumption cash",#N/A,TRUE,"Merger";"has gets cash",#N/A,TRUE,"Merger";"accretion dilution",#N/A,TRUE,"Merger";"comparison credit stats",#N/A,TRUE,"Merger";"pf credit stats",#N/A,TRUE,"Merger";"pf sheets",#N/A,TRUE,"Merger"}</definedName>
    <definedName name="_f11" hidden="1">{#N/A,#N/A,TRUE,"План продаж";#N/A,#N/A,TRUE,"Склад гот.прод";#N/A,#N/A,TRUE,"План отгрузки"}</definedName>
    <definedName name="_fds2" hidden="1">{"comps",#N/A,FALSE,"comps";"notes",#N/A,FALSE,"comps"}</definedName>
    <definedName name="_Fill" hidden="1">#REF!</definedName>
    <definedName name="_g7" hidden="1">{"'Sheet1'!$A$1:$G$96","'Sheet1'!$A$1:$H$96"}</definedName>
    <definedName name="_ggf1" hidden="1">{"comps",#N/A,FALSE,"comps";"notes",#N/A,FALSE,"comps"}</definedName>
    <definedName name="_GR3" hidden="1">{"Informes",#N/A,FALSE,"CA";"Informes",#N/A,FALSE,"CN";"Informes",#N/A,FALSE,"INVERSIONES";"Informes",#N/A,FALSE,"CN Oficial";"Informes",#N/A,FALSE,"CA Oficial";"Informes",#N/A,FALSE,"Res Datos Areas"}</definedName>
    <definedName name="_i76666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_ik1" hidden="1">{"casespecific",#N/A,FALSE,"Assumptions"}</definedName>
    <definedName name="_jje4444" hidden="1">{#N/A,#N/A,FALSE,"ACTIVITE-c";#N/A,#N/A,FALSE,"RESEAU-c";#N/A,#N/A,FALSE,"BASE-c"}</definedName>
    <definedName name="_Key1" hidden="1">#REF!</definedName>
    <definedName name="_Key1.1" hidden="1">#REF!</definedName>
    <definedName name="_Key1.2" hidden="1">#REF!</definedName>
    <definedName name="_Key1.3" hidden="1">#REF!</definedName>
    <definedName name="_Key1_" hidden="1">#REF!</definedName>
    <definedName name="_Key2" hidden="1">#REF!</definedName>
    <definedName name="_kol1" hidden="1">{"away stand alones",#N/A,FALSE,"Target"}</definedName>
    <definedName name="_LC" hidden="1">{#N/A,#N/A,FALSE,"CNM BUDGET EVIAN";#N/A,#N/A,FALSE,"CNM BUDGET BA"}</definedName>
    <definedName name="_LL1" hidden="1">{#N/A,#N/A,FALSE,"CNM BUDGET EVIAN";#N/A,#N/A,FALSE,"CNM BUDGET BA"}</definedName>
    <definedName name="_LL2" hidden="1">{"original",#N/A,TRUE,"flashcaneurope";"expeur",#N/A,TRUE,"EXPEUR";"ventesloceur",#N/A,TRUE,"VENTESLOCEUR";"candib",#N/A,TRUE,"flashcandib";"expedib",#N/A,TRUE,"EXPEDIB";"venteslocdib",#N/A,TRUE,"venteslocdib"}</definedName>
    <definedName name="_mix2" hidden="1">{#N/A,#N/A,FALSE,"RES-MARQ-c";#N/A,#N/A,FALSE,"CLTS-GP-c";#N/A,#N/A,FALSE,"NOUV PDTS-c";#N/A,#N/A,FALSE,"CESSIONS GROUPE-c"}</definedName>
    <definedName name="_mix2_1" hidden="1">{#N/A,#N/A,FALSE,"RES-MARQ-c";#N/A,#N/A,FALSE,"CLTS-GP-c";#N/A,#N/A,FALSE,"NOUV PDTS-c";#N/A,#N/A,FALSE,"CESSIONS GROUPE-c"}</definedName>
    <definedName name="_mix2_2" hidden="1">{#N/A,#N/A,FALSE,"RES-MARQ-c";#N/A,#N/A,FALSE,"CLTS-GP-c";#N/A,#N/A,FALSE,"NOUV PDTS-c";#N/A,#N/A,FALSE,"CESSIONS GROUPE-c"}</definedName>
    <definedName name="_mix2_3" hidden="1">{#N/A,#N/A,FALSE,"RES-MARQ-c";#N/A,#N/A,FALSE,"CLTS-GP-c";#N/A,#N/A,FALSE,"NOUV PDTS-c";#N/A,#N/A,FALSE,"CESSIONS GROUPE-c"}</definedName>
    <definedName name="_mix2_4" hidden="1">{#N/A,#N/A,FALSE,"RES-MARQ-c";#N/A,#N/A,FALSE,"CLTS-GP-c";#N/A,#N/A,FALSE,"NOUV PDTS-c";#N/A,#N/A,FALSE,"CESSIONS GROUPE-c"}</definedName>
    <definedName name="_mix2_5" hidden="1">{#N/A,#N/A,FALSE,"RES-MARQ-c";#N/A,#N/A,FALSE,"CLTS-GP-c";#N/A,#N/A,FALSE,"NOUV PDTS-c";#N/A,#N/A,FALSE,"CESSIONS GROUPE-c"}</definedName>
    <definedName name="_mix3" hidden="1">{#N/A,#N/A,FALSE,"RES-MARQ-c";#N/A,#N/A,FALSE,"CLTS-GP-c";#N/A,#N/A,FALSE,"NOUV PDTS-c";#N/A,#N/A,FALSE,"CESSIONS GROUPE-c"}</definedName>
    <definedName name="_nm7" hidden="1">{"'Sheet1'!$A$1:$G$96","'Sheet1'!$A$1:$H$96"}</definedName>
    <definedName name="_nm8" hidden="1">{"'Sheet1'!$A$1:$G$96","'Sheet1'!$A$1:$H$96"}</definedName>
    <definedName name="_NSO2" hidden="1">{"'Sheet1'!$L$16"}</definedName>
    <definedName name="_NSO2_1" hidden="1">{"'Sheet1'!$L$16"}</definedName>
    <definedName name="_NSO2_2" hidden="1">{"'Sheet1'!$L$16"}</definedName>
    <definedName name="_NSO2_3" hidden="1">{"'Sheet1'!$L$16"}</definedName>
    <definedName name="_NSO2_4" hidden="1">{"'Sheet1'!$L$16"}</definedName>
    <definedName name="_NSO2_5" hidden="1">{"'Sheet1'!$L$16"}</definedName>
    <definedName name="_o1" hidden="1">{"det (May)",#N/A,FALSE,"June";"sum (MAY YTD)",#N/A,FALSE,"June YTD"}</definedName>
    <definedName name="_o61005" hidden="1">{"print95",#N/A,FALSE,"1995E.XLS";"print96",#N/A,FALSE,"1996E.XLS"}</definedName>
    <definedName name="_Oct06" hidden="1">{#N/A,#N/A,FALSE,"Planning";#N/A,#N/A,FALSE,"Réalisé";#N/A,#N/A,FALSE,"Suivi"}</definedName>
    <definedName name="_ok1" hidden="1">#REF!</definedName>
    <definedName name="_ok10" hidden="1">{#N/A,#N/A,FALSE,"Calc";#N/A,#N/A,FALSE,"Sensitivity";#N/A,#N/A,FALSE,"LT Earn.Dil.";#N/A,#N/A,FALSE,"Dil. AVP"}</definedName>
    <definedName name="_ok1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2" hidden="1">#REF!</definedName>
    <definedName name="_ok3" hidden="1">#REF!</definedName>
    <definedName name="_oku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_Order1" hidden="1">255</definedName>
    <definedName name="_Order2" hidden="1">255</definedName>
    <definedName name="_p2" hidden="1">{"VOLMIXRATE",#N/A,FALSE,"VMR MONTH";"P&amp;L",#N/A,FALSE,"VMR MONTH"}</definedName>
    <definedName name="_po1" hidden="1">{#N/A,#N/A,FALSE,"Calc";#N/A,#N/A,FALSE,"Sensitivity";#N/A,#N/A,FALSE,"LT Earn.Dil.";#N/A,#N/A,FALSE,"Dil. AVP"}</definedName>
    <definedName name="_poi1" hidden="1">{"assumption 50 50",#N/A,TRUE,"Merger";"has gets cash",#N/A,TRUE,"Merger";"accretion dilution",#N/A,TRUE,"Merger";"comparison credit stats",#N/A,TRUE,"Merger";"pf credit stats",#N/A,TRUE,"Merger";"pf sheets",#N/A,TRUE,"Merger"}</definedName>
    <definedName name="_q1" hidden="1">{"'Sheet1'!$A$1:$G$96","'Sheet1'!$A$1:$H$96"}</definedName>
    <definedName name="_q10" hidden="1">{"'Sheet1'!$A$1:$G$96","'Sheet1'!$A$1:$H$96"}</definedName>
    <definedName name="_q2" hidden="1">{"'Sheet1'!$A$1:$G$96","'Sheet1'!$A$1:$H$96"}</definedName>
    <definedName name="_q3" hidden="1">{"'Sheet1'!$A$1:$G$96","'Sheet1'!$A$1:$H$96"}</definedName>
    <definedName name="_q4" hidden="1">{"'Sheet1'!$A$1:$G$96","'Sheet1'!$A$1:$H$96"}</definedName>
    <definedName name="_q5" hidden="1">{"'Sheet1'!$A$1:$G$96","'Sheet1'!$A$1:$H$96"}</definedName>
    <definedName name="_q6" hidden="1">{"'Sheet1'!$A$1:$G$96","'Sheet1'!$A$1:$H$96"}</definedName>
    <definedName name="_q8" hidden="1">{"'Sheet1'!$A$1:$G$96","'Sheet1'!$A$1:$H$96"}</definedName>
    <definedName name="_q9" hidden="1">{"'Sheet1'!$A$1:$G$96","'Sheet1'!$A$1:$H$96"}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ty1" hidden="1">{#N/A,#N/A,TRUE,"Pro Forma";#N/A,#N/A,TRUE,"PF_Bal";#N/A,#N/A,TRUE,"PF_INC";#N/A,#N/A,TRUE,"CBE";#N/A,#N/A,TRUE,"SWK"}</definedName>
    <definedName name="_s" hidden="1">#REF!()</definedName>
    <definedName name="_sdf2" hidden="1">{"'Sheet1'!$A$1:$G$96","'Sheet1'!$A$1:$H$96"}</definedName>
    <definedName name="_sht555" hidden="1">{#N/A,#N/A,TRUE,"SYNTHESE-t";#N/A,#N/A,TRUE,"PUB-t";#N/A,#N/A,TRUE,"OP CONSO-t";#N/A,#N/A,TRUE,"REFERENCTS-t";#N/A,#N/A,TRUE,"ETUDES MKG-t";#N/A,#N/A,TRUE,"PACKAGING-t";#N/A,#N/A,TRUE,"DIR COM-t";#N/A,#N/A,TRUE,"MEDIA-t"}</definedName>
    <definedName name="_Sort" hidden="1">#REF!</definedName>
    <definedName name="_Sort_" hidden="1">#REF!</definedName>
    <definedName name="_Sort1.1" hidden="1">#REF!</definedName>
    <definedName name="_Sort1.2" hidden="1">#REF!</definedName>
    <definedName name="_Sort1.3" hidden="1">#REF!</definedName>
    <definedName name="_Sort2" hidden="1">#REF!</definedName>
    <definedName name="_t5" hidden="1">{#N/A,#N/A,FALSE,"ACTIVITE-c";#N/A,#N/A,FALSE,"RESEAU-c";#N/A,#N/A,FALSE,"BASE-c"}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uk7888" hidden="1">{"original",#N/A,TRUE,"flashcaneurope";"expeur",#N/A,TRUE,"EXPEUR";"ventesloceur",#N/A,TRUE,"VENTESLOCEUR";"candib",#N/A,TRUE,"flashcandib";"expedib",#N/A,TRUE,"EXPEDIB";"venteslocdib",#N/A,TRUE,"venteslocdib"}</definedName>
    <definedName name="_v1" hidden="1">{#N/A,#N/A,FALSE,"Total P&amp;L";#N/A,#N/A,FALSE,"RtlCup";#N/A,#N/A,FALSE,"FOB";#N/A,#N/A,FALSE,"Plain";#N/A,#N/A,FALSE,"Classic";#N/A,#N/A,FALSE,"Light";#N/A,#N/A,FALSE,"Chunky";#N/A,#N/A,FALSE,"Sprinklins";#N/A,#N/A,FALSE,"Danimals";#N/A,#N/A,FALSE,"Water";#N/A,#N/A,FALSE,"BWF Mini";#N/A,#N/A,FALSE,"D-Day";#N/A,#N/A,FALSE,"New Ventures";#N/A,#N/A,FALSE,"Space Shuttle";#N/A,#N/A,FALSE,"ACB";#N/A,#N/A,FALSE,"dess";#N/A,#N/A,FALSE,"bev";#N/A,#N/A,FALSE,"PGF";#N/A,#N/A,FALSE,"Right"}</definedName>
    <definedName name="_we4444" hidden="1">{#N/A,#N/A,FALSE,"ACTIVITE-c";#N/A,#N/A,FALSE,"RESEAU-c";#N/A,#N/A,FALSE,"BASE-c"}</definedName>
    <definedName name="_WR1" hidden="1">{#N/A,#N/A,FALSE,"ANALYSE";#N/A,#N/A,FALSE,"PM VALEUR"}</definedName>
    <definedName name="_WR1_1" hidden="1">{#N/A,#N/A,FALSE,"ANALYSE";#N/A,#N/A,FALSE,"PM VALEUR"}</definedName>
    <definedName name="_WR1_2" hidden="1">{#N/A,#N/A,FALSE,"ANALYSE";#N/A,#N/A,FALSE,"PM VALEUR"}</definedName>
    <definedName name="_WR1_3" hidden="1">{#N/A,#N/A,FALSE,"ANALYSE";#N/A,#N/A,FALSE,"PM VALEUR"}</definedName>
    <definedName name="_WR1_4" hidden="1">{#N/A,#N/A,FALSE,"ANALYSE";#N/A,#N/A,FALSE,"PM VALEUR"}</definedName>
    <definedName name="_WR1_5" hidden="1">{#N/A,#N/A,FALSE,"ANALYSE";#N/A,#N/A,FALSE,"PM VALEUR"}</definedName>
    <definedName name="_wrn2" hidden="1">{"casespecific",#N/A,FALSE,"Assumptions"}</definedName>
    <definedName name="_wrn3" hidden="1">{"comps",#N/A,FALSE,"comps";"notes",#N/A,FALSE,"comps"}</definedName>
    <definedName name="_wrn4" hidden="1">{"general",#N/A,FALSE,"Assumptions"}</definedName>
    <definedName name="_x1" hidden="1">{"'Sheet1'!$A$1:$G$96","'Sheet1'!$A$1:$H$96"}</definedName>
    <definedName name="_x2" hidden="1">{#N/A,#N/A,FALSE,"3";#N/A,#N/A,FALSE,"5";#N/A,#N/A,FALSE,"6";#N/A,#N/A,FALSE,"8";#N/A,#N/A,FALSE,"10";#N/A,#N/A,FALSE,"13";#N/A,#N/A,FALSE,"14";#N/A,#N/A,FALSE,"15";#N/A,#N/A,FALSE,"16"}</definedName>
    <definedName name="_xlcn.WorksheetConnection_PMODanone_Themis_V2.xlsxPeople_Info_View1" hidden="1">#REF!</definedName>
    <definedName name="_xlcn.WorksheetConnection_PMODanone_Themis_V2.xlsxStaffing_View1" hidden="1">#REF!</definedName>
    <definedName name="_xlcn.WorksheetConnection_Spend15supplierdetailed_10A6S1967891" hidden="1">#REF!</definedName>
    <definedName name="_z1" hidden="1">{"'Sheet1'!$A$1:$G$96","'Sheet1'!$A$1:$H$96"}</definedName>
    <definedName name="_z3" hidden="1">{"'Sheet1'!$A$1:$G$96","'Sheet1'!$A$1:$H$96"}</definedName>
    <definedName name="_z4" hidden="1">{"'Sheet1'!$A$1:$G$96","'Sheet1'!$A$1:$H$96"}</definedName>
    <definedName name="aa" hidden="1">"18/04/2008 11:34:48"</definedName>
    <definedName name="aaa" hidden="1">39640.6217361111</definedName>
    <definedName name="AAA_DOCTOPS" hidden="1">"AAA_SET"</definedName>
    <definedName name="AAA_duser" hidden="1">"OFF"</definedName>
    <definedName name="AAAA" hidden="1">"14/04/2008 19:02:39"</definedName>
    <definedName name="aaaaa" hidden="1">"14/03/2006 15:03:24"</definedName>
    <definedName name="aaaaaa" hidden="1">{#N/A,#N/A,TRUE,"ACTIVITE-t";#N/A,#N/A,TRUE,"RESEAU-t";#N/A,#N/A,TRUE,"BASE-t"}</definedName>
    <definedName name="AAAAAAAA" hidden="1">{#N/A,#N/A,FALSE,"CARATULA";#N/A,#N/A,FALSE,"Indice";#N/A,#N/A,FALSE,"Cap 1";#N/A,#N/A,FALSE,"Cap 2";#N/A,#N/A,FALSE,"Cap 3";#N/A,#N/A,FALSE,"Cap 4";#N/A,#N/A,FALSE,"Cap 5";#N/A,#N/A,FALSE,"Cap 6";#N/A,#N/A,FALSE,"Cap 7";#N/A,#N/A,FALSE,"Cap 8";#N/A,#N/A,FALSE,"Cap 9";#N/A,#N/A,FALSE,"Cap 10";#N/A,#N/A,FALSE,"Cap 11";#N/A,#N/A,FALSE,"Cap 12";#N/A,#N/A,FALSE,"Cap 13";#N/A,#N/A,FALSE,"Cap 14";#N/A,#N/A,FALSE,"Cap 15 TBI Gall+Hesp";#N/A,#N/A,FALSE,"Cap 15 TBI Choc";#N/A,#N/A,FALSE,"Cap 15 TBI DLeche";#N/A,#N/A,FALSE,"Cap 16";#N/A,#N/A,FALSE,"Cap 17";#N/A,#N/A,FALSE,"Cap 18";#N/A,#N/A,FALSE,"Cap 19";#N/A,#N/A,FALSE,"Cap 20";#N/A,#N/A,FALSE,"Cap 21";#N/A,#N/A,FALSE,"Cap 22";#N/A,#N/A,FALSE,"Cap 23";#N/A,#N/A,FALSE,"Cap 24"}</definedName>
    <definedName name="aaaaaaaaaaaaaaa" hidden="1">{#N/A,#N/A,TRUE,"Лист2"}</definedName>
    <definedName name="AAB_Addin5" hidden="1">"AAB_Description for addin 5,Description for addin 5,Description for addin 5,Description for addin 5,Description for addin 5,Description for addin 5"</definedName>
    <definedName name="aas" hidden="1">{"QQQ",#N/A,FALSE,"RIEP"}</definedName>
    <definedName name="AASAS" hidden="1">{"QQQ",#N/A,FALSE,"RIEP"}</definedName>
    <definedName name="aasdgf" hidden="1">{"HeadstatPolish",#N/A,TRUE,"Headstat";"HeadstatEnglish",#N/A,TRUE,"Headstat";"charts",#N/A,TRUE,"Charts";"Variance1",#N/A,TRUE,"Variances";"Variance2",#N/A,TRUE,"Variances";"Interconnect",#N/A,TRUE,"Variances";"Subscribers",#N/A,TRUE,"Variances";"Churn",#N/A,TRUE,"Variances";"Headcount",#N/A,TRUE,"Headcount";"SalaryVariance",#N/A,TRUE,"Headcount"}</definedName>
    <definedName name="abb" hidden="1">{#N/A,#N/A,TRUE,"EC COMM-t";#N/A,#N/A,TRUE,"EC PAR PDTS-t";#N/A,#N/A,TRUE,"EC MAT-t";#N/A,#N/A,TRUE,"SUIVI HAUSSES-t"}</definedName>
    <definedName name="abc" hidden="1">#REF!</definedName>
    <definedName name="ABRACADABRA" hidden="1">#REF!</definedName>
    <definedName name="ac" hidden="1">{#N/A,#N/A,TRUE,"Pro Forma";#N/A,#N/A,TRUE,"PF_Bal";#N/A,#N/A,TRUE,"PF_INC";#N/A,#N/A,TRUE,"CBE";#N/A,#N/A,TRUE,"SWK"}</definedName>
    <definedName name="acacac" hidden="1">{"original",#N/A,TRUE,"flashcaneurope";"expeur",#N/A,TRUE,"EXPEUR";"ventesloceur",#N/A,TRUE,"VENTESLOCEUR";"candib",#N/A,TRUE,"flashcandib";"expedib",#N/A,TRUE,"EXPEDIB";"venteslocdib",#N/A,TRUE,"venteslocdib"}</definedName>
    <definedName name="AccessDatabase" hidden="1">"C:\My Documents\MAUI MALL1.mdb"</definedName>
    <definedName name="ACwvu.CapersView." hidden="1">#REF!</definedName>
    <definedName name="ACwvu.Full._.View.._.Inc._.Silica." hidden="1">#REF!</definedName>
    <definedName name="ACwvu.Japan_Capers_Ed_Pub." hidden="1">#REF!</definedName>
    <definedName name="ACwvu.KJP_CC." hidden="1">#REF!</definedName>
    <definedName name="add" hidden="1">{#N/A,#N/A,TRUE,"ANALYSE";#N/A,#N/A,TRUE,"PM VOLUME";#N/A,#N/A,TRUE,"PM VALEUR";#N/A,#N/A,TRUE,"AR1";#N/A,#N/A,TRUE,"AR2";#N/A,#N/A,TRUE,"RAF";#N/A,#N/A,TRUE,"BILAN";#N/A,#N/A,TRUE,"CASH FLOW";#N/A,#N/A,TRUE,"ETAT FI"}</definedName>
    <definedName name="addd" hidden="1">{"QQQ",#N/A,FALSE,"RIEP"}</definedName>
    <definedName name="addg" hidden="1">{#N/A,#N/A,FALSE,"CBE";#N/A,#N/A,FALSE,"SWK"}</definedName>
    <definedName name="addg1" hidden="1">{#N/A,#N/A,FALSE,"CBE";#N/A,#N/A,FALSE,"SWK"}</definedName>
    <definedName name="Adeg" hidden="1">{"Eingabe","Alles anzeigen",FALSE,"Datenbank"}</definedName>
    <definedName name="adfgdf" hidden="1">{#N/A,#N/A,FALSE,"CNM BUDGET EVIAN";#N/A,#N/A,FALSE,"CNM BUDGET BA"}</definedName>
    <definedName name="ads" hidden="1">{#N/A,#N/A,FALSE,"Calc";#N/A,#N/A,FALSE,"Sensitivity";#N/A,#N/A,FALSE,"LT Earn.Dil.";#N/A,#N/A,FALSE,"Dil. AVP"}</definedName>
    <definedName name="ADV" hidden="1">{#N/A,#N/A,TRUE,"ANALYSE";#N/A,#N/A,TRUE,"PM VOLUME";#N/A,#N/A,TRUE,"PM VALEUR";#N/A,#N/A,TRUE,"AR1";#N/A,#N/A,TRUE,"AR2";#N/A,#N/A,TRUE,"RAF";#N/A,#N/A,TRUE,"BILAN";#N/A,#N/A,TRUE,"CASH FLOW";#N/A,#N/A,TRUE,"ETAT FI"}</definedName>
    <definedName name="ADV_1" hidden="1">{#N/A,#N/A,TRUE,"ANALYSE";#N/A,#N/A,TRUE,"PM VOLUME";#N/A,#N/A,TRUE,"PM VALEUR";#N/A,#N/A,TRUE,"AR1";#N/A,#N/A,TRUE,"AR2";#N/A,#N/A,TRUE,"RAF";#N/A,#N/A,TRUE,"BILAN";#N/A,#N/A,TRUE,"CASH FLOW";#N/A,#N/A,TRUE,"ETAT FI"}</definedName>
    <definedName name="ADV_2" hidden="1">{#N/A,#N/A,TRUE,"ANALYSE";#N/A,#N/A,TRUE,"PM VOLUME";#N/A,#N/A,TRUE,"PM VALEUR";#N/A,#N/A,TRUE,"AR1";#N/A,#N/A,TRUE,"AR2";#N/A,#N/A,TRUE,"RAF";#N/A,#N/A,TRUE,"BILAN";#N/A,#N/A,TRUE,"CASH FLOW";#N/A,#N/A,TRUE,"ETAT FI"}</definedName>
    <definedName name="ADV_3" hidden="1">{#N/A,#N/A,TRUE,"ANALYSE";#N/A,#N/A,TRUE,"PM VOLUME";#N/A,#N/A,TRUE,"PM VALEUR";#N/A,#N/A,TRUE,"AR1";#N/A,#N/A,TRUE,"AR2";#N/A,#N/A,TRUE,"RAF";#N/A,#N/A,TRUE,"BILAN";#N/A,#N/A,TRUE,"CASH FLOW";#N/A,#N/A,TRUE,"ETAT FI"}</definedName>
    <definedName name="ADV_4" hidden="1">{#N/A,#N/A,TRUE,"ANALYSE";#N/A,#N/A,TRUE,"PM VOLUME";#N/A,#N/A,TRUE,"PM VALEUR";#N/A,#N/A,TRUE,"AR1";#N/A,#N/A,TRUE,"AR2";#N/A,#N/A,TRUE,"RAF";#N/A,#N/A,TRUE,"BILAN";#N/A,#N/A,TRUE,"CASH FLOW";#N/A,#N/A,TRUE,"ETAT FI"}</definedName>
    <definedName name="ADV_5" hidden="1">{#N/A,#N/A,TRUE,"ANALYSE";#N/A,#N/A,TRUE,"PM VOLUME";#N/A,#N/A,TRUE,"PM VALEUR";#N/A,#N/A,TRUE,"AR1";#N/A,#N/A,TRUE,"AR2";#N/A,#N/A,TRUE,"RAF";#N/A,#N/A,TRUE,"BILAN";#N/A,#N/A,TRUE,"CASH FLOW";#N/A,#N/A,TRUE,"ETAT FI"}</definedName>
    <definedName name="ae" hidden="1">{#N/A,#N/A,FALSE,"Calc";#N/A,#N/A,FALSE,"Sensitivity";#N/A,#N/A,FALSE,"LT Earn.Dil.";#N/A,#N/A,FALSE,"Dil. AVP"}</definedName>
    <definedName name="aeaze" hidden="1">{#N/A,#N/A,TRUE,"ANALYSE";#N/A,#N/A,TRUE,"PM VOLUME";#N/A,#N/A,TRUE,"PM VALEUR";#N/A,#N/A,TRUE,"AR1";#N/A,#N/A,TRUE,"AR2";#N/A,#N/A,TRUE,"RAF";#N/A,#N/A,TRUE,"BILAN";#N/A,#N/A,TRUE,"CASH FLOW";#N/A,#N/A,TRUE,"ETAT FI"}</definedName>
    <definedName name="aeh" hidden="1">38849.6062962963</definedName>
    <definedName name="aeze" hidden="1">{#N/A,#N/A,FALSE,"Calc";#N/A,#N/A,FALSE,"Sensitivity";#N/A,#N/A,FALSE,"LT Earn.Dil.";#N/A,#N/A,FALSE,"Dil. AVP"}</definedName>
    <definedName name="ahah" hidden="1">{#N/A,#N/A,TRUE,"SYNTHESE-t";#N/A,#N/A,TRUE,"PUB-t";#N/A,#N/A,TRUE,"OP CONSO-t";#N/A,#N/A,TRUE,"REFERENCTS-t";#N/A,#N/A,TRUE,"ETUDES MKG-t";#N/A,#N/A,TRUE,"PACKAGING-t";#N/A,#N/A,TRUE,"DIR COM-t";#N/A,#N/A,TRUE,"MEDIA-t"}</definedName>
    <definedName name="ahlf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Ajax" hidden="1">{#N/A,#N/A,TRUE,"Pro Forma";#N/A,#N/A,TRUE,"PF_Bal";#N/A,#N/A,TRUE,"PF_INC";#N/A,#N/A,TRUE,"CBE";#N/A,#N/A,TRUE,"SWK"}</definedName>
    <definedName name="akn" hidden="1">{"'TON'!$A$2:$L$94"}</definedName>
    <definedName name="allo" hidden="1">#REF!</definedName>
    <definedName name="Ameesh" hidden="1">{#N/A,#N/A,TRUE,"Pro Forma";#N/A,#N/A,TRUE,"PF_Bal";#N/A,#N/A,TRUE,"PF_INC";#N/A,#N/A,TRUE,"CBE";#N/A,#N/A,TRUE,"SWK"}</definedName>
    <definedName name="ana" hidden="1">{#N/A,#N/A,TRUE,"EC COMM-t";#N/A,#N/A,TRUE,"EC PAR PDTS-t";#N/A,#N/A,TRUE,"EC MAT-t";#N/A,#N/A,TRUE,"SUIVI HAUSSES-t"}</definedName>
    <definedName name="ana_1" hidden="1">{#N/A,#N/A,TRUE,"EC COMM-t";#N/A,#N/A,TRUE,"EC PAR PDTS-t";#N/A,#N/A,TRUE,"EC MAT-t";#N/A,#N/A,TRUE,"SUIVI HAUSSES-t"}</definedName>
    <definedName name="ana_2" hidden="1">{#N/A,#N/A,TRUE,"EC COMM-t";#N/A,#N/A,TRUE,"EC PAR PDTS-t";#N/A,#N/A,TRUE,"EC MAT-t";#N/A,#N/A,TRUE,"SUIVI HAUSSES-t"}</definedName>
    <definedName name="ana_3" hidden="1">{#N/A,#N/A,TRUE,"EC COMM-t";#N/A,#N/A,TRUE,"EC PAR PDTS-t";#N/A,#N/A,TRUE,"EC MAT-t";#N/A,#N/A,TRUE,"SUIVI HAUSSES-t"}</definedName>
    <definedName name="ana_4" hidden="1">{#N/A,#N/A,TRUE,"EC COMM-t";#N/A,#N/A,TRUE,"EC PAR PDTS-t";#N/A,#N/A,TRUE,"EC MAT-t";#N/A,#N/A,TRUE,"SUIVI HAUSSES-t"}</definedName>
    <definedName name="ana_5" hidden="1">{#N/A,#N/A,TRUE,"EC COMM-t";#N/A,#N/A,TRUE,"EC PAR PDTS-t";#N/A,#N/A,TRUE,"EC MAT-t";#N/A,#N/A,TRUE,"SUIVI HAUSSES-t"}</definedName>
    <definedName name="andre" hidden="1">#REF!</definedName>
    <definedName name="anscount" hidden="1">2</definedName>
    <definedName name="anular2" hidden="1">#REF!</definedName>
    <definedName name="anular3" hidden="1">#REF!</definedName>
    <definedName name="aq" hidden="1">{#N/A,#N/A,TRUE,"Pro Forma";#N/A,#N/A,TRUE,"PF_Bal";#N/A,#N/A,TRUE,"PF_INC";#N/A,#N/A,TRUE,"CBE";#N/A,#N/A,TRUE,"SWK"}</definedName>
    <definedName name="AQX" hidden="1">{#N/A,#N/A,FALSE,"Operations";#N/A,#N/A,FALSE,"Financials"}</definedName>
    <definedName name="Ardi" hidden="1">#REF!</definedName>
    <definedName name="ARIN" hidden="1">#REF!</definedName>
    <definedName name="art" hidden="1">{"First Page",#N/A,FALSE,"Surfactants LBO";"Second Page",#N/A,FALSE,"Surfactants LBO"}</definedName>
    <definedName name="Artems" hidden="1">{"First Page",#N/A,FALSE,"Surfactants LBO";"Second Page",#N/A,FALSE,"Surfactants LBO"}</definedName>
    <definedName name="Artic" hidden="1">{"First Page",#N/A,FALSE,"Surfactants LBO";"Second Page",#N/A,FALSE,"Surfactants LBO"}</definedName>
    <definedName name="AS2DocOpenMode" hidden="1">"AS2DocumentEdit"</definedName>
    <definedName name="AS2HasNoAutoHeaderFooter" hidden="1">" "</definedName>
    <definedName name="ASADA" hidden="1">40353.8252430556</definedName>
    <definedName name="ASD" hidden="1">{"QQQ",#N/A,FALSE,"RIEP"}</definedName>
    <definedName name="asda" hidden="1">{0,0}</definedName>
    <definedName name="asdasd" hidden="1">{"A1_plan_print",#N/A,FALSE,"Atelier1";"A2_plan_print",#N/A,FALSE,"Atelier2";"A3_plan_print",#N/A,FALSE,"Atelier3";"A4_plan_print",#N/A,FALSE,"Atelier4";"Bs_plan_print",#N/A,FALSE,"Bolshevik"}</definedName>
    <definedName name="asdfas" hidden="1">{"comp1",#N/A,FALSE,"COMPS";"footnotes",#N/A,FALSE,"COMPS"}</definedName>
    <definedName name="asdfasdf" hidden="1">{#N/A,#N/A,FALSE,"CBE";#N/A,#N/A,FALSE,"SWK"}</definedName>
    <definedName name="asdfasdfasdf" hidden="1">{"comp1",#N/A,FALSE,"COMPS";"footnotes",#N/A,FALSE,"COMPS"}</definedName>
    <definedName name="asdfasdfsad" hidden="1">{#N/A,#N/A,FALSE,"output";#N/A,#N/A,FALSE,"contrib";#N/A,#N/A,FALSE,"profile";#N/A,#N/A,FALSE,"comps"}</definedName>
    <definedName name="asdfr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asds" hidden="1">#REF!</definedName>
    <definedName name="asdt1" hidden="1">{#N/A,#N/A,FALSE,"Calc";#N/A,#N/A,FALSE,"Sensitivity";#N/A,#N/A,FALSE,"LT Earn.Dil.";#N/A,#N/A,FALSE,"Dil. AVP"}</definedName>
    <definedName name="asfd4" hidden="1">{"'Sheet1'!$A$1:$G$96","'Sheet1'!$A$1:$H$96"}</definedName>
    <definedName name="asfd41" hidden="1">{"'Sheet1'!$A$1:$G$96","'Sheet1'!$A$1:$H$96"}</definedName>
    <definedName name="ASFD412" hidden="1">{"'Sheet1'!$A$1:$G$96","'Sheet1'!$A$1:$H$96"}</definedName>
    <definedName name="ASWW" hidden="1">{"'CANARY'!$A$24:$U$32"}</definedName>
    <definedName name="ASWW_1" hidden="1">{"'CANARY'!$A$24:$U$32"}</definedName>
    <definedName name="ASWW_2" hidden="1">{"'CANARY'!$A$24:$U$32"}</definedName>
    <definedName name="ASWW_3" hidden="1">{"'CANARY'!$A$24:$U$32"}</definedName>
    <definedName name="ASWW_4" hidden="1">{"'CANARY'!$A$24:$U$32"}</definedName>
    <definedName name="ASWW_5" hidden="1">{"'CANARY'!$A$24:$U$32"}</definedName>
    <definedName name="ASWWW" hidden="1">{"'CANARY'!$A$24:$U$32"}</definedName>
    <definedName name="aùsw" hidden="1">{"SPM1",#N/A,FALSE,"RIEP"}</definedName>
    <definedName name="avdd" hidden="1">{#N/A,#N/A,FALSE,"Calc";#N/A,#N/A,FALSE,"Sensitivity";#N/A,#N/A,FALSE,"LT Earn.Dil.";#N/A,#N/A,FALSE,"Dil. AVP"}</definedName>
    <definedName name="ayryr" hidden="1">{#N/A,#N/A,FALSE,"ACTIVITE-c";#N/A,#N/A,FALSE,"RESEAU-c";#N/A,#N/A,FALSE,"BASE-c"}</definedName>
    <definedName name="az" hidden="1">{#N/A,#N/A,TRUE,"RES-MARQ-t";#N/A,#N/A,TRUE,"CLTS-GP-t";#N/A,#N/A,TRUE,"NOUV PDTS-t";#N/A,#N/A,TRUE,"CESSIONS GROUPE-t"}</definedName>
    <definedName name="az_1" hidden="1">{#N/A,#N/A,TRUE,"RES-MARQ-t";#N/A,#N/A,TRUE,"CLTS-GP-t";#N/A,#N/A,TRUE,"NOUV PDTS-t";#N/A,#N/A,TRUE,"CESSIONS GROUPE-t"}</definedName>
    <definedName name="az_2" hidden="1">{#N/A,#N/A,TRUE,"RES-MARQ-t";#N/A,#N/A,TRUE,"CLTS-GP-t";#N/A,#N/A,TRUE,"NOUV PDTS-t";#N/A,#N/A,TRUE,"CESSIONS GROUPE-t"}</definedName>
    <definedName name="az_3" hidden="1">{#N/A,#N/A,TRUE,"RES-MARQ-t";#N/A,#N/A,TRUE,"CLTS-GP-t";#N/A,#N/A,TRUE,"NOUV PDTS-t";#N/A,#N/A,TRUE,"CESSIONS GROUPE-t"}</definedName>
    <definedName name="az_4" hidden="1">{#N/A,#N/A,TRUE,"RES-MARQ-t";#N/A,#N/A,TRUE,"CLTS-GP-t";#N/A,#N/A,TRUE,"NOUV PDTS-t";#N/A,#N/A,TRUE,"CESSIONS GROUPE-t"}</definedName>
    <definedName name="az_5" hidden="1">{#N/A,#N/A,TRUE,"RES-MARQ-t";#N/A,#N/A,TRUE,"CLTS-GP-t";#N/A,#N/A,TRUE,"NOUV PDTS-t";#N/A,#N/A,TRUE,"CESSIONS GROUPE-t"}</definedName>
    <definedName name="azertbnnyikèikl_èikl" hidden="1">{#N/A,#N/A,FALSE,"Calc";#N/A,#N/A,FALSE,"Sensitivity";#N/A,#N/A,FALSE,"LT Earn.Dil.";#N/A,#N/A,FALSE,"Dil. AVP"}</definedName>
    <definedName name="azrr" hidden="1">{"comps",#N/A,FALSE,"comps";"notes",#N/A,FALSE,"comps"}</definedName>
    <definedName name="B11a" hidden="1">#REF!</definedName>
    <definedName name="bb" hidden="1">{#N/A,#N/A,TRUE,"ANALYSE";#N/A,#N/A,TRUE,"PM VOLUME";#N/A,#N/A,TRUE,"PM VALEUR";#N/A,#N/A,TRUE,"AR1";#N/A,#N/A,TRUE,"AR2";#N/A,#N/A,TRUE,"RAF";#N/A,#N/A,TRUE,"BILAN";#N/A,#N/A,TRUE,"CASH FLOW";#N/A,#N/A,TRUE,"ETAT FI"}</definedName>
    <definedName name="bbbb" hidden="1">#REF!</definedName>
    <definedName name="bbnm" hidden="1">{#N/A,#N/A,FALSE,"DCF";#N/A,#N/A,FALSE,"WACC";#N/A,#N/A,FALSE,"Sales_EBIT";#N/A,#N/A,FALSE,"Capex_Depreciation";#N/A,#N/A,FALSE,"WC";#N/A,#N/A,FALSE,"Interest";#N/A,#N/A,FALSE,"Assumptions"}</definedName>
    <definedName name="bdnfg" hidden="1">#REF!</definedName>
    <definedName name="beto" hidden="1">#REF!</definedName>
    <definedName name="bg" hidden="1">{#N/A,#N/A,TRUE,"RES-MARQ-t";#N/A,#N/A,TRUE,"CLTS-GP-t";#N/A,#N/A,TRUE,"NOUV PDTS-t";#N/A,#N/A,TRUE,"CESSIONS GROUPE-t"}</definedName>
    <definedName name="bgbg" hidden="1">{"comps2_1",#N/A,FALSE,"Comps2";"comps2_2",#N/A,FALSE,"Comps2";"comps2_3",#N/A,FALSE,"Comps2";"comps2_4",#N/A,FALSE,"Comps2";"comps2_5",#N/A,FALSE,"Comps2"}</definedName>
    <definedName name="bgbgf" hidden="1">{"DCF",#N/A,FALSE,"DCF"}</definedName>
    <definedName name="BGHHJ" hidden="1">{#N/A,#N/A,FALSE,"Calc";#N/A,#N/A,FALSE,"Sensitivity";#N/A,#N/A,FALSE,"LT Earn.Dil.";#N/A,#N/A,FALSE,"Dil. AVP"}</definedName>
    <definedName name="Bis" hidden="1">{#N/A,#N/A,FALSE,"ACTIVITE-c";#N/A,#N/A,FALSE,"RESEAU-c";#N/A,#N/A,FALSE,"BASE-c"}</definedName>
    <definedName name="Bis_1" hidden="1">{#N/A,#N/A,FALSE,"ACTIVITE-c";#N/A,#N/A,FALSE,"RESEAU-c";#N/A,#N/A,FALSE,"BASE-c"}</definedName>
    <definedName name="Bis_2" hidden="1">{#N/A,#N/A,FALSE,"ACTIVITE-c";#N/A,#N/A,FALSE,"RESEAU-c";#N/A,#N/A,FALSE,"BASE-c"}</definedName>
    <definedName name="Bis_3" hidden="1">{#N/A,#N/A,FALSE,"ACTIVITE-c";#N/A,#N/A,FALSE,"RESEAU-c";#N/A,#N/A,FALSE,"BASE-c"}</definedName>
    <definedName name="Bis_4" hidden="1">{#N/A,#N/A,FALSE,"ACTIVITE-c";#N/A,#N/A,FALSE,"RESEAU-c";#N/A,#N/A,FALSE,"BASE-c"}</definedName>
    <definedName name="Bis_5" hidden="1">{#N/A,#N/A,FALSE,"ACTIVITE-c";#N/A,#N/A,FALSE,"RESEAU-c";#N/A,#N/A,FALSE,"BASE-c"}</definedName>
    <definedName name="blb" hidden="1">{"det (May)",#N/A,FALSE,"June";"sum (MAY YTD)",#N/A,FALSE,"June YTD"}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9" hidden="1">#REF!</definedName>
    <definedName name="bnkj" hidden="1">{#N/A,#N/A,FALSE,"output";#N/A,#N/A,FALSE,"contrib";#N/A,#N/A,FALSE,"profile";#N/A,#N/A,FALSE,"comps"}</definedName>
    <definedName name="bnkj1" hidden="1">{#N/A,#N/A,FALSE,"output";#N/A,#N/A,FALSE,"contrib";#N/A,#N/A,FALSE,"profile";#N/A,#N/A,FALSE,"comps"}</definedName>
    <definedName name="bnmbnmbm" hidden="1">{"A1_plan_print",#N/A,FALSE,"Atelier1";"A2_plan_print",#N/A,FALSE,"Atelier2";"A3_plan_print",#N/A,FALSE,"Atelier3";"A4_plan_print",#N/A,FALSE,"Atelier4";"Bs_plan_print",#N/A,FALSE,"Bolshevik"}</definedName>
    <definedName name="bnnn" hidden="1">{"consolidated",#N/A,FALSE,"Sheet1";"cms",#N/A,FALSE,"Sheet1";"fse",#N/A,FALSE,"Sheet1"}</definedName>
    <definedName name="BORRAR" hidden="1">{"ocultar","kilometros",FALSE,"Hoja4"}</definedName>
    <definedName name="BORRAR_1" hidden="1">{"ocultar","kilometros",FALSE,"Hoja4"}</definedName>
    <definedName name="BORRAR_2" hidden="1">{"ocultar","kilometros",FALSE,"Hoja4"}</definedName>
    <definedName name="BORRAR_3" hidden="1">{"ocultar","kilometros",FALSE,"Hoja4"}</definedName>
    <definedName name="BORRAR_4" hidden="1">{"ocultar","kilometros",FALSE,"Hoja4"}</definedName>
    <definedName name="BORRAR_5" hidden="1">{"ocultar","kilometros",FALSE,"Hoja4"}</definedName>
    <definedName name="BORRAR2" hidden="1">{"ocultar","kilometros",FALSE,"Hoja4"}</definedName>
    <definedName name="BORRAR2_1" hidden="1">{"ocultar","kilometros",FALSE,"Hoja4"}</definedName>
    <definedName name="BORRAR2_2" hidden="1">{"ocultar","kilometros",FALSE,"Hoja4"}</definedName>
    <definedName name="BORRAR2_3" hidden="1">{"ocultar","kilometros",FALSE,"Hoja4"}</definedName>
    <definedName name="BORRAR2_4" hidden="1">{"ocultar","kilometros",FALSE,"Hoja4"}</definedName>
    <definedName name="BORRAR2_5" hidden="1">{"ocultar","kilometros",FALSE,"Hoja4"}</definedName>
    <definedName name="BORRR" hidden="1">{"ocultar","kilometros",FALSE,"Hoja4"}</definedName>
    <definedName name="BORRR_1" hidden="1">{"ocultar","kilometros",FALSE,"Hoja4"}</definedName>
    <definedName name="BORRR_2" hidden="1">{"ocultar","kilometros",FALSE,"Hoja4"}</definedName>
    <definedName name="BORRR_3" hidden="1">{"ocultar","kilometros",FALSE,"Hoja4"}</definedName>
    <definedName name="BORRR_4" hidden="1">{"ocultar","kilometros",FALSE,"Hoja4"}</definedName>
    <definedName name="BORRR_5" hidden="1">{"ocultar","kilometros",FALSE,"Hoja4"}</definedName>
    <definedName name="BORRRR" hidden="1">{"ocultar","kilometros",FALSE,"Hoja4"}</definedName>
    <definedName name="BORRRR_1" hidden="1">{"ocultar","kilometros",FALSE,"Hoja4"}</definedName>
    <definedName name="BORRRR_2" hidden="1">{"ocultar","kilometros",FALSE,"Hoja4"}</definedName>
    <definedName name="BORRRR_3" hidden="1">{"ocultar","kilometros",FALSE,"Hoja4"}</definedName>
    <definedName name="BORRRR_4" hidden="1">{"ocultar","kilometros",FALSE,"Hoja4"}</definedName>
    <definedName name="BORRRR_5" hidden="1">{"ocultar","kilometros",FALSE,"Hoja4"}</definedName>
    <definedName name="BPC_DMFILEINFO_SUBTASK__" hidden="1">"ConversionFiles"</definedName>
    <definedName name="BPC_DMFILEINFO_TASK__" hidden="1">"DataManager"</definedName>
    <definedName name="BPC_DMFILEINFO_TEAM__" hidden="1">"IF_DUMEX"</definedName>
    <definedName name="bv" hidden="1">{"'CANARY'!$A$24:$U$32"}</definedName>
    <definedName name="byikbyuj" hidden="1">{"SPM1",#N/A,FALSE,"RIEP"}</definedName>
    <definedName name="byubtyuj" hidden="1">{"QQQ",#N/A,FALSE,"RIEP"}</definedName>
    <definedName name="byukkty" hidden="1">{#N/A,#N/A,FALSE,"RIEP"}</definedName>
    <definedName name="byuku" hidden="1">{#N/A,#N/A,FALSE,"RIEP"}</definedName>
    <definedName name="Cable" hidden="1">{#N/A,#N/A,FALSE,"Operations";#N/A,#N/A,FALSE,"Financials"}</definedName>
    <definedName name="CallingApp" hidden="1">"Arrow"</definedName>
    <definedName name="cann" hidden="1">{#N/A,#N/A,FALSE,"CARATULA";#N/A,#N/A,FALSE,"Indice";#N/A,#N/A,FALSE,"Cap 1";#N/A,#N/A,FALSE,"Cap 2";#N/A,#N/A,FALSE,"Cap 3";#N/A,#N/A,FALSE,"Cap 4";#N/A,#N/A,FALSE,"Cap 5";#N/A,#N/A,FALSE,"Cap 6";#N/A,#N/A,FALSE,"Cap 7";#N/A,#N/A,FALSE,"Cap 8";#N/A,#N/A,FALSE,"Cap 9";#N/A,#N/A,FALSE,"Cap 10";#N/A,#N/A,FALSE,"Cap 11";#N/A,#N/A,FALSE,"Cap 12";#N/A,#N/A,FALSE,"Cap 13";#N/A,#N/A,FALSE,"Cap 14";#N/A,#N/A,FALSE,"Cap 15 TBI Gall+Hesp";#N/A,#N/A,FALSE,"Cap 15 TBI Choc";#N/A,#N/A,FALSE,"Cap 15 TBI DLeche";#N/A,#N/A,FALSE,"Cap 16";#N/A,#N/A,FALSE,"Cap 17";#N/A,#N/A,FALSE,"Cap 18";#N/A,#N/A,FALSE,"Cap 19";#N/A,#N/A,FALSE,"Cap 20";#N/A,#N/A,FALSE,"Cap 21";#N/A,#N/A,FALSE,"Cap 22";#N/A,#N/A,FALSE,"Cap 23";#N/A,#N/A,FALSE,"Cap 24"}</definedName>
    <definedName name="CANNXCANALI" hidden="1">{#N/A,#N/A,FALSE,"CARATULA";#N/A,#N/A,FALSE,"Indice";#N/A,#N/A,FALSE,"Cap 1";#N/A,#N/A,FALSE,"Cap 2";#N/A,#N/A,FALSE,"Cap 3";#N/A,#N/A,FALSE,"Cap 4";#N/A,#N/A,FALSE,"Cap 5";#N/A,#N/A,FALSE,"Cap 6";#N/A,#N/A,FALSE,"Cap 7";#N/A,#N/A,FALSE,"Cap 8";#N/A,#N/A,FALSE,"Cap 9";#N/A,#N/A,FALSE,"Cap 10";#N/A,#N/A,FALSE,"Cap 11";#N/A,#N/A,FALSE,"Cap 12";#N/A,#N/A,FALSE,"Cap 13";#N/A,#N/A,FALSE,"Cap 14";#N/A,#N/A,FALSE,"Cap 15 TBI Gall+Hesp";#N/A,#N/A,FALSE,"Cap 15 TBI Choc";#N/A,#N/A,FALSE,"Cap 15 TBI DLeche";#N/A,#N/A,FALSE,"Cap 16";#N/A,#N/A,FALSE,"Cap 17";#N/A,#N/A,FALSE,"Cap 18";#N/A,#N/A,FALSE,"Cap 19";#N/A,#N/A,FALSE,"Cap 20";#N/A,#N/A,FALSE,"Cap 21";#N/A,#N/A,FALSE,"Cap 22";#N/A,#N/A,FALSE,"Cap 23";#N/A,#N/A,FALSE,"Cap 24"}</definedName>
    <definedName name="CAPEX" hidden="1">{#N/A,#N/A,FALSE,"CARATULA";#N/A,#N/A,FALSE,"Indice";#N/A,#N/A,FALSE,"Cap 1";#N/A,#N/A,FALSE,"Cap 2";#N/A,#N/A,FALSE,"Cap 3";#N/A,#N/A,FALSE,"Cap 4";#N/A,#N/A,FALSE,"Cap 5";#N/A,#N/A,FALSE,"Cap 6";#N/A,#N/A,FALSE,"Cap 7";#N/A,#N/A,FALSE,"Cap 8";#N/A,#N/A,FALSE,"Cap 9";#N/A,#N/A,FALSE,"Cap 10";#N/A,#N/A,FALSE,"Cap 11";#N/A,#N/A,FALSE,"Cap 12";#N/A,#N/A,FALSE,"Cap 13";#N/A,#N/A,FALSE,"Cap 14";#N/A,#N/A,FALSE,"Cap 15 TBI Gall+Hesp";#N/A,#N/A,FALSE,"Cap 15 TBI Choc";#N/A,#N/A,FALSE,"Cap 15 TBI DLeche";#N/A,#N/A,FALSE,"Cap 16";#N/A,#N/A,FALSE,"Cap 17";#N/A,#N/A,FALSE,"Cap 18";#N/A,#N/A,FALSE,"Cap 19";#N/A,#N/A,FALSE,"Cap 20";#N/A,#N/A,FALSE,"Cap 21";#N/A,#N/A,FALSE,"Cap 22";#N/A,#N/A,FALSE,"Cap 23";#N/A,#N/A,FALSE,"Cap 24"}</definedName>
    <definedName name="cb_sChart41E9A35_opts" hidden="1">"1, 9, 1, False, 2, False, False, , 0, False, True, 1, 1"</definedName>
    <definedName name="ccccc" hidden="1">#REF!</definedName>
    <definedName name="CCCCCCCCCC" hidden="1">{"ocultar","kilometros",FALSE,"Hoja4"}</definedName>
    <definedName name="CCCCCCCCCC_1" hidden="1">{"ocultar","kilometros",FALSE,"Hoja4"}</definedName>
    <definedName name="CCCCCCCCCC_2" hidden="1">{"ocultar","kilometros",FALSE,"Hoja4"}</definedName>
    <definedName name="CCCCCCCCCC_3" hidden="1">{"ocultar","kilometros",FALSE,"Hoja4"}</definedName>
    <definedName name="CCCCCCCCCC_4" hidden="1">{"ocultar","kilometros",FALSE,"Hoja4"}</definedName>
    <definedName name="CCCCCCCCCC_5" hidden="1">{"ocultar","kilometros",FALSE,"Hoja4"}</definedName>
    <definedName name="CCCCCCCCCCCC" hidden="1">{"ocultar","kilometros",FALSE,"Hoja4"}</definedName>
    <definedName name="CCCCCCCCCCCC_1" hidden="1">{"ocultar","kilometros",FALSE,"Hoja4"}</definedName>
    <definedName name="CCCCCCCCCCCC_2" hidden="1">{"ocultar","kilometros",FALSE,"Hoja4"}</definedName>
    <definedName name="CCCCCCCCCCCC_3" hidden="1">{"ocultar","kilometros",FALSE,"Hoja4"}</definedName>
    <definedName name="CCCCCCCCCCCC_4" hidden="1">{"ocultar","kilometros",FALSE,"Hoja4"}</definedName>
    <definedName name="CCCCCCCCCCCC_5" hidden="1">{"ocultar","kilometros",FALSE,"Hoja4"}</definedName>
    <definedName name="CCCCCCCCCCCCCCCCCCCC" hidden="1">{"ocultar","kilometros",FALSE,"Hoja4"}</definedName>
    <definedName name="CCCCCCCCCCCCCCCCCCCC_1" hidden="1">{"ocultar","kilometros",FALSE,"Hoja4"}</definedName>
    <definedName name="CCCCCCCCCCCCCCCCCCCC_2" hidden="1">{"ocultar","kilometros",FALSE,"Hoja4"}</definedName>
    <definedName name="CCCCCCCCCCCCCCCCCCCC_3" hidden="1">{"ocultar","kilometros",FALSE,"Hoja4"}</definedName>
    <definedName name="CCCCCCCCCCCCCCCCCCCC_4" hidden="1">{"ocultar","kilometros",FALSE,"Hoja4"}</definedName>
    <definedName name="CCCCCCCCCCCCCCCCCCCC_5" hidden="1">{"ocultar","kilometros",FALSE,"Hoja4"}</definedName>
    <definedName name="CCCCCCCCCCCCCCCCCCCCCCC" hidden="1">{"ocultar","kilometros",FALSE,"Hoja4"}</definedName>
    <definedName name="CCCCCCCCCCCCCCCCCCCCCCC_1" hidden="1">{"ocultar","kilometros",FALSE,"Hoja4"}</definedName>
    <definedName name="CCCCCCCCCCCCCCCCCCCCCCC_2" hidden="1">{"ocultar","kilometros",FALSE,"Hoja4"}</definedName>
    <definedName name="CCCCCCCCCCCCCCCCCCCCCCC_3" hidden="1">{"ocultar","kilometros",FALSE,"Hoja4"}</definedName>
    <definedName name="CCCCCCCCCCCCCCCCCCCCCCC_4" hidden="1">{"ocultar","kilometros",FALSE,"Hoja4"}</definedName>
    <definedName name="CCCCCCCCCCCCCCCCCCCCCCC_5" hidden="1">{"ocultar","kilometros",FALSE,"Hoja4"}</definedName>
    <definedName name="cccccccccccccccccccccccccc" hidden="1">{"First Page",#N/A,FALSE,"Surfactants LBO";"Second Page",#N/A,FALSE,"Surfactants LBO"}</definedName>
    <definedName name="cccccccccccccccccccccccccccccccccc" hidden="1">{"First Page",#N/A,FALSE,"Surfactants LBO";"Second Page",#N/A,FALSE,"Surfactants LBO"}</definedName>
    <definedName name="CCSFDFRDF" hidden="1">{"SPM1",#N/A,FALSE,"RIEP"}</definedName>
    <definedName name="cdf" hidden="1">{"SPM1",#N/A,FALSE,"RIEP"}</definedName>
    <definedName name="CDVF" hidden="1">{"SPM1",#N/A,FALSE,"RIEP"}</definedName>
    <definedName name="cfhg" hidden="1">{"'Sheet1'!$A$1:$G$96","'Sheet1'!$A$1:$H$96"}</definedName>
    <definedName name="cfvjg" hidden="1">{#N/A,#N/A,TRUE,"ANALYSE";#N/A,#N/A,TRUE,"PM VOLUME";#N/A,#N/A,TRUE,"PM VALEUR";#N/A,#N/A,TRUE,"AR1";#N/A,#N/A,TRUE,"AR2";#N/A,#N/A,TRUE,"RAF";#N/A,#N/A,TRUE,"BILAN";#N/A,#N/A,TRUE,"CASH FLOW";#N/A,#N/A,TRUE,"ETAT FI"}</definedName>
    <definedName name="cfvjg_1" hidden="1">{#N/A,#N/A,TRUE,"ANALYSE";#N/A,#N/A,TRUE,"PM VOLUME";#N/A,#N/A,TRUE,"PM VALEUR";#N/A,#N/A,TRUE,"AR1";#N/A,#N/A,TRUE,"AR2";#N/A,#N/A,TRUE,"RAF";#N/A,#N/A,TRUE,"BILAN";#N/A,#N/A,TRUE,"CASH FLOW";#N/A,#N/A,TRUE,"ETAT FI"}</definedName>
    <definedName name="cfvjg_2" hidden="1">{#N/A,#N/A,TRUE,"ANALYSE";#N/A,#N/A,TRUE,"PM VOLUME";#N/A,#N/A,TRUE,"PM VALEUR";#N/A,#N/A,TRUE,"AR1";#N/A,#N/A,TRUE,"AR2";#N/A,#N/A,TRUE,"RAF";#N/A,#N/A,TRUE,"BILAN";#N/A,#N/A,TRUE,"CASH FLOW";#N/A,#N/A,TRUE,"ETAT FI"}</definedName>
    <definedName name="cfvjg_3" hidden="1">{#N/A,#N/A,TRUE,"ANALYSE";#N/A,#N/A,TRUE,"PM VOLUME";#N/A,#N/A,TRUE,"PM VALEUR";#N/A,#N/A,TRUE,"AR1";#N/A,#N/A,TRUE,"AR2";#N/A,#N/A,TRUE,"RAF";#N/A,#N/A,TRUE,"BILAN";#N/A,#N/A,TRUE,"CASH FLOW";#N/A,#N/A,TRUE,"ETAT FI"}</definedName>
    <definedName name="cfvjg_4" hidden="1">{#N/A,#N/A,TRUE,"ANALYSE";#N/A,#N/A,TRUE,"PM VOLUME";#N/A,#N/A,TRUE,"PM VALEUR";#N/A,#N/A,TRUE,"AR1";#N/A,#N/A,TRUE,"AR2";#N/A,#N/A,TRUE,"RAF";#N/A,#N/A,TRUE,"BILAN";#N/A,#N/A,TRUE,"CASH FLOW";#N/A,#N/A,TRUE,"ETAT FI"}</definedName>
    <definedName name="cfvjg_5" hidden="1">{#N/A,#N/A,TRUE,"ANALYSE";#N/A,#N/A,TRUE,"PM VOLUME";#N/A,#N/A,TRUE,"PM VALEUR";#N/A,#N/A,TRUE,"AR1";#N/A,#N/A,TRUE,"AR2";#N/A,#N/A,TRUE,"RAF";#N/A,#N/A,TRUE,"BILAN";#N/A,#N/A,TRUE,"CASH FLOW";#N/A,#N/A,TRUE,"ETAT FI"}</definedName>
    <definedName name="CHAIN_252_DoNotDeleteThisName_00029" hidden="1">#REF!</definedName>
    <definedName name="CHAIN_265_DoNotDeleteThisName_00068" hidden="1">#REF!</definedName>
    <definedName name="Cięcina" hidden="1">{"'Industrial TDB Nature CIĘCINA'!$A$5:$O$31"}</definedName>
    <definedName name="CIQWBGuid" hidden="1">"GW Impairment Test ex Numico_Jan 2013_vvaleur - v10 BIS.xlsx"</definedName>
    <definedName name="coba" hidden="1">#REF!</definedName>
    <definedName name="Code" hidden="1">#N/A</definedName>
    <definedName name="COGS" hidden="1">#REF!</definedName>
    <definedName name="COGS1" hidden="1">#REF!</definedName>
    <definedName name="Com" hidden="1">{#N/A,#N/A,FALSE,"CARATULA";#N/A,#N/A,FALSE,"Indice";#N/A,#N/A,FALSE,"Cap 1";#N/A,#N/A,FALSE,"Cap 2";#N/A,#N/A,FALSE,"Cap 3";#N/A,#N/A,FALSE,"Cap 4";#N/A,#N/A,FALSE,"Cap 5";#N/A,#N/A,FALSE,"Cap 6";#N/A,#N/A,FALSE,"Cap 7";#N/A,#N/A,FALSE,"Cap 8";#N/A,#N/A,FALSE,"Cap 9";#N/A,#N/A,FALSE,"Cap 10";#N/A,#N/A,FALSE,"Cap 11";#N/A,#N/A,FALSE,"Cap 12";#N/A,#N/A,FALSE,"Cap 13";#N/A,#N/A,FALSE,"Cap 14";#N/A,#N/A,FALSE,"Cap 15 TBI Gall+Hesp";#N/A,#N/A,FALSE,"Cap 15 TBI Choc";#N/A,#N/A,FALSE,"Cap 15 TBI DLeche";#N/A,#N/A,FALSE,"Cap 16";#N/A,#N/A,FALSE,"Cap 17";#N/A,#N/A,FALSE,"Cap 18";#N/A,#N/A,FALSE,"Cap 19";#N/A,#N/A,FALSE,"Cap 20";#N/A,#N/A,FALSE,"Cap 21";#N/A,#N/A,FALSE,"Cap 22";#N/A,#N/A,FALSE,"Cap 23";#N/A,#N/A,FALSE,"Cap 24"}</definedName>
    <definedName name="COMM" hidden="1">{#N/A,#N/A,FALSE,"EC COMM-c";#N/A,#N/A,FALSE,"EC PAR PDTS-c";#N/A,#N/A,FALSE,"EC MAT-c";#N/A,#N/A,FALSE,"SUIVI HAUSSES-c"}</definedName>
    <definedName name="COMM_1" hidden="1">{#N/A,#N/A,FALSE,"EC COMM-c";#N/A,#N/A,FALSE,"EC PAR PDTS-c";#N/A,#N/A,FALSE,"EC MAT-c";#N/A,#N/A,FALSE,"SUIVI HAUSSES-c"}</definedName>
    <definedName name="COMM_2" hidden="1">{#N/A,#N/A,FALSE,"EC COMM-c";#N/A,#N/A,FALSE,"EC PAR PDTS-c";#N/A,#N/A,FALSE,"EC MAT-c";#N/A,#N/A,FALSE,"SUIVI HAUSSES-c"}</definedName>
    <definedName name="COMM_3" hidden="1">{#N/A,#N/A,FALSE,"EC COMM-c";#N/A,#N/A,FALSE,"EC PAR PDTS-c";#N/A,#N/A,FALSE,"EC MAT-c";#N/A,#N/A,FALSE,"SUIVI HAUSSES-c"}</definedName>
    <definedName name="COMM_4" hidden="1">{#N/A,#N/A,FALSE,"EC COMM-c";#N/A,#N/A,FALSE,"EC PAR PDTS-c";#N/A,#N/A,FALSE,"EC MAT-c";#N/A,#N/A,FALSE,"SUIVI HAUSSES-c"}</definedName>
    <definedName name="COMM_5" hidden="1">{#N/A,#N/A,FALSE,"EC COMM-c";#N/A,#N/A,FALSE,"EC PAR PDTS-c";#N/A,#N/A,FALSE,"EC MAT-c";#N/A,#N/A,FALSE,"SUIVI HAUSSES-c"}</definedName>
    <definedName name="Comparable" hidden="1">{"First Page",#N/A,FALSE,"Surfactants LBO";"Second Page",#N/A,FALSE,"Surfactants LBO"}</definedName>
    <definedName name="comparaison" hidden="1">{"First Page",#N/A,FALSE,"Surfactants LBO";"Second Page",#N/A,FALSE,"Surfactants LBO"}</definedName>
    <definedName name="cooper2" hidden="1">{#N/A,#N/A,TRUE,"Pro Forma";#N/A,#N/A,TRUE,"PF_Bal";#N/A,#N/A,TRUE,"PF_INC";#N/A,#N/A,TRUE,"CBE";#N/A,#N/A,TRUE,"SWK"}</definedName>
    <definedName name="cop" hidden="1">{"First Page",#N/A,FALSE,"Surfactants LBO";"Second Page",#N/A,FALSE,"Surfactants LBO"}</definedName>
    <definedName name="copia" hidden="1">{#N/A,#N/A,FALSE,"CARATULA";#N/A,#N/A,FALSE,"Indice";#N/A,#N/A,FALSE,"Cap 1";#N/A,#N/A,FALSE,"Cap 2";#N/A,#N/A,FALSE,"Cap 3";#N/A,#N/A,FALSE,"Cap 4";#N/A,#N/A,FALSE,"Cap 5";#N/A,#N/A,FALSE,"Cap 6";#N/A,#N/A,FALSE,"Cap 7";#N/A,#N/A,FALSE,"Cap 8";#N/A,#N/A,FALSE,"Cap 9";#N/A,#N/A,FALSE,"Cap 10";#N/A,#N/A,FALSE,"Cap 11";#N/A,#N/A,FALSE,"Cap 12";#N/A,#N/A,FALSE,"Cap 13";#N/A,#N/A,FALSE,"Cap 14";#N/A,#N/A,FALSE,"Cap 15 TBI Gall+Hesp";#N/A,#N/A,FALSE,"Cap 15 TBI Choc";#N/A,#N/A,FALSE,"Cap 15 TBI DLeche";#N/A,#N/A,FALSE,"Cap 16";#N/A,#N/A,FALSE,"Cap 17";#N/A,#N/A,FALSE,"Cap 18";#N/A,#N/A,FALSE,"Cap 19";#N/A,#N/A,FALSE,"Cap 20";#N/A,#N/A,FALSE,"Cap 21";#N/A,#N/A,FALSE,"Cap 22";#N/A,#N/A,FALSE,"Cap 23";#N/A,#N/A,FALSE,"Cap 24"}</definedName>
    <definedName name="copie" hidden="1">{#N/A,#N/A,TRUE,"ANALYSE";#N/A,#N/A,TRUE,"PM VOLUME";#N/A,#N/A,TRUE,"PM VALEUR";#N/A,#N/A,TRUE,"AR1";#N/A,#N/A,TRUE,"AR2";#N/A,#N/A,TRUE,"RAF";#N/A,#N/A,TRUE,"BILAN";#N/A,#N/A,TRUE,"CASH FLOW";#N/A,#N/A,TRUE,"ETAT FI"}</definedName>
    <definedName name="copy1" hidden="1">{#N/A,#N/A,TRUE,"Pro Forma";#N/A,#N/A,TRUE,"PF_Bal";#N/A,#N/A,TRUE,"PF_INC";#N/A,#N/A,TRUE,"CBE";#N/A,#N/A,TRUE,"SWK"}</definedName>
    <definedName name="copy2" hidden="1">{#N/A,#N/A,TRUE,"financial";#N/A,#N/A,TRUE,"plants"}</definedName>
    <definedName name="copy3" hidden="1">{#N/A,#N/A,TRUE,"Pro Forma";#N/A,#N/A,TRUE,"PF_Bal";#N/A,#N/A,TRUE,"PF_INC";#N/A,#N/A,TRUE,"CBE";#N/A,#N/A,TRUE,"SWK"}</definedName>
    <definedName name="COSTE.PERSONAL2006" hidden="1">{"'Themis-JDE'!$A$1:$B$1"}</definedName>
    <definedName name="CSDCDS" hidden="1">#REF!</definedName>
    <definedName name="Cu" hidden="1">#REF!</definedName>
    <definedName name="cvb" hidden="1">{#N/A,#N/A,FALSE,"Operations";#N/A,#N/A,FALSE,"Financials"}</definedName>
    <definedName name="cvbncvnvbn" hidden="1">{#N/A,#N/A,FALSE,"Operations";#N/A,#N/A,FALSE,"Financials"}</definedName>
    <definedName name="CVNCVNBVN" hidden="1">{"comp1",#N/A,FALSE,"COMPS";"footnotes",#N/A,FALSE,"COMPS"}</definedName>
    <definedName name="Cwvu.CapersView." hidden="1">#REF!</definedName>
    <definedName name="Cwvu.Japan_Capers_Ed_Pub." hidden="1">#REF!</definedName>
    <definedName name="Cwvu.KJP_CC." hidden="1">#REF!,#REF!,#REF!,#REF!,#REF!,#REF!,#REF!,#REF!,#REF!,#REF!,#REF!,#REF!,#REF!,#REF!,#REF!,#REF!,#REF!,#REF!,#REF!,#REF!</definedName>
    <definedName name="Cwvu.Squash._.Silica._.up." hidden="1">#REF!</definedName>
    <definedName name="cxvbvcxb" hidden="1">#REF!</definedName>
    <definedName name="dada" hidden="1">{#N/A,#N/A,FALSE,"ANALYSE";#N/A,#N/A,FALSE,"PM VALEUR"}</definedName>
    <definedName name="dada_1" hidden="1">{#N/A,#N/A,FALSE,"ANALYSE";#N/A,#N/A,FALSE,"PM VALEUR"}</definedName>
    <definedName name="dada_2" hidden="1">{#N/A,#N/A,FALSE,"ANALYSE";#N/A,#N/A,FALSE,"PM VALEUR"}</definedName>
    <definedName name="dada_3" hidden="1">{#N/A,#N/A,FALSE,"ANALYSE";#N/A,#N/A,FALSE,"PM VALEUR"}</definedName>
    <definedName name="dada_4" hidden="1">{#N/A,#N/A,FALSE,"ANALYSE";#N/A,#N/A,FALSE,"PM VALEUR"}</definedName>
    <definedName name="dada_5" hidden="1">{#N/A,#N/A,FALSE,"ANALYSE";#N/A,#N/A,FALSE,"PM VALEUR"}</definedName>
    <definedName name="dadad" hidden="1">{#N/A,#N/A,FALSE,"ANALYSE";#N/A,#N/A,FALSE,"PM VALEUR"}</definedName>
    <definedName name="dadad_1" hidden="1">{#N/A,#N/A,FALSE,"ANALYSE";#N/A,#N/A,FALSE,"PM VALEUR"}</definedName>
    <definedName name="dadad_2" hidden="1">{#N/A,#N/A,FALSE,"ANALYSE";#N/A,#N/A,FALSE,"PM VALEUR"}</definedName>
    <definedName name="dadad_3" hidden="1">{#N/A,#N/A,FALSE,"ANALYSE";#N/A,#N/A,FALSE,"PM VALEUR"}</definedName>
    <definedName name="dadad_4" hidden="1">{#N/A,#N/A,FALSE,"ANALYSE";#N/A,#N/A,FALSE,"PM VALEUR"}</definedName>
    <definedName name="dadad_5" hidden="1">{#N/A,#N/A,FALSE,"ANALYSE";#N/A,#N/A,FALSE,"PM VALEUR"}</definedName>
    <definedName name="dadshakjdha" hidden="1">{#N/A,#N/A,TRUE,"EC COMM-t";#N/A,#N/A,TRUE,"EC PAR PDTS-t";#N/A,#N/A,TRUE,"EC MAT-t";#N/A,#N/A,TRUE,"SUIVI HAUSSES-t"}</definedName>
    <definedName name="dadshakjdha_1" hidden="1">{#N/A,#N/A,TRUE,"EC COMM-t";#N/A,#N/A,TRUE,"EC PAR PDTS-t";#N/A,#N/A,TRUE,"EC MAT-t";#N/A,#N/A,TRUE,"SUIVI HAUSSES-t"}</definedName>
    <definedName name="dadshakjdha_2" hidden="1">{#N/A,#N/A,TRUE,"EC COMM-t";#N/A,#N/A,TRUE,"EC PAR PDTS-t";#N/A,#N/A,TRUE,"EC MAT-t";#N/A,#N/A,TRUE,"SUIVI HAUSSES-t"}</definedName>
    <definedName name="dadshakjdha_3" hidden="1">{#N/A,#N/A,TRUE,"EC COMM-t";#N/A,#N/A,TRUE,"EC PAR PDTS-t";#N/A,#N/A,TRUE,"EC MAT-t";#N/A,#N/A,TRUE,"SUIVI HAUSSES-t"}</definedName>
    <definedName name="dadshakjdha_4" hidden="1">{#N/A,#N/A,TRUE,"EC COMM-t";#N/A,#N/A,TRUE,"EC PAR PDTS-t";#N/A,#N/A,TRUE,"EC MAT-t";#N/A,#N/A,TRUE,"SUIVI HAUSSES-t"}</definedName>
    <definedName name="dadshakjdha_5" hidden="1">{#N/A,#N/A,TRUE,"EC COMM-t";#N/A,#N/A,TRUE,"EC PAR PDTS-t";#N/A,#N/A,TRUE,"EC MAT-t";#N/A,#N/A,TRUE,"SUIVI HAUSSES-t"}</definedName>
    <definedName name="DAFreofè0eirfh" hidden="1">{"SPM1",#N/A,FALSE,"RIEP"}</definedName>
    <definedName name="DANUK" hidden="1">{"original",#N/A,TRUE,"flashcaneurope";"expeur",#N/A,TRUE,"EXPEUR";"ventesloceur",#N/A,TRUE,"VENTESLOCEUR";"candib",#N/A,TRUE,"flashcandib";"expedib",#N/A,TRUE,"EXPEDIB";"venteslocdib",#N/A,TRUE,"venteslocdib"}</definedName>
    <definedName name="DANUK1" hidden="1">{#N/A,#N/A,FALSE,"CNM BUDGET EVIAN";#N/A,#N/A,FALSE,"CNM BUDGET BA"}</definedName>
    <definedName name="DANUK2" hidden="1">{"original",#N/A,TRUE,"flashcaneurope";"expeur",#N/A,TRUE,"EXPEUR";"ventesloceur",#N/A,TRUE,"VENTESLOCEUR";"candib",#N/A,TRUE,"flashcandib";"expedib",#N/A,TRUE,"EXPEDIB";"venteslocdib",#N/A,TRUE,"venteslocdib"}</definedName>
    <definedName name="data1" hidden="1">#N/A</definedName>
    <definedName name="data2" hidden="1">#N/A</definedName>
    <definedName name="data3" hidden="1">#N/A</definedName>
    <definedName name="datos" hidden="1">{"ocultar","kilometros",FALSE,"Hoja4"}</definedName>
    <definedName name="DBMN" hidden="1">{#N/A,#N/A,FALSE,"Planning";#N/A,#N/A,FALSE,"Réalisé";#N/A,#N/A,FALSE,"Suivi";#N/A,#N/A,FALSE,"Suivi Financier"}</definedName>
    <definedName name="ddd" hidden="1">{#N/A,#N/A,FALSE,"RES-MARQ-c";#N/A,#N/A,FALSE,"CLTS-GP-c";#N/A,#N/A,FALSE,"NOUV PDTS-c";#N/A,#N/A,FALSE,"CESSIONS GROUPE-c"}</definedName>
    <definedName name="ddd_1" hidden="1">{#N/A,#N/A,FALSE,"RES-MARQ-c";#N/A,#N/A,FALSE,"CLTS-GP-c";#N/A,#N/A,FALSE,"NOUV PDTS-c";#N/A,#N/A,FALSE,"CESSIONS GROUPE-c"}</definedName>
    <definedName name="ddd_2" hidden="1">{#N/A,#N/A,FALSE,"RES-MARQ-c";#N/A,#N/A,FALSE,"CLTS-GP-c";#N/A,#N/A,FALSE,"NOUV PDTS-c";#N/A,#N/A,FALSE,"CESSIONS GROUPE-c"}</definedName>
    <definedName name="ddd_3" hidden="1">{#N/A,#N/A,FALSE,"RES-MARQ-c";#N/A,#N/A,FALSE,"CLTS-GP-c";#N/A,#N/A,FALSE,"NOUV PDTS-c";#N/A,#N/A,FALSE,"CESSIONS GROUPE-c"}</definedName>
    <definedName name="ddd_4" hidden="1">{#N/A,#N/A,FALSE,"RES-MARQ-c";#N/A,#N/A,FALSE,"CLTS-GP-c";#N/A,#N/A,FALSE,"NOUV PDTS-c";#N/A,#N/A,FALSE,"CESSIONS GROUPE-c"}</definedName>
    <definedName name="ddd_5" hidden="1">{#N/A,#N/A,FALSE,"RES-MARQ-c";#N/A,#N/A,FALSE,"CLTS-GP-c";#N/A,#N/A,FALSE,"NOUV PDTS-c";#N/A,#N/A,FALSE,"CESSIONS GROUPE-c"}</definedName>
    <definedName name="dddd1" hidden="1">{"SPM1",#N/A,FALSE,"RIEP"}</definedName>
    <definedName name="dddd2" hidden="1">{"SPM1",#N/A,FALSE,"RIEP"}</definedName>
    <definedName name="ddddd" hidden="1">#REF!</definedName>
    <definedName name="dddddd" hidden="1">#REF!</definedName>
    <definedName name="ddddddd" hidden="1">{#N/A,#N/A,FALSE,"RIEP"}</definedName>
    <definedName name="dddddddddd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ddddddddddddddd" hidden="1">{"ocultar","kilometros",FALSE,"Hoja4"}</definedName>
    <definedName name="ddddddddddddddd_1" hidden="1">{"ocultar","kilometros",FALSE,"Hoja4"}</definedName>
    <definedName name="ddddddddddddddd_2" hidden="1">{"ocultar","kilometros",FALSE,"Hoja4"}</definedName>
    <definedName name="ddddddddddddddd_3" hidden="1">{"ocultar","kilometros",FALSE,"Hoja4"}</definedName>
    <definedName name="ddddddddddddddd_4" hidden="1">{"ocultar","kilometros",FALSE,"Hoja4"}</definedName>
    <definedName name="ddddddddddddddd_5" hidden="1">{"ocultar","kilometros",FALSE,"Hoja4"}</definedName>
    <definedName name="ddsg" hidden="1">{#N/A,#N/A,FALSE,"CNM BUDGET EVIAN";#N/A,#N/A,FALSE,"CNM BUDGET BA"}</definedName>
    <definedName name="de" hidden="1">{"' calendrier 2000'!$A$1:$Q$38"}</definedName>
    <definedName name="dede" hidden="1">{#N/A,#N/A,TRUE,"financial";#N/A,#N/A,TRUE,"plants"}</definedName>
    <definedName name="dee" hidden="1">{#N/A,#N/A,FALSE,"RES-MARQ-c";#N/A,#N/A,FALSE,"CLTS-GP-c";#N/A,#N/A,FALSE,"NOUV PDTS-c";#N/A,#N/A,FALSE,"CESSIONS GROUPE-c"}</definedName>
    <definedName name="dee_1" hidden="1">{#N/A,#N/A,FALSE,"RES-MARQ-c";#N/A,#N/A,FALSE,"CLTS-GP-c";#N/A,#N/A,FALSE,"NOUV PDTS-c";#N/A,#N/A,FALSE,"CESSIONS GROUPE-c"}</definedName>
    <definedName name="dee_2" hidden="1">{#N/A,#N/A,FALSE,"RES-MARQ-c";#N/A,#N/A,FALSE,"CLTS-GP-c";#N/A,#N/A,FALSE,"NOUV PDTS-c";#N/A,#N/A,FALSE,"CESSIONS GROUPE-c"}</definedName>
    <definedName name="dee_3" hidden="1">{#N/A,#N/A,FALSE,"RES-MARQ-c";#N/A,#N/A,FALSE,"CLTS-GP-c";#N/A,#N/A,FALSE,"NOUV PDTS-c";#N/A,#N/A,FALSE,"CESSIONS GROUPE-c"}</definedName>
    <definedName name="dee_4" hidden="1">{#N/A,#N/A,FALSE,"RES-MARQ-c";#N/A,#N/A,FALSE,"CLTS-GP-c";#N/A,#N/A,FALSE,"NOUV PDTS-c";#N/A,#N/A,FALSE,"CESSIONS GROUPE-c"}</definedName>
    <definedName name="dee_5" hidden="1">{#N/A,#N/A,FALSE,"RES-MARQ-c";#N/A,#N/A,FALSE,"CLTS-GP-c";#N/A,#N/A,FALSE,"NOUV PDTS-c";#N/A,#N/A,FALSE,"CESSIONS GROUPE-c"}</definedName>
    <definedName name="DEFGREG" hidden="1">{"original",#N/A,TRUE,"flashcaneurope";"expeur",#N/A,TRUE,"EXPEUR";"ventesloceur",#N/A,TRUE,"VENTESLOCEUR";"candib",#N/A,TRUE,"flashcandib";"expedib",#N/A,TRUE,"EXPEDIB";"venteslocdib",#N/A,TRUE,"venteslocdib"}</definedName>
    <definedName name="DEFGREG_1" hidden="1">{"original",#N/A,TRUE,"flashcaneurope";"expeur",#N/A,TRUE,"EXPEUR";"ventesloceur",#N/A,TRUE,"VENTESLOCEUR";"candib",#N/A,TRUE,"flashcandib";"expedib",#N/A,TRUE,"EXPEDIB";"venteslocdib",#N/A,TRUE,"venteslocdib"}</definedName>
    <definedName name="DEFGREG_2" hidden="1">{"original",#N/A,TRUE,"flashcaneurope";"expeur",#N/A,TRUE,"EXPEUR";"ventesloceur",#N/A,TRUE,"VENTESLOCEUR";"candib",#N/A,TRUE,"flashcandib";"expedib",#N/A,TRUE,"EXPEDIB";"venteslocdib",#N/A,TRUE,"venteslocdib"}</definedName>
    <definedName name="DEFGREG_3" hidden="1">{"original",#N/A,TRUE,"flashcaneurope";"expeur",#N/A,TRUE,"EXPEUR";"ventesloceur",#N/A,TRUE,"VENTESLOCEUR";"candib",#N/A,TRUE,"flashcandib";"expedib",#N/A,TRUE,"EXPEDIB";"venteslocdib",#N/A,TRUE,"venteslocdib"}</definedName>
    <definedName name="DEFGREG_4" hidden="1">{"original",#N/A,TRUE,"flashcaneurope";"expeur",#N/A,TRUE,"EXPEUR";"ventesloceur",#N/A,TRUE,"VENTESLOCEUR";"candib",#N/A,TRUE,"flashcandib";"expedib",#N/A,TRUE,"EXPEDIB";"venteslocdib",#N/A,TRUE,"venteslocdib"}</definedName>
    <definedName name="DEFGREG_5" hidden="1">{"original",#N/A,TRUE,"flashcaneurope";"expeur",#N/A,TRUE,"EXPEUR";"ventesloceur",#N/A,TRUE,"VENTESLOCEUR";"candib",#N/A,TRUE,"flashcandib";"expedib",#N/A,TRUE,"EXPEDIB";"venteslocdib",#N/A,TRUE,"venteslocdib"}</definedName>
    <definedName name="DEFGREG2" hidden="1">{"original",#N/A,TRUE,"flashcaneurope";"expeur",#N/A,TRUE,"EXPEUR";"ventesloceur",#N/A,TRUE,"VENTESLOCEUR";"candib",#N/A,TRUE,"flashcandib";"expedib",#N/A,TRUE,"EXPEDIB";"venteslocdib",#N/A,TRUE,"venteslocdib"}</definedName>
    <definedName name="deg" hidden="1">{"First Page",#N/A,FALSE,"Surfactants LBO";"Second Page",#N/A,FALSE,"Surfactants LBO"}</definedName>
    <definedName name="denise" hidden="1">#REF!</definedName>
    <definedName name="des" hidden="1">{#N/A,#N/A,TRUE,"SYNTHESE-t";#N/A,#N/A,TRUE,"PUB-t";#N/A,#N/A,TRUE,"OP CONSO-t";#N/A,#N/A,TRUE,"REFERENCTS-t";#N/A,#N/A,TRUE,"ETUDES MKG-t";#N/A,#N/A,TRUE,"PACKAGING-t";#N/A,#N/A,TRUE,"DIR COM-t";#N/A,#N/A,TRUE,"MEDIA-t"}</definedName>
    <definedName name="des_1" hidden="1">{#N/A,#N/A,TRUE,"SYNTHESE-t";#N/A,#N/A,TRUE,"PUB-t";#N/A,#N/A,TRUE,"OP CONSO-t";#N/A,#N/A,TRUE,"REFERENCTS-t";#N/A,#N/A,TRUE,"ETUDES MKG-t";#N/A,#N/A,TRUE,"PACKAGING-t";#N/A,#N/A,TRUE,"DIR COM-t";#N/A,#N/A,TRUE,"MEDIA-t"}</definedName>
    <definedName name="des_2" hidden="1">{#N/A,#N/A,TRUE,"SYNTHESE-t";#N/A,#N/A,TRUE,"PUB-t";#N/A,#N/A,TRUE,"OP CONSO-t";#N/A,#N/A,TRUE,"REFERENCTS-t";#N/A,#N/A,TRUE,"ETUDES MKG-t";#N/A,#N/A,TRUE,"PACKAGING-t";#N/A,#N/A,TRUE,"DIR COM-t";#N/A,#N/A,TRUE,"MEDIA-t"}</definedName>
    <definedName name="des_3" hidden="1">{#N/A,#N/A,TRUE,"SYNTHESE-t";#N/A,#N/A,TRUE,"PUB-t";#N/A,#N/A,TRUE,"OP CONSO-t";#N/A,#N/A,TRUE,"REFERENCTS-t";#N/A,#N/A,TRUE,"ETUDES MKG-t";#N/A,#N/A,TRUE,"PACKAGING-t";#N/A,#N/A,TRUE,"DIR COM-t";#N/A,#N/A,TRUE,"MEDIA-t"}</definedName>
    <definedName name="des_4" hidden="1">{#N/A,#N/A,TRUE,"SYNTHESE-t";#N/A,#N/A,TRUE,"PUB-t";#N/A,#N/A,TRUE,"OP CONSO-t";#N/A,#N/A,TRUE,"REFERENCTS-t";#N/A,#N/A,TRUE,"ETUDES MKG-t";#N/A,#N/A,TRUE,"PACKAGING-t";#N/A,#N/A,TRUE,"DIR COM-t";#N/A,#N/A,TRUE,"MEDIA-t"}</definedName>
    <definedName name="des_5" hidden="1">{#N/A,#N/A,TRUE,"SYNTHESE-t";#N/A,#N/A,TRUE,"PUB-t";#N/A,#N/A,TRUE,"OP CONSO-t";#N/A,#N/A,TRUE,"REFERENCTS-t";#N/A,#N/A,TRUE,"ETUDES MKG-t";#N/A,#N/A,TRUE,"PACKAGING-t";#N/A,#N/A,TRUE,"DIR COM-t";#N/A,#N/A,TRUE,"MEDIA-t"}</definedName>
    <definedName name="detail2" hidden="1">{#N/A,#N/A,FALSE,"Total P&amp;L";#N/A,#N/A,FALSE,"RtlCup";#N/A,#N/A,FALSE,"FOB";#N/A,#N/A,FALSE,"Plain";#N/A,#N/A,FALSE,"Classic";#N/A,#N/A,FALSE,"Light";#N/A,#N/A,FALSE,"Chunky";#N/A,#N/A,FALSE,"Sprinklins";#N/A,#N/A,FALSE,"Danimals";#N/A,#N/A,FALSE,"Water";#N/A,#N/A,FALSE,"BWF Mini";#N/A,#N/A,FALSE,"D-Day";#N/A,#N/A,FALSE,"New Ventures";#N/A,#N/A,FALSE,"Space Shuttle";#N/A,#N/A,FALSE,"ACB";#N/A,#N/A,FALSE,"dess";#N/A,#N/A,FALSE,"bev";#N/A,#N/A,FALSE,"PGF";#N/A,#N/A,FALSE,"Right"}</definedName>
    <definedName name="DFda" hidden="1">{#N/A,#N/A,FALSE,"RIEP"}</definedName>
    <definedName name="DFFDG" hidden="1">#REF!</definedName>
    <definedName name="dfgdfgfdg" hidden="1">{"'Sheet1'!$A$1:$G$96","'Sheet1'!$A$1:$H$96"}</definedName>
    <definedName name="dfgdg" hidden="1">#REF!</definedName>
    <definedName name="dfgdgdfg" hidden="1">{"'Sheet1'!$A$1:$G$96","'Sheet1'!$A$1:$H$96"}</definedName>
    <definedName name="dfgdgfhg" hidden="1">{"'Sheet1'!$A$1:$G$96","'Sheet1'!$A$1:$H$96"}</definedName>
    <definedName name="DFHFDHFDH" hidden="1">{#N/A,#N/A,FALSE,"Operations";#N/A,#N/A,FALSE,"Financials"}</definedName>
    <definedName name="dfhfh" hidden="1">#REF!</definedName>
    <definedName name="dfnhfjh" hidden="1">#REF!</definedName>
    <definedName name="DFRSFG" hidden="1">{"SPM1",#N/A,FALSE,"RIEP"}</definedName>
    <definedName name="dfsfdsfs" hidden="1">{0,0}</definedName>
    <definedName name="dgdfgdgfdg" hidden="1">{"hiden",#N/A,FALSE,"14";"hidden",#N/A,FALSE,"16";"hidden",#N/A,FALSE,"18";"hidden",#N/A,FALSE,"20"}</definedName>
    <definedName name="dgdfgfd" hidden="1">{"up stand alones",#N/A,FALSE,"Acquiror"}</definedName>
    <definedName name="dgdg" hidden="1">{#N/A,#N/A,FALSE,"Calc";#N/A,#N/A,FALSE,"Sensitivity";#N/A,#N/A,FALSE,"LT Earn.Dil.";#N/A,#N/A,FALSE,"Dil. AVP"}</definedName>
    <definedName name="dgdgdfg" hidden="1">{"away stand alones",#N/A,FALSE,"Target"}</definedName>
    <definedName name="dgdgdgfd" hidden="1">{#N/A,#N/A,FALSE,"Operations";#N/A,#N/A,FALSE,"Financials"}</definedName>
    <definedName name="dgdgdgfdg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gfdgfd" hidden="1">{"assumption cash",#N/A,TRUE,"Merger";"has gets cash",#N/A,TRUE,"Merger";"accretion dilution",#N/A,TRUE,"Merger";"comparison credit stats",#N/A,TRUE,"Merger";"pf credit stats",#N/A,TRUE,"Merger";"pf sheets",#N/A,TRUE,"Merger"}</definedName>
    <definedName name="dgdgss" hidden="1">{"consolidated",#N/A,FALSE,"Sheet1";"cms",#N/A,FALSE,"Sheet1";"fse",#N/A,FALSE,"Sheet1"}</definedName>
    <definedName name="dgdsgdsg" hidden="1">{"comps2",#N/A,FALSE,"AERO";"footnotes",#N/A,FALSE,"AERO"}</definedName>
    <definedName name="dgfdgfdg" hidden="1">{#N/A,#N/A,FALSE,"Calc";#N/A,#N/A,FALSE,"Sensitivity";#N/A,#N/A,FALSE,"LT Earn.Dil.";#N/A,#N/A,FALSE,"Dil. AVP"}</definedName>
    <definedName name="DGFIJ" hidden="1">#REF!</definedName>
    <definedName name="dgndhgn" hidden="1">#REF!</definedName>
    <definedName name="dgsg" hidden="1">{#N/A,#N/A,FALSE,"CNM BUDGET EVIAN";#N/A,#N/A,FALSE,"CNM BUDGET BA"}</definedName>
    <definedName name="dgsgdsfdsf" hidden="1">{0,0}</definedName>
    <definedName name="dgsry" hidden="1">#REF!</definedName>
    <definedName name="dhajdhakjhd" hidden="1">{#N/A,#N/A,FALSE,"EC COMM-c";#N/A,#N/A,FALSE,"EC PAR PDTS-c";#N/A,#N/A,FALSE,"EC MAT-c";#N/A,#N/A,FALSE,"SUIVI HAUSSES-c"}</definedName>
    <definedName name="dhajdhakjhd_1" hidden="1">{#N/A,#N/A,FALSE,"EC COMM-c";#N/A,#N/A,FALSE,"EC PAR PDTS-c";#N/A,#N/A,FALSE,"EC MAT-c";#N/A,#N/A,FALSE,"SUIVI HAUSSES-c"}</definedName>
    <definedName name="dhajdhakjhd_2" hidden="1">{#N/A,#N/A,FALSE,"EC COMM-c";#N/A,#N/A,FALSE,"EC PAR PDTS-c";#N/A,#N/A,FALSE,"EC MAT-c";#N/A,#N/A,FALSE,"SUIVI HAUSSES-c"}</definedName>
    <definedName name="dhajdhakjhd_3" hidden="1">{#N/A,#N/A,FALSE,"EC COMM-c";#N/A,#N/A,FALSE,"EC PAR PDTS-c";#N/A,#N/A,FALSE,"EC MAT-c";#N/A,#N/A,FALSE,"SUIVI HAUSSES-c"}</definedName>
    <definedName name="dhajdhakjhd_4" hidden="1">{#N/A,#N/A,FALSE,"EC COMM-c";#N/A,#N/A,FALSE,"EC PAR PDTS-c";#N/A,#N/A,FALSE,"EC MAT-c";#N/A,#N/A,FALSE,"SUIVI HAUSSES-c"}</definedName>
    <definedName name="dhajdhakjhd_5" hidden="1">{#N/A,#N/A,FALSE,"EC COMM-c";#N/A,#N/A,FALSE,"EC PAR PDTS-c";#N/A,#N/A,FALSE,"EC MAT-c";#N/A,#N/A,FALSE,"SUIVI HAUSSES-c"}</definedName>
    <definedName name="dhgndn" hidden="1">#REF!</definedName>
    <definedName name="Diable" hidden="1">{#N/A,#N/A,FALSE,"Operations";#N/A,#N/A,FALSE,"Financials"}</definedName>
    <definedName name="DIAL" hidden="1">#REF!</definedName>
    <definedName name="Discount" hidden="1">#N/A</definedName>
    <definedName name="display_area_2" hidden="1">#N/A</definedName>
    <definedName name="DME_BeforeCloseCompleted" hidden="1">"False"</definedName>
    <definedName name="DME_Dirty" hidden="1">"False"</definedName>
    <definedName name="DME_LocalFile" hidden="1">"True"</definedName>
    <definedName name="DP" hidden="1">{#N/A,#N/A,TRUE,"ANALYSE";#N/A,#N/A,TRUE,"PM VOLUME";#N/A,#N/A,TRUE,"PM VALEUR";#N/A,#N/A,TRUE,"AR1";#N/A,#N/A,TRUE,"AR2";#N/A,#N/A,TRUE,"RAF";#N/A,#N/A,TRUE,"BILAN";#N/A,#N/A,TRUE,"CASH FLOW";#N/A,#N/A,TRUE,"ETAT FI"}</definedName>
    <definedName name="DR" hidden="1">#REF!</definedName>
    <definedName name="drh" hidden="1">38841.6994675926</definedName>
    <definedName name="ds" hidden="1">{"'Sheet1'!$A$1:$G$96","'Sheet1'!$A$1:$H$96"}</definedName>
    <definedName name="dsds" hidden="1">{#N/A,#N/A,FALSE,"CNM BUDGET EVIAN";#N/A,#N/A,FALSE,"CNM BUDGET BA"}</definedName>
    <definedName name="dsf" hidden="1">{#N/A,#N/A,FALSE,"CNM BUDGET EVIAN";#N/A,#N/A,FALSE,"CNM BUDGET BA"}</definedName>
    <definedName name="DSFSDGFG" hidden="1">{"SPM1",#N/A,FALSE,"RIEP"}</definedName>
    <definedName name="dsg" hidden="1">{#N/A,#N/A,FALSE,"Calc";#N/A,#N/A,FALSE,"Sensitivity";#N/A,#N/A,FALSE,"LT Earn.Dil.";#N/A,#N/A,FALSE,"Dil. AVP"}</definedName>
    <definedName name="dsges" hidden="1">{"First Page",#N/A,FALSE,"Surfactants LBO";"Second Page",#N/A,FALSE,"Surfactants LBO"}</definedName>
    <definedName name="dshf" hidden="1">38792.5941435185</definedName>
    <definedName name="DSJFD" hidden="1">2</definedName>
    <definedName name="dthrrr" hidden="1">{"SPM1",#N/A,FALSE,"RIEP"}</definedName>
    <definedName name="dtu" hidden="1">{#N/A,#N/A,TRUE,"financial";#N/A,#N/A,TRUE,"plants"}</definedName>
    <definedName name="dwefwe" hidden="1">38785.5941203704</definedName>
    <definedName name="dxg" hidden="1">{#N/A,#N/A,FALSE,"CNM BUDGET EVIAN";#N/A,#N/A,FALSE,"CNM BUDGET BA"}</definedName>
    <definedName name="ECA" hidden="1">{#N/A,#N/A,FALSE,"ANALYSE";#N/A,#N/A,FALSE,"PM VALEUR"}</definedName>
    <definedName name="ECA_1" hidden="1">{#N/A,#N/A,FALSE,"ANALYSE";#N/A,#N/A,FALSE,"PM VALEUR"}</definedName>
    <definedName name="ECA_2" hidden="1">{#N/A,#N/A,FALSE,"ANALYSE";#N/A,#N/A,FALSE,"PM VALEUR"}</definedName>
    <definedName name="ECA_3" hidden="1">{#N/A,#N/A,FALSE,"ANALYSE";#N/A,#N/A,FALSE,"PM VALEUR"}</definedName>
    <definedName name="ECA_4" hidden="1">{#N/A,#N/A,FALSE,"ANALYSE";#N/A,#N/A,FALSE,"PM VALEUR"}</definedName>
    <definedName name="ECA_5" hidden="1">{#N/A,#N/A,FALSE,"ANALYSE";#N/A,#N/A,FALSE,"PM VALEUR"}</definedName>
    <definedName name="eçgçfdçb" hidden="1">#REF!</definedName>
    <definedName name="ed5dyx" hidden="1">{#N/A,#N/A,FALSE,"CBE";#N/A,#N/A,FALSE,"SWK"}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thf" hidden="1">{#N/A,#N/A,FALSE,"CARATULA";#N/A,#N/A,FALSE,"Indice";#N/A,#N/A,FALSE,"Cap 1";#N/A,#N/A,FALSE,"Cap 2";#N/A,#N/A,FALSE,"Cap 3";#N/A,#N/A,FALSE,"Cap 4";#N/A,#N/A,FALSE,"Cap 5";#N/A,#N/A,FALSE,"Cap 6";#N/A,#N/A,FALSE,"Cap 7";#N/A,#N/A,FALSE,"Cap 8";#N/A,#N/A,FALSE,"Cap 9";#N/A,#N/A,FALSE,"Cap 10";#N/A,#N/A,FALSE,"Cap 11";#N/A,#N/A,FALSE,"Cap 12";#N/A,#N/A,FALSE,"Cap 13";#N/A,#N/A,FALSE,"Cap 14";#N/A,#N/A,FALSE,"Cap 15 TBI Gall+Hesp";#N/A,#N/A,FALSE,"Cap 15 TBI Choc";#N/A,#N/A,FALSE,"Cap 15 TBI DLeche";#N/A,#N/A,FALSE,"Cap 16";#N/A,#N/A,FALSE,"Cap 17";#N/A,#N/A,FALSE,"Cap 18";#N/A,#N/A,FALSE,"Cap 19";#N/A,#N/A,FALSE,"Cap 20";#N/A,#N/A,FALSE,"Cap 21";#N/A,#N/A,FALSE,"Cap 22";#N/A,#N/A,FALSE,"Cap 23";#N/A,#N/A,FALSE,"Cap 24"}</definedName>
    <definedName name="ee" hidden="1">{#N/A,#N/A,FALSE,"BUDGETSUEDWEST "}</definedName>
    <definedName name="ee_1" hidden="1">{#N/A,#N/A,FALSE,"BUDGETSUEDWEST "}</definedName>
    <definedName name="ee_2" hidden="1">{#N/A,#N/A,FALSE,"BUDGETSUEDWEST "}</definedName>
    <definedName name="ee_3" hidden="1">{#N/A,#N/A,FALSE,"BUDGETSUEDWEST "}</definedName>
    <definedName name="ee_4" hidden="1">{#N/A,#N/A,FALSE,"BUDGETSUEDWEST "}</definedName>
    <definedName name="ee_5" hidden="1">{#N/A,#N/A,FALSE,"BUDGETSUEDWEST "}</definedName>
    <definedName name="eee" hidden="1">{"original",#N/A,TRUE,"flashcaneurope";"expeur",#N/A,TRUE,"EXPEUR";"ventesloceur",#N/A,TRUE,"VENTESLOCEUR";"candib",#N/A,TRUE,"flashcandib";"expedib",#N/A,TRUE,"EXPEDIB";"venteslocdib",#N/A,TRUE,"venteslocdib"}</definedName>
    <definedName name="eee_1" hidden="1">{"original",#N/A,TRUE,"flashcaneurope";"expeur",#N/A,TRUE,"EXPEUR";"ventesloceur",#N/A,TRUE,"VENTESLOCEUR";"candib",#N/A,TRUE,"flashcandib";"expedib",#N/A,TRUE,"EXPEDIB";"venteslocdib",#N/A,TRUE,"venteslocdib"}</definedName>
    <definedName name="eee_2" hidden="1">{"original",#N/A,TRUE,"flashcaneurope";"expeur",#N/A,TRUE,"EXPEUR";"ventesloceur",#N/A,TRUE,"VENTESLOCEUR";"candib",#N/A,TRUE,"flashcandib";"expedib",#N/A,TRUE,"EXPEDIB";"venteslocdib",#N/A,TRUE,"venteslocdib"}</definedName>
    <definedName name="eee_3" hidden="1">{"original",#N/A,TRUE,"flashcaneurope";"expeur",#N/A,TRUE,"EXPEUR";"ventesloceur",#N/A,TRUE,"VENTESLOCEUR";"candib",#N/A,TRUE,"flashcandib";"expedib",#N/A,TRUE,"EXPEDIB";"venteslocdib",#N/A,TRUE,"venteslocdib"}</definedName>
    <definedName name="eee_4" hidden="1">{"original",#N/A,TRUE,"flashcaneurope";"expeur",#N/A,TRUE,"EXPEUR";"ventesloceur",#N/A,TRUE,"VENTESLOCEUR";"candib",#N/A,TRUE,"flashcandib";"expedib",#N/A,TRUE,"EXPEDIB";"venteslocdib",#N/A,TRUE,"venteslocdib"}</definedName>
    <definedName name="eee_5" hidden="1">{"original",#N/A,TRUE,"flashcaneurope";"expeur",#N/A,TRUE,"EXPEUR";"ventesloceur",#N/A,TRUE,"VENTESLOCEUR";"candib",#N/A,TRUE,"flashcandib";"expedib",#N/A,TRUE,"EXPEDIB";"venteslocdib",#N/A,TRUE,"venteslocdib"}</definedName>
    <definedName name="eeee" hidden="1">{#N/A,#N/A,FALSE,"Calc";#N/A,#N/A,FALSE,"Sensitivity";#N/A,#N/A,FALSE,"LT Earn.Dil.";#N/A,#N/A,FALSE,"Dil. AVP"}</definedName>
    <definedName name="eeeeee" hidden="1">{#N/A,#N/A,TRUE,"ANALYSE";#N/A,#N/A,TRUE,"PM VOLUME";#N/A,#N/A,TRUE,"PM VALEUR";#N/A,#N/A,TRUE,"AR1";#N/A,#N/A,TRUE,"AR2";#N/A,#N/A,TRUE,"RAF";#N/A,#N/A,TRUE,"BILAN";#N/A,#N/A,TRUE,"CASH FLOW";#N/A,#N/A,TRUE,"ETAT FI"}</definedName>
    <definedName name="eeeeee_1" hidden="1">{#N/A,#N/A,TRUE,"ANALYSE";#N/A,#N/A,TRUE,"PM VOLUME";#N/A,#N/A,TRUE,"PM VALEUR";#N/A,#N/A,TRUE,"AR1";#N/A,#N/A,TRUE,"AR2";#N/A,#N/A,TRUE,"RAF";#N/A,#N/A,TRUE,"BILAN";#N/A,#N/A,TRUE,"CASH FLOW";#N/A,#N/A,TRUE,"ETAT FI"}</definedName>
    <definedName name="eeeeee_2" hidden="1">{#N/A,#N/A,TRUE,"ANALYSE";#N/A,#N/A,TRUE,"PM VOLUME";#N/A,#N/A,TRUE,"PM VALEUR";#N/A,#N/A,TRUE,"AR1";#N/A,#N/A,TRUE,"AR2";#N/A,#N/A,TRUE,"RAF";#N/A,#N/A,TRUE,"BILAN";#N/A,#N/A,TRUE,"CASH FLOW";#N/A,#N/A,TRUE,"ETAT FI"}</definedName>
    <definedName name="eeeeee_3" hidden="1">{#N/A,#N/A,TRUE,"ANALYSE";#N/A,#N/A,TRUE,"PM VOLUME";#N/A,#N/A,TRUE,"PM VALEUR";#N/A,#N/A,TRUE,"AR1";#N/A,#N/A,TRUE,"AR2";#N/A,#N/A,TRUE,"RAF";#N/A,#N/A,TRUE,"BILAN";#N/A,#N/A,TRUE,"CASH FLOW";#N/A,#N/A,TRUE,"ETAT FI"}</definedName>
    <definedName name="eeeeee_4" hidden="1">{#N/A,#N/A,TRUE,"ANALYSE";#N/A,#N/A,TRUE,"PM VOLUME";#N/A,#N/A,TRUE,"PM VALEUR";#N/A,#N/A,TRUE,"AR1";#N/A,#N/A,TRUE,"AR2";#N/A,#N/A,TRUE,"RAF";#N/A,#N/A,TRUE,"BILAN";#N/A,#N/A,TRUE,"CASH FLOW";#N/A,#N/A,TRUE,"ETAT FI"}</definedName>
    <definedName name="eeeeee_5" hidden="1">{#N/A,#N/A,TRUE,"ANALYSE";#N/A,#N/A,TRUE,"PM VOLUME";#N/A,#N/A,TRUE,"PM VALEUR";#N/A,#N/A,TRUE,"AR1";#N/A,#N/A,TRUE,"AR2";#N/A,#N/A,TRUE,"RAF";#N/A,#N/A,TRUE,"BILAN";#N/A,#N/A,TRUE,"CASH FLOW";#N/A,#N/A,TRUE,"ETAT FI"}</definedName>
    <definedName name="eeeeeeeeeeee" hidden="1">{#N/A,#N/A,TRUE,"SYNTHESE-t";#N/A,#N/A,TRUE,"PUB-t";#N/A,#N/A,TRUE,"OP CONSO-t";#N/A,#N/A,TRUE,"REFERENCTS-t";#N/A,#N/A,TRUE,"ETUDES MKG-t";#N/A,#N/A,TRUE,"PACKAGING-t";#N/A,#N/A,TRUE,"DIR COM-t";#N/A,#N/A,TRUE,"MEDIA-t"}</definedName>
    <definedName name="EERYREYREYERY" hidden="1">{"up stand alones",#N/A,FALSE,"Acquiror"}</definedName>
    <definedName name="efgwe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ehrtjdrttr" hidden="1">{#N/A,#N/A,TRUE,"SYNTHESE-t";#N/A,#N/A,TRUE,"PUB-t";#N/A,#N/A,TRUE,"OP CONSO-t";#N/A,#N/A,TRUE,"REFERENCTS-t";#N/A,#N/A,TRUE,"ETUDES MKG-t";#N/A,#N/A,TRUE,"PACKAGING-t";#N/A,#N/A,TRUE,"DIR COM-t";#N/A,#N/A,TRUE,"MEDIA-t"}</definedName>
    <definedName name="ei" hidden="1">{"index",#N/A,FALSE,"DRS";"a_1",#N/A,FALSE,"DRS";"a_2",#N/A,FALSE,"DRS";"b_1",#N/A,FALSE,"DRS";"b_2.b_3",#N/A,FALSE,"DRS";"b_4.b_5.b_6",#N/A,FALSE,"DRS";"b_7.b_8",#N/A,FALSE,"DRS";"b_9",#N/A,FALSE,"DRS";"b_10.b_11",#N/A,FALSE,"DRS";"b_12.b_13",#N/A,FALSE,"DRS";"b_14",#N/A,FALSE,"DRS";"b_15.b_16",#N/A,FALSE,"DRS";"b_17",#N/A,FALSE,"DRS";"b_18",#N/A,FALSE,"DRS";"c_1.c_2",#N/A,FALSE,"DRS";"d_1",#N/A,FALSE,"DRS";"e_1",#N/A,FALSE,"DRS"}</definedName>
    <definedName name="eihjg" hidden="1">{"capacity",#N/A,FALSE,"Xian";"Volume",#N/A,FALSE,"Xian"}</definedName>
    <definedName name="emil1" hidden="1">{#N/A,#N/A,FALSE,"Calc";#N/A,#N/A,FALSE,"Sensitivity";#N/A,#N/A,FALSE,"LT Earn.Dil.";#N/A,#N/A,FALSE,"Dil. AVP"}</definedName>
    <definedName name="emily" hidden="1">{#N/A,#N/A,FALSE,"Calc";#N/A,#N/A,FALSE,"Sensitivity";#N/A,#N/A,FALSE,"LT Earn.Dil.";#N/A,#N/A,FALSE,"Dil. AVP"}</definedName>
    <definedName name="emily1" hidden="1">{#N/A,#N/A,FALSE,"Calc";#N/A,#N/A,FALSE,"Sensitivity";#N/A,#N/A,FALSE,"LT Earn.Dil.";#N/A,#N/A,FALSE,"Dil. AVP"}</definedName>
    <definedName name="emily10" hidden="1">{#N/A,#N/A,FALSE,"Calc";#N/A,#N/A,FALSE,"Sensitivity";#N/A,#N/A,FALSE,"LT Earn.Dil.";#N/A,#N/A,FALSE,"Dil. AVP"}</definedName>
    <definedName name="emily100" hidden="1">{#N/A,#N/A,FALSE,"Calc";#N/A,#N/A,FALSE,"Sensitivity";#N/A,#N/A,FALSE,"LT Earn.Dil.";#N/A,#N/A,FALSE,"Dil. AVP"}</definedName>
    <definedName name="EPMWorkbookOptions_1" hidden="1">"dgEAAB+LCAAAAAAABADtvQdgHEmWJSYvbcp7f0r1StfgdKEIgGATJNiQQBDswYjN5pLsHWlHIymrKoHKZVZlXWYWQMztnbz33nvvvffee++997o7nU4n99//P1xmZAFs9s5K2smeIYCqyB8/fnwfPyIe/x7vFmV6mddNUS0/+2h3vPNRmi+n1axYXnz20bo939799KPf4+g3Th5/t6rfTqrq7Zerlpo2Kb23bB69a4rPPpq37erR3btXV1fj"</definedName>
    <definedName name="EPMWorkbookOptions_1_1" hidden="1">"aS4AAB+LCAAAAAAABADtWm1v2joU/j5p/wHlO3nhvRVlCiEdnaCgJHSbqiky4QDWQpI5prT//jqBQAJpL1SZbsNFokDtx8fnPH5snxg3vzwv7MITEB+7zg0n8SJXAMdyJ9iZ3XBLOi1KNe5L6/On5neX/B677u+BRxnUL7B2jn/97E9uuDml3rUgrFYrflXmXTITSqIoCT/6Pd2awwJxWzD+d3AROz5FjgUc67VQaCqu44AV9Gm4ypIQcOgD"</definedName>
    <definedName name="EPMWorkbookOptions_2" hidden="1">"q3vjqr64u7ezs3v39/7i+evpPF9k28WyabPlNP/IvjW7+a2PqNc0ffwqP6/zZv7l8stVvjw6z8omf3w3/JDbnZR5Vj/N2uzL5evsMjctux9zWzOWl3XV5tM2n5nW/S/C9lez9K58dNb8ZFYX2aTMv8jrCweh9zmRzoJV2h39P45h/1l2AQAA"</definedName>
    <definedName name="EPMWorkbookOptions_2_1" hidden="1">"hlVYmajuIIo2paz8Hi1g3e22SwoLb0lw2OfIBzIkMAVmzwKehcG1zNth32wPlb4uieZj5CdMrPFV5YqfkoXr8BPkAL0WfOQJY88SfpmPnXb/3uyoD+xrG41f2McU2T5sP5tC4MrOMdnzbGyhGIlHOxjZSFqJFW/ibgWO7PW7JmvHX0F4taqLJxNwOngBTqAKPwFMQregB+zjMbYxfdlDM/wWNHLwnyWEbsmWtXYyrfLAwtqjFiVLaAqbf/ac"</definedName>
    <definedName name="EPMWorkbookOptions_3_1" hidden="1">"Ek7yKpMYFERh5pJ8BxHMGp1Y+Y4BKMJ2rkNQHcqwuQ5B82hgJtcx6GbuVyWDleU6gL4q6yNN1f+bIBLgN3fCeLC7nfpgt9Tn7q5TxbVdsvE1peKtpmH0KS1TWAkbssSIwjO9RU8uwZT5FaYj68YHdXvtu3g2t9kf1cFmyRVMuhgIItYc7+y8iTnCn1tMfBoLKL1+z9A26tcJPxaVRWISt7EeQZYuV0Wp3JBiBtLGNmw7IBMgLbEprL+kWvc9"</definedName>
    <definedName name="EPMWorkbookOptions_4" hidden="1">"sCNwpqq3JbRAi+4tCsI7ZqoeZmNh7p/fw3xldv+QZfYQ7lam/7fJVXUJDCL8drxWOU6scdzhUuUvT6qqYmtfDfPbQqeq3VUez12kp2Xjump3pXnEqp3eqlnYO3rRCoIkiaJ4+KItX96ibSi2YplqptKv/9v1ukHE+a/TkxFhds6dio9TsjREAnL8bUalynO1WvXwiiVcXsXS2nbLXmyrmiNUyjx37go9FRkSL1ZurmRMybCNjjO3nDkfH6d8"</definedName>
    <definedName name="EPMWorkbookOptions_4_1" hidden="1">"G70MiesBYUqVqrXqFMbTYrU2qRQrpelVsVEFKIoISpXJuF6pj8tBz8lWKYZ7yN8OXB8WY/YAkAJLijwVwCDr9jGaHmVFacvtn7/4x67E3jSxbrA8+AD3ir1ISC87aIE9Olw72L7hAsFwe8nr20N6XNvEvE9jTDiGstio/zWFnpZ2pklUFCsNUTxeodL5KVSRDfXrQNtKVFaMkdwzNXV4EWqqm+8Q6kmPFik6LZer1UqlcrxOS+en045syLqm"</definedName>
    <definedName name="EPMWorkbookOptions_5" hidden="1">"tRBRo//yJ6lSEYRf+JckXl75arVtem8x12hLdWzDvuozN80j9GnGZJrqOz5yki5PoWbHVrummWn0Ub3qMzfNI/RpOX/gqWjl8iRKedx4KNpwbjj6uko1N80jpGpT2zuKtHp5IrVbupbJs8yV+ZKumOeuz5Nx0dDOfls5ERfclYsVLtrG05WL+RppavfnzsXH2c90TbG69JbhHfe02uXtaRmLVKL0/c1uXAX6K6C1bPJBMpt3JGfNmsFptO1j"</definedName>
    <definedName name="EPMWorkbookOptions_5_1" hidden="1">"RDL92su7PDMiQhlouZ+pWVEh552ID7RknXCSkLJi1eqS2GjUj1+xyme4YqmGfNeLxNk2jYHBNlZFuYg01c13iPSUs6L09K9WK5dPyP8q56dS9d64M7bZn2rq3+8MpZt3jWbFhlgSJfFCxoaMRvVCxpoMYzA0NyU55+PjrOYnHZtncuBUPb/lXBsaykjTIp32LtlGupvv0OcpP4lkIs/a+cmTcRg7Dm2bLAUT/7dbSpIMZRQ8IeSdi48zXY//"</definedName>
    <definedName name="EPMWorkbookOptions_6" hidden="1">"S6vG7aNOsgl9DMnQQEYMKDuEsm5McWoILp4GNZDlvizOzGyaU2x2povKkqQ0ZujthnX8xJ/PmtxKnlwcuL0QdMCDZYQt++dPy7DzM2T1nwl28Rh+JgAA"</definedName>
    <definedName name="EPMWorkbookOptions_6_1" hidden="1">"+S+TyVo/v8lq3PXVSJ0lUWzw3+T7vOszGy6kGt+XtQsXIRfVCxdbLup8R819ypWZLr6Ncn9K/3H2s9Nug2SypzXOb0+LWGQSZa+fRuci0FNACW/SQU0h7UpuojSCM2uHl5bjhYcXnZsaTAn484Ez8MCJruAkC0OcYgMigdGBo6MniJD7xSE2utHNZElDGiP0YUWIv/MfEMFobEMfyGwHPyj//GlnY3NdvPUPXkjLPmkuAAA="</definedName>
    <definedName name="EPMWorkbookOptions_7" hidden="1">"kgEN8lB5omi5WJhoAQ0toKEFNB8soEmwDKRylsptBQ32Y1H1j/2q3CD+CjAlOKo5qSjKzjsgH87FpxU0NPv8fTQGPVnhGqSjkR2X/Wg+Ma2eofnENI2WgDRamvhP0wNpGu2ZYKjSRNu3EI5HdtavD6ZL0iqA03TJsTQWSTfQtLCgqaNviUlE6mgOk5tp6uin2WfSe6JUTDSH2c0Yx8j7w/Tvk9As54wZaSRr8YJms9LM3lMsKizNfg+w4Khd"</definedName>
    <definedName name="EPMWorkbookOptions_8" hidden="1">"BD7SLOOjAfkXKNmJaDTPOUJI85x3/TnLcz5uPP0IgbYMFgg4S8mS1sDyM3LCjR6dYAIdbZlKlqI/AZ8y2uzR+p+VgM3S9WD0qU87PPqBc6sjqM9MMALo8UB+0v7924HH/oMYOv8BVeWUR8NhAAA="</definedName>
    <definedName name="er" hidden="1">#REF!</definedName>
    <definedName name="ererer" hidden="1">#REF!</definedName>
    <definedName name="erhrt" hidden="1">#REF!</definedName>
    <definedName name="ERT" hidden="1">{"index",#N/A,FALSE,"DRS";"a_1",#N/A,FALSE,"DRS";"a_2",#N/A,FALSE,"DRS";"b_1",#N/A,FALSE,"DRS";"b_2.b_3",#N/A,FALSE,"DRS";"b_4.b_5.b_6",#N/A,FALSE,"DRS";"b_7.b_8",#N/A,FALSE,"DRS";"b_9",#N/A,FALSE,"DRS";"b_10.b_11",#N/A,FALSE,"DRS";"b_12.b_13",#N/A,FALSE,"DRS";"b_14",#N/A,FALSE,"DRS";"b_15.b_16",#N/A,FALSE,"DRS";"b_17",#N/A,FALSE,"DRS";"b_18",#N/A,FALSE,"DRS";"c_1.c_2",#N/A,FALSE,"DRS";"d_1",#N/A,FALSE,"DRS";"e_1",#N/A,FALSE,"DRS"}</definedName>
    <definedName name="ertr" hidden="1">{#N/A,#N/A,TRUE,"financial";#N/A,#N/A,TRUE,"plants"}</definedName>
    <definedName name="ERTY" hidden="1">#REF!</definedName>
    <definedName name="erywrt" hidden="1">#REF!</definedName>
    <definedName name="ESD" hidden="1">{#N/A,#N/A,TRUE,"financial";#N/A,#N/A,TRUE,"plants"}</definedName>
    <definedName name="ess" hidden="1">{#N/A,#N/A,FALSE,"Planning";#N/A,#N/A,FALSE,"Réalisé";#N/A,#N/A,FALSE,"Suivi"}</definedName>
    <definedName name="et4t4" hidden="1">{"Volume",#N/A,FALSE,"Guangzhou";"capacity",#N/A,FALSE,"Guangzhou"}</definedName>
    <definedName name="etet" hidden="1">{#N/A,#N/A,FALSE,"Calc";#N/A,#N/A,FALSE,"Sensitivity";#N/A,#N/A,FALSE,"LT Earn.Dil.";#N/A,#N/A,FALSE,"Dil. AVP"}</definedName>
    <definedName name="etgs" hidden="1">{"capacity",#N/A,FALSE,"Xian";"Volume",#N/A,FALSE,"Xian"}</definedName>
    <definedName name="etrtrerrr" hidden="1">{#N/A,#N/A,FALSE,"ACTIVITE-c";#N/A,#N/A,FALSE,"RESEAU-c";#N/A,#N/A,FALSE,"BASE-c"}</definedName>
    <definedName name="EV__ALLOWSTOPEXPAND__" hidden="1">1</definedName>
    <definedName name="EV__CVPARAMS__" hidden="1">"Any by Any!$B$17:$C$38;"</definedName>
    <definedName name="EV__DECIMALSYMBOL__" hidden="1">","</definedName>
    <definedName name="EV__EVCOM_OPTIONS__" hidden="1">10</definedName>
    <definedName name="EV__EXPOPTIONS__" hidden="1">0</definedName>
    <definedName name="EV__LASTREFTIME__" hidden="1">39756.910787037</definedName>
    <definedName name="EV__LEVEL__" hidden="1">2</definedName>
    <definedName name="EV__LOCKEDCVW__ACCESS" hidden="1">"A.Valid,BUDGET,GL,CLINICAL,E_01001,EURO_CR,2005.NOV,PERIODIC,"</definedName>
    <definedName name="EV__LOCKEDCVW__BABY" hidden="1">"A.70104,ACTUAL,CORP,TOP_ENTITY,EURO_CR,P_10000,2003.TOTAL,YTD,"</definedName>
    <definedName name="EV__LOCKEDCVW__CAPEX" hidden="1">"AC.Total,ACTUAL,C_TOT,CORP,UNIT,TOP_ENTITY,EURO_CR,TOT_PROJECT,2003.TOTAL,YTD,"</definedName>
    <definedName name="EV__LOCKEDCVW__CLINICAL" hidden="1">"A.70104,ACTUAL,CORP,CD_1121,EURO_CR,P_20000,2003.TOTAL,YTD,"</definedName>
    <definedName name="EV__LOCKEDCVW__CSR" hidden="1">"E,ACTUAL,CORP,TOP_ENTITY,EURO_CR,TOT,2003.TOTAL,YTD,"</definedName>
    <definedName name="EV__LOCKEDCVW__FINANCE" hidden="1">"VAL_FIN_130,D_90000,BUDGET,GL,E_03200,IC_TOT,LC,2009.OCT,YTD,"</definedName>
    <definedName name="EV__LOCKEDCVW__FINANCIALS" hidden="1">"A.12100MD,ACTUAL_AR,C_TOP,LC,LOC_MGT,DIV_TOP,E_13100,IC_TOT,F_ALLFLOWS,2004.Q3,YTD,"</definedName>
    <definedName name="EV__LOCKEDCVW__INTCO" hidden="1">"IC_PLBS,ACTUAL,TOP_ENTITY,TRANS_ALL,IC_TOT,F_TOP,2003.TOTAL,YTD,"</definedName>
    <definedName name="EV__LOCKEDCVW__INTERCO" hidden="1">"A.12100MD,TOP_ENTITY,ROUND_1,NOROL,IC_TOT,F_ALLFLOWS,2002.TOTAL,YTD,"</definedName>
    <definedName name="EV__LOCKEDCVW__LEGAL" hidden="1">"A.63001,ACTUAL,LC,CORP,F_All,TOP_ENTITY,IC_TOT,CR,2003.TOTAL,YTD,"</definedName>
    <definedName name="EV__LOCKEDCVW__MEDICAL" hidden="1">"R07T,ACTUAL,GL,E_03200,LC,P_20000,2010.DEC,YTD,"</definedName>
    <definedName name="EV__LOCKEDCVW__MGMT" hidden="1">"A.80000,ACTUAL,C_TOP,CORP,CLINICAL,CD_CS,EURO_CR,2005.TOTAL,YTD,"</definedName>
    <definedName name="EV__LOCKEDCVW__OPERATIONS" hidden="1">"A.60000,ACTUAL,C_TOP,CORP,LEGAL,TOP_ENTITY,EURO_CR,2003.TOTAL,YTD,"</definedName>
    <definedName name="EV__LOCKEDCVW__RATE" hidden="1">"ACTUAL,Default,AED,AVG,EURO_NR,2003.TOTAL,YTD,"</definedName>
    <definedName name="EV__LOCKEDCVW__RATE_LEGAL" hidden="1">"ACTUAL,Default,AED,AVG,2003.TOTAL,YTD,"</definedName>
    <definedName name="EV__LOCKEDCVW__RD" hidden="1">"A.60000,ACTUAL,C_TOP,CORP,LEGAL,TOP_ENTITY,EURO_CR,2003.TOTAL,YTD,"</definedName>
    <definedName name="EV__LOCKEDCVW__TAX" hidden="1">"A.12100MD,ACTUAL_AR,LC,CORP_LEGAL,TOP_ENTITY,F_ALLFLOWS,2002.TOTAL,YTD,"</definedName>
    <definedName name="EV__LOCKEDCVW__TREASURY" hidden="1">"A.Valid,B_Total,ACTUAL,TOP_ENTITY,TRANS_ALL,2003.TOTAL,TR_90000,YTD,"</definedName>
    <definedName name="EV__LOCKEDCVW__ZEA" hidden="1">"A.Valid,ACTUAL,TOP_ENTITY,S_Dummy,2003.TOTAL,YTD,"</definedName>
    <definedName name="EV__LOCKSTATUS__" hidden="1">1</definedName>
    <definedName name="EV__MAXEXPCOLS__" hidden="1">100</definedName>
    <definedName name="EV__MAXEXPCOLS___1" hidden="1">255</definedName>
    <definedName name="EV__MAXEXPROWS__" hidden="1">1000</definedName>
    <definedName name="EV__MAXEXPROWS___1" hidden="1">65535</definedName>
    <definedName name="EV__MAXRATE__" hidden="1">0.200000002980232</definedName>
    <definedName name="EV__MAXREQ__" hidden="1">500</definedName>
    <definedName name="EV__MAXTUPLE__" hidden="1">1000</definedName>
    <definedName name="EV__MEMORYCVW__" hidden="1">0</definedName>
    <definedName name="EV__USERCHANGEOPTIONS__" hidden="1">1</definedName>
    <definedName name="EV__USERCHANGEOPTIONS___1" hidden="1">0</definedName>
    <definedName name="EV__WBEVMODE__" hidden="1">0</definedName>
    <definedName name="EV__WBREFOPTIONS__" hidden="1">134217728</definedName>
    <definedName name="EV__WBREFOPTIONS___1" hidden="1">0</definedName>
    <definedName name="EV__WBVERSION__" hidden="1">0</definedName>
    <definedName name="EV__WSINFO__" hidden="1">"usher22"</definedName>
    <definedName name="EV_LASTREFTIME_" hidden="1">"14/04/2010 16:03:38"</definedName>
    <definedName name="ev_lastreftimebaby" hidden="1">38750.7654976852</definedName>
    <definedName name="EVDRE_INPUT_A21" hidden="1">0</definedName>
    <definedName name="evlastreftime" hidden="1">39393.5176273148</definedName>
    <definedName name="ewwe" hidden="1">{#N/A,#N/A,TRUE,"ANALYSE";#N/A,#N/A,TRUE,"PM VOLUME";#N/A,#N/A,TRUE,"PM VALEUR";#N/A,#N/A,TRUE,"AR1";#N/A,#N/A,TRUE,"AR2";#N/A,#N/A,TRUE,"RAF";#N/A,#N/A,TRUE,"BILAN";#N/A,#N/A,TRUE,"CASH FLOW";#N/A,#N/A,TRUE,"ETAT FI"}</definedName>
    <definedName name="ewwe_1" hidden="1">{#N/A,#N/A,TRUE,"ANALYSE";#N/A,#N/A,TRUE,"PM VOLUME";#N/A,#N/A,TRUE,"PM VALEUR";#N/A,#N/A,TRUE,"AR1";#N/A,#N/A,TRUE,"AR2";#N/A,#N/A,TRUE,"RAF";#N/A,#N/A,TRUE,"BILAN";#N/A,#N/A,TRUE,"CASH FLOW";#N/A,#N/A,TRUE,"ETAT FI"}</definedName>
    <definedName name="ewwe_2" hidden="1">{#N/A,#N/A,TRUE,"ANALYSE";#N/A,#N/A,TRUE,"PM VOLUME";#N/A,#N/A,TRUE,"PM VALEUR";#N/A,#N/A,TRUE,"AR1";#N/A,#N/A,TRUE,"AR2";#N/A,#N/A,TRUE,"RAF";#N/A,#N/A,TRUE,"BILAN";#N/A,#N/A,TRUE,"CASH FLOW";#N/A,#N/A,TRUE,"ETAT FI"}</definedName>
    <definedName name="ewwe_3" hidden="1">{#N/A,#N/A,TRUE,"ANALYSE";#N/A,#N/A,TRUE,"PM VOLUME";#N/A,#N/A,TRUE,"PM VALEUR";#N/A,#N/A,TRUE,"AR1";#N/A,#N/A,TRUE,"AR2";#N/A,#N/A,TRUE,"RAF";#N/A,#N/A,TRUE,"BILAN";#N/A,#N/A,TRUE,"CASH FLOW";#N/A,#N/A,TRUE,"ETAT FI"}</definedName>
    <definedName name="ewwe_4" hidden="1">{#N/A,#N/A,TRUE,"ANALYSE";#N/A,#N/A,TRUE,"PM VOLUME";#N/A,#N/A,TRUE,"PM VALEUR";#N/A,#N/A,TRUE,"AR1";#N/A,#N/A,TRUE,"AR2";#N/A,#N/A,TRUE,"RAF";#N/A,#N/A,TRUE,"BILAN";#N/A,#N/A,TRUE,"CASH FLOW";#N/A,#N/A,TRUE,"ETAT FI"}</definedName>
    <definedName name="ewwe_5" hidden="1">{#N/A,#N/A,TRUE,"ANALYSE";#N/A,#N/A,TRUE,"PM VOLUME";#N/A,#N/A,TRUE,"PM VALEUR";#N/A,#N/A,TRUE,"AR1";#N/A,#N/A,TRUE,"AR2";#N/A,#N/A,TRUE,"RAF";#N/A,#N/A,TRUE,"BILAN";#N/A,#N/A,TRUE,"CASH FLOW";#N/A,#N/A,TRUE,"ETAT FI"}</definedName>
    <definedName name="ExactAddinConnection" hidden="1">"002"</definedName>
    <definedName name="ExactAddinConnection.001" hidden="1">"NLWTC1AP02;001;jflaman;1"</definedName>
    <definedName name="ExactAddinConnection.002" hidden="1">"CPNT01;002;mengtalekk;1"</definedName>
    <definedName name="ExactAddinConnection.003" hidden="1">"CPNT01;003;mengtalekk;1"</definedName>
    <definedName name="ExactAddinConnection.118" hidden="1">"WAEDU2B002;001;hiladoca;1"</definedName>
    <definedName name="ExactAddinReports" hidden="1">2</definedName>
    <definedName name="ext" hidden="1">#REF!</definedName>
    <definedName name="eyr" hidden="1">{"hiden",#N/A,FALSE,"14";"hidden",#N/A,FALSE,"16";"hidden",#N/A,FALSE,"18";"hidden",#N/A,FALSE,"20"}</definedName>
    <definedName name="ezrtezr" hidden="1">#REF!</definedName>
    <definedName name="ezrtrezt" hidden="1">#REF!</definedName>
    <definedName name="eztezrt" hidden="1">#REF!</definedName>
    <definedName name="Farol_bg" hidden="1">#N/A</definedName>
    <definedName name="fcfv" hidden="1">255</definedName>
    <definedName name="FCode" hidden="1">#N/A</definedName>
    <definedName name="fd" hidden="1">{#N/A,#N/A,FALSE,"CNM BUDGET EVIAN";#N/A,#N/A,FALSE,"CNM BUDGET BA"}</definedName>
    <definedName name="fdd" hidden="1">{#N/A,#N/A,FALSE,"CARATULA";#N/A,#N/A,FALSE,"Indice";#N/A,#N/A,FALSE,"Cap 1";#N/A,#N/A,FALSE,"Cap 2";#N/A,#N/A,FALSE,"Cap 3";#N/A,#N/A,FALSE,"Cap 4";#N/A,#N/A,FALSE,"Cap 5";#N/A,#N/A,FALSE,"Cap 6";#N/A,#N/A,FALSE,"Cap 7";#N/A,#N/A,FALSE,"Cap 8";#N/A,#N/A,FALSE,"Cap 9";#N/A,#N/A,FALSE,"Cap 10";#N/A,#N/A,FALSE,"Cap 11";#N/A,#N/A,FALSE,"Cap 12";#N/A,#N/A,FALSE,"Cap 13";#N/A,#N/A,FALSE,"Cap 14";#N/A,#N/A,FALSE,"Cap 15 TBI Gall+Hesp";#N/A,#N/A,FALSE,"Cap 15 TBI Choc";#N/A,#N/A,FALSE,"Cap 15 TBI DLeche";#N/A,#N/A,FALSE,"Cap 16";#N/A,#N/A,FALSE,"Cap 17";#N/A,#N/A,FALSE,"Cap 18";#N/A,#N/A,FALSE,"Cap 19";#N/A,#N/A,FALSE,"Cap 20";#N/A,#N/A,FALSE,"Cap 21";#N/A,#N/A,FALSE,"Cap 22";#N/A,#N/A,FALSE,"Cap 23";#N/A,#N/A,FALSE,"Cap 24"}</definedName>
    <definedName name="FDDSFDSGF" hidden="1">{#N/A,#N/A,FALSE,"RIEP"}</definedName>
    <definedName name="fdf" hidden="1">38811.5590162037</definedName>
    <definedName name="fdfgdgdfgfdg" hidden="1">{"comp",#N/A,FALSE,"SPEC";"footnotes",#N/A,FALSE,"SPEC"}</definedName>
    <definedName name="fdg" hidden="1">{#N/A,#N/A,FALSE,"CNM BUDGET EVIAN";#N/A,#N/A,FALSE,"CNM BUDGET BA"}</definedName>
    <definedName name="fdhfdh" hidden="1">{"First Page",#N/A,FALSE,"Surfactants LBO";"Second Page",#N/A,FALSE,"Surfactants LBO"}</definedName>
    <definedName name="FDHFDHHG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fghfdh" hidden="1">{"First Page",#N/A,FALSE,"Surfactants LBO";"Second Page",#N/A,FALSE,"Surfactants LBO"}</definedName>
    <definedName name="fdhhfhfgh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sf" hidden="1">{"general",#N/A,FALSE,"Assumptions"}</definedName>
    <definedName name="fdsf2" hidden="1">{"general",#N/A,FALSE,"Assumptions"}</definedName>
    <definedName name="FERGEHTR" hidden="1">{#N/A,#N/A,FALSE,"CNM BUDGET EVIAN";#N/A,#N/A,FALSE,"CNM BUDGET BA"}</definedName>
    <definedName name="FERGEHTR_1" hidden="1">{#N/A,#N/A,FALSE,"CNM BUDGET EVIAN";#N/A,#N/A,FALSE,"CNM BUDGET BA"}</definedName>
    <definedName name="FERGEHTR_2" hidden="1">{#N/A,#N/A,FALSE,"CNM BUDGET EVIAN";#N/A,#N/A,FALSE,"CNM BUDGET BA"}</definedName>
    <definedName name="FERGEHTR_3" hidden="1">{#N/A,#N/A,FALSE,"CNM BUDGET EVIAN";#N/A,#N/A,FALSE,"CNM BUDGET BA"}</definedName>
    <definedName name="FERGEHTR_4" hidden="1">{#N/A,#N/A,FALSE,"CNM BUDGET EVIAN";#N/A,#N/A,FALSE,"CNM BUDGET BA"}</definedName>
    <definedName name="FERGEHTR_5" hidden="1">{#N/A,#N/A,FALSE,"CNM BUDGET EVIAN";#N/A,#N/A,FALSE,"CNM BUDGET BA"}</definedName>
    <definedName name="fff" hidden="1">#REF!</definedName>
    <definedName name="fff_" hidden="1">#REF!</definedName>
    <definedName name="ffff" hidden="1">{#N/A,#N/A,TRUE,"EC COMM-t";#N/A,#N/A,TRUE,"EC PAR PDTS-t";#N/A,#N/A,TRUE,"EC MAT-t";#N/A,#N/A,TRUE,"SUIVI HAUSSES-t"}</definedName>
    <definedName name="ffffffffff" hidden="1">{"QQQ",#N/A,FALSE,"RIEP"}</definedName>
    <definedName name="fgffg" hidden="1">{#N/A,#N/A,FALSE,"RIEP"}</definedName>
    <definedName name="fgfgf" hidden="1">{0,0}</definedName>
    <definedName name="fgfgfdfgdg" hidden="1">{0,0}</definedName>
    <definedName name="fgfgfg" hidden="1">{0,0}</definedName>
    <definedName name="fgghfthd" hidden="1">{"'Sheet1'!$A$1:$G$96","'Sheet1'!$A$1:$H$96"}</definedName>
    <definedName name="fghdhgdfhfd" hidden="1">{"equity comps",#N/A,FALSE,"CS Comps";"equity comps",#N/A,FALSE,"PS Comps";"equity comps",#N/A,FALSE,"GIC_Comps";"equity comps",#N/A,FALSE,"GIC2_Comps"}</definedName>
    <definedName name="fghfgh" hidden="1">{"away stand alones",#N/A,FALSE,"Target"}</definedName>
    <definedName name="fghfghfgh" hidden="1">{"assumption cash",#N/A,TRUE,"Merger";"has gets cash",#N/A,TRUE,"Merger";"accretion dilution",#N/A,TRUE,"Merger";"comparison credit stats",#N/A,TRUE,"Merger";"pf credit stats",#N/A,TRUE,"Merger";"pf sheets",#N/A,TRUE,"Merger"}</definedName>
    <definedName name="fghgfjhfj" hidden="1">{"'Sheet1'!$A$1:$G$96","'Sheet1'!$A$1:$H$96"}</definedName>
    <definedName name="fghh" hidden="1">{0,0}</definedName>
    <definedName name="fgjhfgjhgj" hidden="1">{"comp1",#N/A,FALSE,"COMPS";"footnotes",#N/A,FALSE,"COMPS"}</definedName>
    <definedName name="fgsdfg" hidden="1">{#N/A,#N/A,FALSE,"BUDGETSUEDWEST "}</definedName>
    <definedName name="fgsdfg_1" hidden="1">{#N/A,#N/A,FALSE,"BUDGETSUEDWEST "}</definedName>
    <definedName name="fgsdfg_2" hidden="1">{#N/A,#N/A,FALSE,"BUDGETSUEDWEST "}</definedName>
    <definedName name="fgsdfg_3" hidden="1">{#N/A,#N/A,FALSE,"BUDGETSUEDWEST "}</definedName>
    <definedName name="fgsdfg_4" hidden="1">{#N/A,#N/A,FALSE,"BUDGETSUEDWEST "}</definedName>
    <definedName name="fgsdfg_5" hidden="1">{#N/A,#N/A,FALSE,"BUDGETSUEDWEST "}</definedName>
    <definedName name="fgsg" hidden="1">{"consolidated",#N/A,FALSE,"Sheet1";"cms",#N/A,FALSE,"Sheet1";"fse",#N/A,FALSE,"Sheet1"}</definedName>
    <definedName name="fhdhdjf" hidden="1">{"'Sheet1'!$A$1:$G$96","'Sheet1'!$A$1:$H$96"}</definedName>
    <definedName name="fhfghfghfgh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hfhfgh" hidden="1">{"hiden",#N/A,FALSE,"14";"hidden",#N/A,FALSE,"16";"hidden",#N/A,FALSE,"18";"hidden",#N/A,FALSE,"20"}</definedName>
    <definedName name="fhgdgg" hidden="1">{"'Sheet1'!$A$1:$G$96","'Sheet1'!$A$1:$H$96"}</definedName>
    <definedName name="FHGH" hidden="1">39174.4993055555</definedName>
    <definedName name="fins1" hidden="1">{#N/A,#N/A,FALSE,"Calc";#N/A,#N/A,FALSE,"Sensitivity";#N/A,#N/A,FALSE,"LT Earn.Dil.";#N/A,#N/A,FALSE,"Dil. AVP"}</definedName>
    <definedName name="Follow" hidden="1">{#N/A,#N/A,FALSE,"Planning";#N/A,#N/A,FALSE,"Réalisé";#N/A,#N/A,FALSE,"Suivi";#N/A,#N/A,FALSE,"Suivi Financier"}</definedName>
    <definedName name="fs" hidden="1">{"'Sheet1'!$A$1:$G$96","'Sheet1'!$A$1:$H$96"}</definedName>
    <definedName name="FSDFSDF" hidden="1">#REF!</definedName>
    <definedName name="FSDG" hidden="1">{#N/A,#N/A,FALSE,"RIEP"}</definedName>
    <definedName name="fsfs" hidden="1">{#N/A,#N/A,FALSE,"Calc";#N/A,#N/A,FALSE,"Sensitivity";#N/A,#N/A,FALSE,"LT Earn.Dil.";#N/A,#N/A,FALSE,"Dil. AVP"}</definedName>
    <definedName name="ft" hidden="1">{#N/A,#N/A,TRUE,"ACTIVITE-t";#N/A,#N/A,TRUE,"RESEAU-t";#N/A,#N/A,TRUE,"BASE-t"}</definedName>
    <definedName name="ft_1" hidden="1">{#N/A,#N/A,TRUE,"ACTIVITE-t";#N/A,#N/A,TRUE,"RESEAU-t";#N/A,#N/A,TRUE,"BASE-t"}</definedName>
    <definedName name="ft_2" hidden="1">{#N/A,#N/A,TRUE,"ACTIVITE-t";#N/A,#N/A,TRUE,"RESEAU-t";#N/A,#N/A,TRUE,"BASE-t"}</definedName>
    <definedName name="ft_3" hidden="1">{#N/A,#N/A,TRUE,"ACTIVITE-t";#N/A,#N/A,TRUE,"RESEAU-t";#N/A,#N/A,TRUE,"BASE-t"}</definedName>
    <definedName name="ft_4" hidden="1">{#N/A,#N/A,TRUE,"ACTIVITE-t";#N/A,#N/A,TRUE,"RESEAU-t";#N/A,#N/A,TRUE,"BASE-t"}</definedName>
    <definedName name="ft_5" hidden="1">{#N/A,#N/A,TRUE,"ACTIVITE-t";#N/A,#N/A,TRUE,"RESEAU-t";#N/A,#N/A,TRUE,"BASE-t"}</definedName>
    <definedName name="g" hidden="1">{#N/A,#N/A,FALSE,"ACTIVITE-c";#N/A,#N/A,FALSE,"RESEAU-c";#N/A,#N/A,FALSE,"BASE-c"}</definedName>
    <definedName name="GBHJ" hidden="1">{#N/A,#N/A,FALSE,"Calc";#N/A,#N/A,FALSE,"Sensitivity";#N/A,#N/A,FALSE,"LT Earn.Dil.";#N/A,#N/A,FALSE,"Dil. AVP"}</definedName>
    <definedName name="gf" hidden="1">{#N/A,#N/A,TRUE,"SYNTHESE-t";#N/A,#N/A,TRUE,"PUB-t";#N/A,#N/A,TRUE,"OP CONSO-t";#N/A,#N/A,TRUE,"REFERENCTS-t";#N/A,#N/A,TRUE,"ETUDES MKG-t";#N/A,#N/A,TRUE,"PACKAGING-t";#N/A,#N/A,TRUE,"DIR COM-t";#N/A,#N/A,TRUE,"MEDIA-t"}</definedName>
    <definedName name="gf_1" hidden="1">{#N/A,#N/A,TRUE,"SYNTHESE-t";#N/A,#N/A,TRUE,"PUB-t";#N/A,#N/A,TRUE,"OP CONSO-t";#N/A,#N/A,TRUE,"REFERENCTS-t";#N/A,#N/A,TRUE,"ETUDES MKG-t";#N/A,#N/A,TRUE,"PACKAGING-t";#N/A,#N/A,TRUE,"DIR COM-t";#N/A,#N/A,TRUE,"MEDIA-t"}</definedName>
    <definedName name="gf_2" hidden="1">{#N/A,#N/A,TRUE,"SYNTHESE-t";#N/A,#N/A,TRUE,"PUB-t";#N/A,#N/A,TRUE,"OP CONSO-t";#N/A,#N/A,TRUE,"REFERENCTS-t";#N/A,#N/A,TRUE,"ETUDES MKG-t";#N/A,#N/A,TRUE,"PACKAGING-t";#N/A,#N/A,TRUE,"DIR COM-t";#N/A,#N/A,TRUE,"MEDIA-t"}</definedName>
    <definedName name="gf_3" hidden="1">{#N/A,#N/A,TRUE,"SYNTHESE-t";#N/A,#N/A,TRUE,"PUB-t";#N/A,#N/A,TRUE,"OP CONSO-t";#N/A,#N/A,TRUE,"REFERENCTS-t";#N/A,#N/A,TRUE,"ETUDES MKG-t";#N/A,#N/A,TRUE,"PACKAGING-t";#N/A,#N/A,TRUE,"DIR COM-t";#N/A,#N/A,TRUE,"MEDIA-t"}</definedName>
    <definedName name="gf_4" hidden="1">{#N/A,#N/A,TRUE,"SYNTHESE-t";#N/A,#N/A,TRUE,"PUB-t";#N/A,#N/A,TRUE,"OP CONSO-t";#N/A,#N/A,TRUE,"REFERENCTS-t";#N/A,#N/A,TRUE,"ETUDES MKG-t";#N/A,#N/A,TRUE,"PACKAGING-t";#N/A,#N/A,TRUE,"DIR COM-t";#N/A,#N/A,TRUE,"MEDIA-t"}</definedName>
    <definedName name="gf_5" hidden="1">{#N/A,#N/A,TRUE,"SYNTHESE-t";#N/A,#N/A,TRUE,"PUB-t";#N/A,#N/A,TRUE,"OP CONSO-t";#N/A,#N/A,TRUE,"REFERENCTS-t";#N/A,#N/A,TRUE,"ETUDES MKG-t";#N/A,#N/A,TRUE,"PACKAGING-t";#N/A,#N/A,TRUE,"DIR COM-t";#N/A,#N/A,TRUE,"MEDIA-t"}</definedName>
    <definedName name="gfcgxdfg" hidden="1">{"'Sheet1'!$A$1:$G$96","'Sheet1'!$A$1:$H$96"}</definedName>
    <definedName name="gfhgfjnnhy" hidden="1">{"'Sheet1'!$A$1:$G$96","'Sheet1'!$A$1:$H$96"}</definedName>
    <definedName name="gfhkkmh" hidden="1">{#N/A,#N/A,FALSE,"RIEP"}</definedName>
    <definedName name="gfx" hidden="1">{#N/A,#N/A,TRUE,"План продаж";#N/A,#N/A,TRUE,"Склад гот.прод";#N/A,#N/A,TRUE,"План отгрузки"}</definedName>
    <definedName name="ggf" hidden="1">{"comps",#N/A,FALSE,"comps";"notes",#N/A,FALSE,"comps"}</definedName>
    <definedName name="ggg" hidden="1">{#N/A,#N/A,TRUE,"План продаж";#N/A,#N/A,TRUE,"Склад гот.прод";#N/A,#N/A,TRUE,"План отгрузки"}</definedName>
    <definedName name="GGGG" hidden="1">{"SPM1",#N/A,FALSE,"RIEP"}</definedName>
    <definedName name="gggggg" hidden="1">{"'Sheet1'!$A$1:$G$96","'Sheet1'!$A$1:$H$96"}</definedName>
    <definedName name="ggggggggggg" hidden="1">{"QQQ",#N/A,FALSE,"RIEP"}</definedName>
    <definedName name="ggggggggggggg" hidden="1">{#N/A,#N/A,TRUE,"Лист2"}</definedName>
    <definedName name="ggreh" hidden="1">#REF!</definedName>
    <definedName name="ggu" hidden="1">#REF!</definedName>
    <definedName name="ghdfhgj" hidden="1">{"'Sheet1'!$A$1:$G$96","'Sheet1'!$A$1:$H$96"}</definedName>
    <definedName name="GHJ" hidden="1">{"SPM1",#N/A,FALSE,"RIEP"}</definedName>
    <definedName name="ghjk8" hidden="1">{"'Sheet1'!$A$1:$G$96","'Sheet1'!$A$1:$H$96"}</definedName>
    <definedName name="ghthtf" hidden="1">"15/11/2011 1:34:38 PM"</definedName>
    <definedName name="ghtyu" hidden="1">#REF!</definedName>
    <definedName name="giba" hidden="1">#REF!</definedName>
    <definedName name="gioji" hidden="1">#REF!</definedName>
    <definedName name="gj" hidden="1">{"'Sheet1'!$A$1:$G$96","'Sheet1'!$A$1:$H$96"}</definedName>
    <definedName name="gjk" hidden="1">{#N/A,#N/A,FALSE,"Calc";#N/A,#N/A,FALSE,"Sensitivity";#N/A,#N/A,FALSE,"LT Earn.Dil.";#N/A,#N/A,FALSE,"Dil. AVP"}</definedName>
    <definedName name="glg" hidden="1">{#N/A,#N/A,FALSE,"CNM BUDGET EVIAN";#N/A,#N/A,FALSE,"CNM BUDGET BA"}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oodrich" hidden="1">{"comp1",#N/A,FALSE,"COMPS";"footnotes",#N/A,FALSE,"COMPS"}</definedName>
    <definedName name="gr" hidden="1">{#N/A,#N/A,FALSE,"RES-MARQ-c";#N/A,#N/A,FALSE,"CLTS-GP-c";#N/A,#N/A,FALSE,"NOUV PDTS-c";#N/A,#N/A,FALSE,"CESSIONS GROUPE-c"}</definedName>
    <definedName name="grgregagrrgre" hidden="1">"15/11/2011 1:34:38 PM"</definedName>
    <definedName name="Growth" hidden="1">#REF!</definedName>
    <definedName name="grpahs1" hidden="1">{#N/A,#N/A,FALSE,"ACQ_GRAPHS";#N/A,#N/A,FALSE,"T_1 GRAPHS";#N/A,#N/A,FALSE,"T_2 GRAPHS";#N/A,#N/A,FALSE,"COMB_GRAPHS"}</definedName>
    <definedName name="gui" hidden="1">{"casespecific",#N/A,FALSE,"Assumptions"}</definedName>
    <definedName name="gvxgdfgd" hidden="1">{"'Sheet1'!$A$1:$G$96","'Sheet1'!$A$1:$H$96"}</definedName>
    <definedName name="gyk" hidden="1">#REF!</definedName>
    <definedName name="h" hidden="1">{"'Sheet1'!$L$16"}</definedName>
    <definedName name="h_1" hidden="1">{"'Sheet1'!$L$16"}</definedName>
    <definedName name="h_2" hidden="1">{"'Sheet1'!$L$16"}</definedName>
    <definedName name="h_3" hidden="1">{"'Sheet1'!$L$16"}</definedName>
    <definedName name="h_4" hidden="1">{"'Sheet1'!$L$16"}</definedName>
    <definedName name="h_5" hidden="1">{"'Sheet1'!$L$16"}</definedName>
    <definedName name="h5h5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h5htshs" hidden="1">{#N/A,#N/A,FALSE,"RES-MARQ-c";#N/A,#N/A,FALSE,"CLTS-GP-c";#N/A,#N/A,FALSE,"NOUV PDTS-c";#N/A,#N/A,FALSE,"CESSIONS GROUPE-c"}</definedName>
    <definedName name="habib" hidden="1">#REF!</definedName>
    <definedName name="hbhajx" hidden="1">{"SPM1",#N/A,FALSE,"RIEP"}</definedName>
    <definedName name="hdfh" hidden="1">38772.4079861111</definedName>
    <definedName name="HDHFH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hfderfPOURE" hidden="1">{#N/A,#N/A,FALSE,"RIEP"}</definedName>
    <definedName name="HGTR" hidden="1">{"up stand alones",#N/A,FALSE,"Acquiror"}</definedName>
    <definedName name="hh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HHg" hidden="1">{#N/A,#N/A,TRUE,"План продаж";#N/A,#N/A,TRUE,"Склад гот.прод";#N/A,#N/A,TRUE,"План отгрузки"}</definedName>
    <definedName name="hhhhhhh" hidden="1">{"SPM1",#N/A,FALSE,"RIEP"}</definedName>
    <definedName name="hhhsdf" hidden="1">{"up stand alones",#N/A,FALSE,"Acquiror"}</definedName>
    <definedName name="hhhsdf1" hidden="1">{"up stand alones",#N/A,FALSE,"Acquiror"}</definedName>
    <definedName name="hhj" hidden="1">{#N/A,#N/A,FALSE,"comparable";#N/A,#N/A,FALSE,"DSO";#N/A,#N/A,FALSE," DTO ";#N/A,#N/A,FALSE,"DPO";#N/A,#N/A,FALSE,"DIO R&amp;D";#N/A,#N/A,FALSE,"DIO FG"}</definedName>
    <definedName name="HiddenRows" hidden="1">#N/A</definedName>
    <definedName name="HIEU" hidden="1">{"'Sheet1'!$L$16"}</definedName>
    <definedName name="hio" hidden="1">#REF!</definedName>
    <definedName name="hj" hidden="1">{#N/A,#N/A,FALSE,"ACTIVITE-c";#N/A,#N/A,FALSE,"RESEAU-c";#N/A,#N/A,FALSE,"BASE-c"}</definedName>
    <definedName name="hjfgjghj" hidden="1">{"up stand alones",#N/A,FALSE,"Acquiror"}</definedName>
    <definedName name="hjhj" hidden="1">{#N/A,#N/A,FALSE,"comparable";#N/A,#N/A,FALSE,"DSO";#N/A,#N/A,FALSE," DTO ";#N/A,#N/A,FALSE,"DPO";#N/A,#N/A,FALSE,"DIO R&amp;D";#N/A,#N/A,FALSE,"DIO FG"}</definedName>
    <definedName name="hjk" hidden="1">38762.6095717593</definedName>
    <definedName name="hjkh" hidden="1">{"assumption 50 50",#N/A,TRUE,"Merger";"has gets cash",#N/A,TRUE,"Merger";"accretion dilution",#N/A,TRUE,"Merger";"comparison credit stats",#N/A,TRUE,"Merger";"pf credit stats",#N/A,TRUE,"Merger";"pf sheets",#N/A,TRUE,"Merger"}</definedName>
    <definedName name="hjkhjkhjk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hjkjhk" hidden="1">{#N/A,#N/A,FALSE,"Calc";#N/A,#N/A,FALSE,"Sensitivity";#N/A,#N/A,FALSE,"LT Earn.Dil.";#N/A,#N/A,FALSE,"Dil. AVP"}</definedName>
    <definedName name="hkhjk" hidden="1">{#N/A,#N/A,FALSE,"Operations";#N/A,#N/A,FALSE,"Financials"}</definedName>
    <definedName name="hkla" hidden="1">{#N/A,#N/A,FALSE,"Valuation Assumptions";#N/A,#N/A,FALSE,"Summary";#N/A,#N/A,FALSE,"DCF";#N/A,#N/A,FALSE,"Valuation";#N/A,#N/A,FALSE,"WACC";#N/A,#N/A,FALSE,"UBVH";#N/A,#N/A,FALSE,"Free Cash Flow"}</definedName>
    <definedName name="HNJ" hidden="1">{#N/A,#N/A,FALSE,"Calc";#N/A,#N/A,FALSE,"Sensitivity";#N/A,#N/A,FALSE,"LT Earn.Dil.";#N/A,#N/A,FALSE,"Dil. AVP"}</definedName>
    <definedName name="hrhrt" hidden="1">#REF!</definedName>
    <definedName name="HRM" hidden="1">#REF!</definedName>
    <definedName name="HSKJSAJDSAKJD" hidden="1">{"VOLMIXRATE",#N/A,FALSE,"VMR MONTH";"P&amp;L",#N/A,FALSE,"VMR MONTH"}</definedName>
    <definedName name="hthtthh" hidden="1">{#N/A,#N/A,FALSE,"RES-MARQ-c";#N/A,#N/A,FALSE,"CLTS-GP-c";#N/A,#N/A,FALSE,"NOUV PDTS-c";#N/A,#N/A,FALSE,"CESSIONS GROUPE-c"}</definedName>
    <definedName name="hthttttttt" hidden="1">{#N/A,#N/A,TRUE,"ANALYSE";#N/A,#N/A,TRUE,"PM VOLUME";#N/A,#N/A,TRUE,"PM VALEUR";#N/A,#N/A,TRUE,"AR1";#N/A,#N/A,TRUE,"AR2";#N/A,#N/A,TRUE,"RAF";#N/A,#N/A,TRUE,"BILAN";#N/A,#N/A,TRUE,"CASH FLOW";#N/A,#N/A,TRUE,"ETAT FI"}</definedName>
    <definedName name="html" hidden="1">{"'TON'!$A$2:$L$94"}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2" hidden="1">{"'Sheet1'!$L$16"}</definedName>
    <definedName name="HTML_Control_3" hidden="1">{"'Sheet1'!$L$16"}</definedName>
    <definedName name="HTML_Control_4" hidden="1">{"'Sheet1'!$L$16"}</definedName>
    <definedName name="HTML_Control_5" hidden="1">{"'Sheet1'!$L$16"}</definedName>
    <definedName name="HTML_Control2" hidden="1">{"' calendrier 2000'!$A$1:$Q$38"}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ac" hidden="1">"Macintosh HD:Web Site “~adamodar”:pc:datasets:MyHTML.html"</definedName>
    <definedName name="HTML_Title" hidden="1">"00Q3961-SUM"</definedName>
    <definedName name="huy" hidden="1">{"'Sheet1'!$L$16"}</definedName>
    <definedName name="huy_1" hidden="1">{"'Sheet1'!$L$16"}</definedName>
    <definedName name="huy_2" hidden="1">{"'Sheet1'!$L$16"}</definedName>
    <definedName name="huy_3" hidden="1">{"'Sheet1'!$L$16"}</definedName>
    <definedName name="huy_4" hidden="1">{"'Sheet1'!$L$16"}</definedName>
    <definedName name="huy_5" hidden="1">{"'Sheet1'!$L$16"}</definedName>
    <definedName name="hytj7kk7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hytry" hidden="1">#REF!</definedName>
    <definedName name="i6uy" hidden="1">{"capacity",#N/A,FALSE,"Hefei";"Volume",#N/A,FALSE,"Hefei"}</definedName>
    <definedName name="i76i76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igjit" hidden="1">{"Volume",#N/A,FALSE,"Guangzhou";"capacity",#N/A,FALSE,"Guangzhou"}</definedName>
    <definedName name="IHJFIJIFJIFJF" hidden="1">#REF!</definedName>
    <definedName name="ii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iiiii" hidden="1">{#N/A,#N/A,FALSE,"Calc";#N/A,#N/A,FALSE,"Sensitivity";#N/A,#N/A,FALSE,"LT Earn.Dil.";#N/A,#N/A,FALSE,"Dil. AVP"}</definedName>
    <definedName name="iiwr" hidden="1">{"Volume",#N/A,FALSE,"Nanjing";"capacity",#N/A,FALSE,"Nanjing"}</definedName>
    <definedName name="iju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iju_1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iju_2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iju_3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iju_4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iju_5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ik" hidden="1">{"casespecific",#N/A,FALSE,"Assumptions"}</definedName>
    <definedName name="IMF" hidden="1">41071.3975925926</definedName>
    <definedName name="Int" hidden="1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41310.8006365741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38993.6478125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OTAL_UNUSUAL_BR" hidden="1">"c5517"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I_WorkspaceId" hidden="1">"5a8e1f6f24974e0f8289168e5409d4ac"</definedName>
    <definedName name="ITIU" hidden="1">38833.3599768519</definedName>
    <definedName name="ivie" hidden="1">{"capacity",#N/A,FALSE,"Guangzhou";"Volume",#N/A,FALSE,"Guangmei"}</definedName>
    <definedName name="iykrrft" hidden="1">#REF!</definedName>
    <definedName name="iyo" hidden="1">{"assumption 50 50",#N/A,TRUE,"Merger";"has gets cash",#N/A,TRUE,"Merger";"accretion dilution",#N/A,TRUE,"Merger";"comparison credit stats",#N/A,TRUE,"Merger";"pf credit stats",#N/A,TRUE,"Merger";"pf sheets",#N/A,TRUE,"Merger"}</definedName>
    <definedName name="j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j7j77" hidden="1">{#N/A,#N/A,FALSE,"A";#N/A,#N/A,FALSE,"B"}</definedName>
    <definedName name="jair" hidden="1">#REF!</definedName>
    <definedName name="janete" hidden="1">#REF!</definedName>
    <definedName name="jcjfjfjjf" hidden="1">{#N/A,#N/A,FALSE,"RIEP"}</definedName>
    <definedName name="Jeleśnia" hidden="1">{"'Industrial TDB Nature CIĘCINA'!$A$5:$O$31"}</definedName>
    <definedName name="JELmfg" hidden="1">{#N/A,#N/A,FALSE,"CNM BUDGET EVIAN";#N/A,#N/A,FALSE,"CNM BUDGET BA"}</definedName>
    <definedName name="JGF" hidden="1">#REF!</definedName>
    <definedName name="jhh" hidden="1">{#N/A,#N/A,TRUE,"План продаж";#N/A,#N/A,TRUE,"Склад гот.прод";#N/A,#N/A,TRUE,"План отгрузки"}</definedName>
    <definedName name="JHJ" hidden="1">{#N/A,#N/A,FALSE,"CNM BUDGET EVIAN";#N/A,#N/A,FALSE,"CNM BUDGET BA"}</definedName>
    <definedName name="JHJ_1" hidden="1">{#N/A,#N/A,FALSE,"CNM BUDGET EVIAN";#N/A,#N/A,FALSE,"CNM BUDGET BA"}</definedName>
    <definedName name="JHJ_2" hidden="1">{#N/A,#N/A,FALSE,"CNM BUDGET EVIAN";#N/A,#N/A,FALSE,"CNM BUDGET BA"}</definedName>
    <definedName name="JHJ_3" hidden="1">{#N/A,#N/A,FALSE,"CNM BUDGET EVIAN";#N/A,#N/A,FALSE,"CNM BUDGET BA"}</definedName>
    <definedName name="JHJ_4" hidden="1">{#N/A,#N/A,FALSE,"CNM BUDGET EVIAN";#N/A,#N/A,FALSE,"CNM BUDGET BA"}</definedName>
    <definedName name="JHJ_5" hidden="1">{#N/A,#N/A,FALSE,"CNM BUDGET EVIAN";#N/A,#N/A,FALSE,"CNM BUDGET BA"}</definedName>
    <definedName name="JJ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jjfhfh" hidden="1">{"QQQ",#N/A,FALSE,"RIEP"}</definedName>
    <definedName name="JJJ" hidden="1">{#N/A,#N/A,TRUE,"SYNTHESE-t";#N/A,#N/A,TRUE,"PUB-t";#N/A,#N/A,TRUE,"OP CONSO-t";#N/A,#N/A,TRUE,"REFERENCTS-t";#N/A,#N/A,TRUE,"ETUDES MKG-t";#N/A,#N/A,TRUE,"PACKAGING-t";#N/A,#N/A,TRUE,"DIR COM-t";#N/A,#N/A,TRUE,"MEDIA-t"}</definedName>
    <definedName name="JJJ_1" hidden="1">{#N/A,#N/A,TRUE,"SYNTHESE-t";#N/A,#N/A,TRUE,"PUB-t";#N/A,#N/A,TRUE,"OP CONSO-t";#N/A,#N/A,TRUE,"REFERENCTS-t";#N/A,#N/A,TRUE,"ETUDES MKG-t";#N/A,#N/A,TRUE,"PACKAGING-t";#N/A,#N/A,TRUE,"DIR COM-t";#N/A,#N/A,TRUE,"MEDIA-t"}</definedName>
    <definedName name="JJJ_2" hidden="1">{#N/A,#N/A,TRUE,"SYNTHESE-t";#N/A,#N/A,TRUE,"PUB-t";#N/A,#N/A,TRUE,"OP CONSO-t";#N/A,#N/A,TRUE,"REFERENCTS-t";#N/A,#N/A,TRUE,"ETUDES MKG-t";#N/A,#N/A,TRUE,"PACKAGING-t";#N/A,#N/A,TRUE,"DIR COM-t";#N/A,#N/A,TRUE,"MEDIA-t"}</definedName>
    <definedName name="JJJ_3" hidden="1">{#N/A,#N/A,TRUE,"SYNTHESE-t";#N/A,#N/A,TRUE,"PUB-t";#N/A,#N/A,TRUE,"OP CONSO-t";#N/A,#N/A,TRUE,"REFERENCTS-t";#N/A,#N/A,TRUE,"ETUDES MKG-t";#N/A,#N/A,TRUE,"PACKAGING-t";#N/A,#N/A,TRUE,"DIR COM-t";#N/A,#N/A,TRUE,"MEDIA-t"}</definedName>
    <definedName name="JJJ_4" hidden="1">{#N/A,#N/A,TRUE,"SYNTHESE-t";#N/A,#N/A,TRUE,"PUB-t";#N/A,#N/A,TRUE,"OP CONSO-t";#N/A,#N/A,TRUE,"REFERENCTS-t";#N/A,#N/A,TRUE,"ETUDES MKG-t";#N/A,#N/A,TRUE,"PACKAGING-t";#N/A,#N/A,TRUE,"DIR COM-t";#N/A,#N/A,TRUE,"MEDIA-t"}</definedName>
    <definedName name="JJJ_5" hidden="1">{#N/A,#N/A,TRUE,"SYNTHESE-t";#N/A,#N/A,TRUE,"PUB-t";#N/A,#N/A,TRUE,"OP CONSO-t";#N/A,#N/A,TRUE,"REFERENCTS-t";#N/A,#N/A,TRUE,"ETUDES MKG-t";#N/A,#N/A,TRUE,"PACKAGING-t";#N/A,#N/A,TRUE,"DIR COM-t";#N/A,#N/A,TRUE,"MEDIA-t"}</definedName>
    <definedName name="jjjjaaa" hidden="1">#REF!</definedName>
    <definedName name="jjjjjjjjjjjjjjjjjjjjjj" hidden="1">{#N/A,#N/A,FALSE,"Operations";#N/A,#N/A,FALSE,"Financials"}</definedName>
    <definedName name="jk88tyy" hidden="1">{#N/A,#N/A,FALSE,"CNM BUDGET EVIAN";#N/A,#N/A,FALSE,"CNM BUDGET BA"}</definedName>
    <definedName name="jkhkjujk" hidden="1">{"'Sheet1'!$A$1:$G$96","'Sheet1'!$A$1:$H$96"}</definedName>
    <definedName name="jkju" hidden="1">{#N/A,#N/A,TRUE,"ACTIVITE-t";#N/A,#N/A,TRUE,"RESEAU-t";#N/A,#N/A,TRUE,"BASE-t"}</definedName>
    <definedName name="jkkkkkkk\" hidden="1">{"'Sheet1'!$A$1:$G$96","'Sheet1'!$A$1:$H$96"}</definedName>
    <definedName name="jkl" hidden="1">{#N/A,#N/A,FALSE,"EL-M-01";#N/A,#N/A,FALSE,"EL-M-02";#N/A,#N/A,FALSE,"EL-M-03";#N/A,#N/A,FALSE,"EL-S-01";#N/A,#N/A,FALSE,"EL-S-02";#N/A,#N/A,FALSE,"EL-A-01";#N/A,#N/A,FALSE,"EL-A-02"}</definedName>
    <definedName name="jljl" hidden="1">{"det (May)",#N/A,FALSE,"June";"sum (MAY YTD)",#N/A,FALSE,"June YTD"}</definedName>
    <definedName name="joe" hidden="1">{"consolidated",#N/A,FALSE,"Sheet1";"cms",#N/A,FALSE,"Sheet1";"fse",#N/A,FALSE,"Sheet1"}</definedName>
    <definedName name="jstthht" hidden="1">{#N/A,#N/A,TRUE,"EC COMM-t";#N/A,#N/A,TRUE,"EC PAR PDTS-t";#N/A,#N/A,TRUE,"EC MAT-t";#N/A,#N/A,TRUE,"SUIVI HAUSSES-t"}</definedName>
    <definedName name="jtrrt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jtuyr" hidden="1">{"capacity",#N/A,FALSE,"Guangzhou";"Volume",#N/A,FALSE,"Guangmei"}</definedName>
    <definedName name="JULIO98" hidden="1">{#N/A,#N/A,FALSE,"CARATULA";#N/A,#N/A,FALSE,"Indice";#N/A,#N/A,FALSE,"Cap 1";#N/A,#N/A,FALSE,"Cap 2";#N/A,#N/A,FALSE,"Cap 3";#N/A,#N/A,FALSE,"Cap 4";#N/A,#N/A,FALSE,"Cap 5";#N/A,#N/A,FALSE,"Cap 6";#N/A,#N/A,FALSE,"Cap 7";#N/A,#N/A,FALSE,"Cap 8";#N/A,#N/A,FALSE,"Cap 9";#N/A,#N/A,FALSE,"Cap 10";#N/A,#N/A,FALSE,"Cap 11";#N/A,#N/A,FALSE,"Cap 12";#N/A,#N/A,FALSE,"Cap 13";#N/A,#N/A,FALSE,"Cap 14";#N/A,#N/A,FALSE,"Cap 15 TBI Gall+Hesp";#N/A,#N/A,FALSE,"Cap 15 TBI Choc";#N/A,#N/A,FALSE,"Cap 15 TBI DLeche";#N/A,#N/A,FALSE,"Cap 16";#N/A,#N/A,FALSE,"Cap 17";#N/A,#N/A,FALSE,"Cap 18";#N/A,#N/A,FALSE,"Cap 19";#N/A,#N/A,FALSE,"Cap 20";#N/A,#N/A,FALSE,"Cap 21";#N/A,#N/A,FALSE,"Cap 22";#N/A,#N/A,FALSE,"Cap 23";#N/A,#N/A,FALSE,"Cap 24"}</definedName>
    <definedName name="jutyj" hidden="1">{"'Sheet1'!$A$1:$G$96","'Sheet1'!$A$1:$H$96"}</definedName>
    <definedName name="jydddd" hidden="1">{"'CANARY'!$A$24:$U$32"}</definedName>
    <definedName name="jyttuty" hidden="1">{#N/A,#N/A,FALSE,"RES-MARQ-c";#N/A,#N/A,FALSE,"CLTS-GP-c";#N/A,#N/A,FALSE,"NOUV PDTS-c";#N/A,#N/A,FALSE,"CESSIONS GROUPE-c"}</definedName>
    <definedName name="K2__CVPARAMS__" hidden="1">"Cover!$B$17:$C$38;"</definedName>
    <definedName name="K2__MAXEXPCOLS__" hidden="1">100</definedName>
    <definedName name="K2__MAXEXPROWS__" hidden="1">1000</definedName>
    <definedName name="K2__WBEVMODE__" hidden="1">0</definedName>
    <definedName name="K2__WBREFOPTIONS__" hidden="1">134217728</definedName>
    <definedName name="K2_WBEVMODE" hidden="1">0</definedName>
    <definedName name="karen00" hidden="1">#REF!</definedName>
    <definedName name="kbk" hidden="1">{#N/A,#N/A,TRUE,"План продаж";#N/A,#N/A,TRUE,"Склад гот.прод";#N/A,#N/A,TRUE,"План отгрузки"}</definedName>
    <definedName name="kEANE" hidden="1">{"comp1",#N/A,FALSE,"COMPS";"footnotes",#N/A,FALSE,"COMPS"}</definedName>
    <definedName name="kegs" hidden="1">{"det (May)",#N/A,FALSE,"June";"sum (MAY YTD)",#N/A,FALSE,"June YTD"}</definedName>
    <definedName name="kelly" hidden="1">#REF!</definedName>
    <definedName name="kfkfkfkfkkf" hidden="1">{#N/A,#N/A,FALSE,"RIEP"}</definedName>
    <definedName name="KIT" hidden="1">{"equity comps",#N/A,FALSE,"CS Comps";"equity comps",#N/A,FALSE,"PS Comps";"equity comps",#N/A,FALSE,"GIC_Comps";"equity comps",#N/A,FALSE,"GIC2_Comps"}</definedName>
    <definedName name="kj" hidden="1">#REF!</definedName>
    <definedName name="kjfsoyiupo6rhtgz" hidden="1">{#N/A,#N/A,FALSE,"RIEP"}</definedName>
    <definedName name="KJKHLKH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KJKHLKH_1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KJKHLKH_2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KJKHLKH_3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KJKHLKH_4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KJKHLKH_5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KK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kol" hidden="1">{"away stand alones",#N/A,FALSE,"Target"}</definedName>
    <definedName name="koozoo" hidden="1">{"original",#N/A,TRUE,"flashcaneurope";"expeur",#N/A,TRUE,"EXPEUR";"ventesloceur",#N/A,TRUE,"VENTESLOCEUR";"candib",#N/A,TRUE,"flashcandib";"expedib",#N/A,TRUE,"EXPEDIB";"venteslocdib",#N/A,TRUE,"venteslocdib"}</definedName>
    <definedName name="ks" hidden="1">{#N/A,#N/A,TRUE,"SYNTHESE-t";#N/A,#N/A,TRUE,"PUB-t";#N/A,#N/A,TRUE,"OP CONSO-t";#N/A,#N/A,TRUE,"REFERENCTS-t";#N/A,#N/A,TRUE,"ETUDES MKG-t";#N/A,#N/A,TRUE,"PACKAGING-t";#N/A,#N/A,TRUE,"DIR COM-t";#N/A,#N/A,TRUE,"MEDIA-t"}</definedName>
    <definedName name="ks_1" hidden="1">{#N/A,#N/A,TRUE,"SYNTHESE-t";#N/A,#N/A,TRUE,"PUB-t";#N/A,#N/A,TRUE,"OP CONSO-t";#N/A,#N/A,TRUE,"REFERENCTS-t";#N/A,#N/A,TRUE,"ETUDES MKG-t";#N/A,#N/A,TRUE,"PACKAGING-t";#N/A,#N/A,TRUE,"DIR COM-t";#N/A,#N/A,TRUE,"MEDIA-t"}</definedName>
    <definedName name="ks_2" hidden="1">{#N/A,#N/A,TRUE,"SYNTHESE-t";#N/A,#N/A,TRUE,"PUB-t";#N/A,#N/A,TRUE,"OP CONSO-t";#N/A,#N/A,TRUE,"REFERENCTS-t";#N/A,#N/A,TRUE,"ETUDES MKG-t";#N/A,#N/A,TRUE,"PACKAGING-t";#N/A,#N/A,TRUE,"DIR COM-t";#N/A,#N/A,TRUE,"MEDIA-t"}</definedName>
    <definedName name="ks_3" hidden="1">{#N/A,#N/A,TRUE,"SYNTHESE-t";#N/A,#N/A,TRUE,"PUB-t";#N/A,#N/A,TRUE,"OP CONSO-t";#N/A,#N/A,TRUE,"REFERENCTS-t";#N/A,#N/A,TRUE,"ETUDES MKG-t";#N/A,#N/A,TRUE,"PACKAGING-t";#N/A,#N/A,TRUE,"DIR COM-t";#N/A,#N/A,TRUE,"MEDIA-t"}</definedName>
    <definedName name="ks_4" hidden="1">{#N/A,#N/A,TRUE,"SYNTHESE-t";#N/A,#N/A,TRUE,"PUB-t";#N/A,#N/A,TRUE,"OP CONSO-t";#N/A,#N/A,TRUE,"REFERENCTS-t";#N/A,#N/A,TRUE,"ETUDES MKG-t";#N/A,#N/A,TRUE,"PACKAGING-t";#N/A,#N/A,TRUE,"DIR COM-t";#N/A,#N/A,TRUE,"MEDIA-t"}</definedName>
    <definedName name="ks_5" hidden="1">{#N/A,#N/A,TRUE,"SYNTHESE-t";#N/A,#N/A,TRUE,"PUB-t";#N/A,#N/A,TRUE,"OP CONSO-t";#N/A,#N/A,TRUE,"REFERENCTS-t";#N/A,#N/A,TRUE,"ETUDES MKG-t";#N/A,#N/A,TRUE,"PACKAGING-t";#N/A,#N/A,TRUE,"DIR COM-t";#N/A,#N/A,TRUE,"MEDIA-t"}</definedName>
    <definedName name="ksa" hidden="1">#REF!</definedName>
    <definedName name="ktdfdtr" hidden="1">#REF!</definedName>
    <definedName name="kuiy" hidden="1">{"Volume",#N/A,FALSE,"Nanjing";"capacity",#N/A,FALSE,"Nanjing"}</definedName>
    <definedName name="kuiyi" hidden="1">{"Volume",#N/A,FALSE,"Zhengzhou";"capacity",#N/A,FALSE,"Zhengzhou"}</definedName>
    <definedName name="kuku" hidden="1">{"'CANARY'!$A$24:$U$32"}</definedName>
    <definedName name="kxxx" hidden="1">#REF!</definedName>
    <definedName name="kyyrr" hidden="1">{#N/A,#N/A,FALSE,"CNM BUDGET EVIAN";#N/A,#N/A,FALSE,"CNM BUDGET BA"}</definedName>
    <definedName name="lat" hidden="1">{"original",#N/A,TRUE,"flashcaneurope";"expeur",#N/A,TRUE,"EXPEUR";"ventesloceur",#N/A,TRUE,"VENTESLOCEUR";"candib",#N/A,TRUE,"flashcandib";"expedib",#N/A,TRUE,"EXPEDIB";"venteslocdib",#N/A,TRUE,"venteslocdib"}</definedName>
    <definedName name="lat_1" hidden="1">{"original",#N/A,TRUE,"flashcaneurope";"expeur",#N/A,TRUE,"EXPEUR";"ventesloceur",#N/A,TRUE,"VENTESLOCEUR";"candib",#N/A,TRUE,"flashcandib";"expedib",#N/A,TRUE,"EXPEDIB";"venteslocdib",#N/A,TRUE,"venteslocdib"}</definedName>
    <definedName name="lat_2" hidden="1">{"original",#N/A,TRUE,"flashcaneurope";"expeur",#N/A,TRUE,"EXPEUR";"ventesloceur",#N/A,TRUE,"VENTESLOCEUR";"candib",#N/A,TRUE,"flashcandib";"expedib",#N/A,TRUE,"EXPEDIB";"venteslocdib",#N/A,TRUE,"venteslocdib"}</definedName>
    <definedName name="lat_3" hidden="1">{"original",#N/A,TRUE,"flashcaneurope";"expeur",#N/A,TRUE,"EXPEUR";"ventesloceur",#N/A,TRUE,"VENTESLOCEUR";"candib",#N/A,TRUE,"flashcandib";"expedib",#N/A,TRUE,"EXPEDIB";"venteslocdib",#N/A,TRUE,"venteslocdib"}</definedName>
    <definedName name="lat_4" hidden="1">{"original",#N/A,TRUE,"flashcaneurope";"expeur",#N/A,TRUE,"EXPEUR";"ventesloceur",#N/A,TRUE,"VENTESLOCEUR";"candib",#N/A,TRUE,"flashcandib";"expedib",#N/A,TRUE,"EXPEDIB";"venteslocdib",#N/A,TRUE,"venteslocdib"}</definedName>
    <definedName name="lat_5" hidden="1">{"original",#N/A,TRUE,"flashcaneurope";"expeur",#N/A,TRUE,"EXPEUR";"ventesloceur",#N/A,TRUE,"VENTESLOCEUR";"candib",#N/A,TRUE,"flashcandib";"expedib",#N/A,TRUE,"EXPEDIB";"venteslocdib",#N/A,TRUE,"venteslocdib"}</definedName>
    <definedName name="LAURA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dkfn" hidden="1">#REF!</definedName>
    <definedName name="LE307ZD" hidden="1">39395.7906365741</definedName>
    <definedName name="Liaison" hidden="1">{#N/A,#N/A,FALSE,"CNM BUDGET EVIAN";#N/A,#N/A,FALSE,"CNM BUDGET BA"}</definedName>
    <definedName name="Liaison_1" hidden="1">{#N/A,#N/A,FALSE,"CNM BUDGET EVIAN";#N/A,#N/A,FALSE,"CNM BUDGET BA"}</definedName>
    <definedName name="Liaison_2" hidden="1">{#N/A,#N/A,FALSE,"CNM BUDGET EVIAN";#N/A,#N/A,FALSE,"CNM BUDGET BA"}</definedName>
    <definedName name="Liaison_3" hidden="1">{#N/A,#N/A,FALSE,"CNM BUDGET EVIAN";#N/A,#N/A,FALSE,"CNM BUDGET BA"}</definedName>
    <definedName name="Liaison_4" hidden="1">{#N/A,#N/A,FALSE,"CNM BUDGET EVIAN";#N/A,#N/A,FALSE,"CNM BUDGET BA"}</definedName>
    <definedName name="Liaison_5" hidden="1">{#N/A,#N/A,FALSE,"CNM BUDGET EVIAN";#N/A,#N/A,FALSE,"CNM BUDGET BA"}</definedName>
    <definedName name="Liaison2" hidden="1">{#N/A,#N/A,FALSE,"CNM BUDGET EVIAN";#N/A,#N/A,FALSE,"CNM BUDGET BA"}</definedName>
    <definedName name="Liaison2_1" hidden="1">{#N/A,#N/A,FALSE,"CNM BUDGET EVIAN";#N/A,#N/A,FALSE,"CNM BUDGET BA"}</definedName>
    <definedName name="Liaison2_2" hidden="1">{#N/A,#N/A,FALSE,"CNM BUDGET EVIAN";#N/A,#N/A,FALSE,"CNM BUDGET BA"}</definedName>
    <definedName name="Liaison2_3" hidden="1">{#N/A,#N/A,FALSE,"CNM BUDGET EVIAN";#N/A,#N/A,FALSE,"CNM BUDGET BA"}</definedName>
    <definedName name="Liaison2_4" hidden="1">{#N/A,#N/A,FALSE,"CNM BUDGET EVIAN";#N/A,#N/A,FALSE,"CNM BUDGET BA"}</definedName>
    <definedName name="Liaison2_5" hidden="1">{#N/A,#N/A,FALSE,"CNM BUDGET EVIAN";#N/A,#N/A,FALSE,"CNM BUDGET BA"}</definedName>
    <definedName name="limcount" hidden="1">2</definedName>
    <definedName name="lkj" hidden="1">{"print95",#N/A,FALSE,"1995E.XLS";"print96",#N/A,FALSE,"1996E.XLS"}</definedName>
    <definedName name="lkjb" hidden="1">{#N/A,#N/A,TRUE,"RES-MARQ-t";#N/A,#N/A,TRUE,"CLTS-GP-t";#N/A,#N/A,TRUE,"NOUV PDTS-t";#N/A,#N/A,TRUE,"CESSIONS GROUPE-t"}</definedName>
    <definedName name="lkjb_1" hidden="1">{#N/A,#N/A,TRUE,"RES-MARQ-t";#N/A,#N/A,TRUE,"CLTS-GP-t";#N/A,#N/A,TRUE,"NOUV PDTS-t";#N/A,#N/A,TRUE,"CESSIONS GROUPE-t"}</definedName>
    <definedName name="lkjb_2" hidden="1">{#N/A,#N/A,TRUE,"RES-MARQ-t";#N/A,#N/A,TRUE,"CLTS-GP-t";#N/A,#N/A,TRUE,"NOUV PDTS-t";#N/A,#N/A,TRUE,"CESSIONS GROUPE-t"}</definedName>
    <definedName name="lkjb_3" hidden="1">{#N/A,#N/A,TRUE,"RES-MARQ-t";#N/A,#N/A,TRUE,"CLTS-GP-t";#N/A,#N/A,TRUE,"NOUV PDTS-t";#N/A,#N/A,TRUE,"CESSIONS GROUPE-t"}</definedName>
    <definedName name="lkjb_4" hidden="1">{#N/A,#N/A,TRUE,"RES-MARQ-t";#N/A,#N/A,TRUE,"CLTS-GP-t";#N/A,#N/A,TRUE,"NOUV PDTS-t";#N/A,#N/A,TRUE,"CESSIONS GROUPE-t"}</definedName>
    <definedName name="lkjb_5" hidden="1">{#N/A,#N/A,TRUE,"RES-MARQ-t";#N/A,#N/A,TRUE,"CLTS-GP-t";#N/A,#N/A,TRUE,"NOUV PDTS-t";#N/A,#N/A,TRUE,"CESSIONS GROUPE-t"}</definedName>
    <definedName name="lkjh" hidden="1">{#N/A,#N/A,FALSE,"Calc";#N/A,#N/A,FALSE,"Sensitivity";#N/A,#N/A,FALSE,"LT Earn.Dil.";#N/A,#N/A,FALSE,"Dil. AVP"}</definedName>
    <definedName name="lkjl" hidden="1">{#N/A,#N/A,FALSE,"CNM BUDGET EVIAN";#N/A,#N/A,FALSE,"CNM BUDGET BA"}</definedName>
    <definedName name="lklkl" hidden="1">{"consolidated",#N/A,FALSE,"Sheet1";"cms",#N/A,FALSE,"Sheet1";"fse",#N/A,FALSE,"Sheet1"}</definedName>
    <definedName name="ll" hidden="1">{#N/A,#N/A,TRUE,"RES-MARQ-t";#N/A,#N/A,TRUE,"CLTS-GP-t";#N/A,#N/A,TRUE,"NOUV PDTS-t";#N/A,#N/A,TRUE,"CESSIONS GROUPE-t"}</definedName>
    <definedName name="ll_1" hidden="1">{#N/A,#N/A,TRUE,"RES-MARQ-t";#N/A,#N/A,TRUE,"CLTS-GP-t";#N/A,#N/A,TRUE,"NOUV PDTS-t";#N/A,#N/A,TRUE,"CESSIONS GROUPE-t"}</definedName>
    <definedName name="ll_2" hidden="1">{#N/A,#N/A,TRUE,"RES-MARQ-t";#N/A,#N/A,TRUE,"CLTS-GP-t";#N/A,#N/A,TRUE,"NOUV PDTS-t";#N/A,#N/A,TRUE,"CESSIONS GROUPE-t"}</definedName>
    <definedName name="ll_3" hidden="1">{#N/A,#N/A,TRUE,"RES-MARQ-t";#N/A,#N/A,TRUE,"CLTS-GP-t";#N/A,#N/A,TRUE,"NOUV PDTS-t";#N/A,#N/A,TRUE,"CESSIONS GROUPE-t"}</definedName>
    <definedName name="ll_4" hidden="1">{#N/A,#N/A,TRUE,"RES-MARQ-t";#N/A,#N/A,TRUE,"CLTS-GP-t";#N/A,#N/A,TRUE,"NOUV PDTS-t";#N/A,#N/A,TRUE,"CESSIONS GROUPE-t"}</definedName>
    <definedName name="ll_5" hidden="1">{#N/A,#N/A,TRUE,"RES-MARQ-t";#N/A,#N/A,TRUE,"CLTS-GP-t";#N/A,#N/A,TRUE,"NOUV PDTS-t";#N/A,#N/A,TRUE,"CESSIONS GROUPE-t"}</definedName>
    <definedName name="LLLLL" hidden="1">{#N/A,#N/A,FALSE,"Chi tiÆt"}</definedName>
    <definedName name="loan" hidden="1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yuooi" hidden="1">{"index",#N/A,FALSE,"DRS";"a_1",#N/A,FALSE,"DRS";"a_2",#N/A,FALSE,"DRS";"b_1",#N/A,FALSE,"DRS";"b_2.b_3",#N/A,FALSE,"DRS";"b_4.b_5.b_6",#N/A,FALSE,"DRS";"b_7.b_8",#N/A,FALSE,"DRS";"b_9",#N/A,FALSE,"DRS";"b_10.b_11",#N/A,FALSE,"DRS";"b_12.b_13",#N/A,FALSE,"DRS";"b_14",#N/A,FALSE,"DRS";"b_15.b_16",#N/A,FALSE,"DRS";"b_17",#N/A,FALSE,"DRS";"b_18",#N/A,FALSE,"DRS";"c_1.c_2",#N/A,FALSE,"DRS";"d_1",#N/A,FALSE,"DRS";"e_1",#N/A,FALSE,"DRS"}</definedName>
    <definedName name="m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Man" hidden="1">{#N/A,#N/A,FALSE,"ACTIVITE-c";#N/A,#N/A,FALSE,"RESEAU-c";#N/A,#N/A,FALSE,"BASE-c"}</definedName>
    <definedName name="Man_1" hidden="1">{#N/A,#N/A,FALSE,"ACTIVITE-c";#N/A,#N/A,FALSE,"RESEAU-c";#N/A,#N/A,FALSE,"BASE-c"}</definedName>
    <definedName name="Man_2" hidden="1">{#N/A,#N/A,FALSE,"ACTIVITE-c";#N/A,#N/A,FALSE,"RESEAU-c";#N/A,#N/A,FALSE,"BASE-c"}</definedName>
    <definedName name="Man_3" hidden="1">{#N/A,#N/A,FALSE,"ACTIVITE-c";#N/A,#N/A,FALSE,"RESEAU-c";#N/A,#N/A,FALSE,"BASE-c"}</definedName>
    <definedName name="Man_4" hidden="1">{#N/A,#N/A,FALSE,"ACTIVITE-c";#N/A,#N/A,FALSE,"RESEAU-c";#N/A,#N/A,FALSE,"BASE-c"}</definedName>
    <definedName name="Man_5" hidden="1">{#N/A,#N/A,FALSE,"ACTIVITE-c";#N/A,#N/A,FALSE,"RESEAU-c";#N/A,#N/A,FALSE,"BASE-c"}</definedName>
    <definedName name="manhattn" hidden="1">{#N/A,#N/A,FALSE,"ACTIVITE-c";#N/A,#N/A,FALSE,"RESEAU-c";#N/A,#N/A,FALSE,"BASE-c"}</definedName>
    <definedName name="manhattn_1" hidden="1">{#N/A,#N/A,FALSE,"ACTIVITE-c";#N/A,#N/A,FALSE,"RESEAU-c";#N/A,#N/A,FALSE,"BASE-c"}</definedName>
    <definedName name="manhattn_2" hidden="1">{#N/A,#N/A,FALSE,"ACTIVITE-c";#N/A,#N/A,FALSE,"RESEAU-c";#N/A,#N/A,FALSE,"BASE-c"}</definedName>
    <definedName name="manhattn_3" hidden="1">{#N/A,#N/A,FALSE,"ACTIVITE-c";#N/A,#N/A,FALSE,"RESEAU-c";#N/A,#N/A,FALSE,"BASE-c"}</definedName>
    <definedName name="manhattn_4" hidden="1">{#N/A,#N/A,FALSE,"ACTIVITE-c";#N/A,#N/A,FALSE,"RESEAU-c";#N/A,#N/A,FALSE,"BASE-c"}</definedName>
    <definedName name="manhattn_5" hidden="1">{#N/A,#N/A,FALSE,"ACTIVITE-c";#N/A,#N/A,FALSE,"RESEAU-c";#N/A,#N/A,FALSE,"BASE-c"}</definedName>
    <definedName name="marcio" hidden="1">#REF!</definedName>
    <definedName name="market_new_f" hidden="1">{"HeadstatPolish",#N/A,TRUE,"Headstat";"HeadstatEnglish",#N/A,TRUE,"Headstat";"charts",#N/A,TRUE,"Charts";"Variance1",#N/A,TRUE,"Variances";"Variance2",#N/A,TRUE,"Variances";"Interconnect",#N/A,TRUE,"Variances";"Subscribers",#N/A,TRUE,"Variances";"Churn",#N/A,TRUE,"Variances";"Headcount",#N/A,TRUE,"Headcount";"SalaryVariance",#N/A,TRUE,"Headcount"}</definedName>
    <definedName name="matkost98" hidden="1">{#N/A,#N/A,FALSE,"BUDGETSUEDWEST "}</definedName>
    <definedName name="matkost98_1" hidden="1">{#N/A,#N/A,FALSE,"BUDGETSUEDWEST "}</definedName>
    <definedName name="matkost98_2" hidden="1">{#N/A,#N/A,FALSE,"BUDGETSUEDWEST "}</definedName>
    <definedName name="matkost98_3" hidden="1">{#N/A,#N/A,FALSE,"BUDGETSUEDWEST "}</definedName>
    <definedName name="matkost98_4" hidden="1">{#N/A,#N/A,FALSE,"BUDGETSUEDWEST "}</definedName>
    <definedName name="matkost98_5" hidden="1">{#N/A,#N/A,FALSE,"BUDGETSUEDWEST "}</definedName>
    <definedName name="matkost99" hidden="1">{#N/A,#N/A,FALSE,"BUDGETSUEDWEST "}</definedName>
    <definedName name="matkost99_1" hidden="1">{#N/A,#N/A,FALSE,"BUDGETSUEDWEST "}</definedName>
    <definedName name="matkost99_2" hidden="1">{#N/A,#N/A,FALSE,"BUDGETSUEDWEST "}</definedName>
    <definedName name="matkost99_3" hidden="1">{#N/A,#N/A,FALSE,"BUDGETSUEDWEST "}</definedName>
    <definedName name="matkost99_4" hidden="1">{#N/A,#N/A,FALSE,"BUDGETSUEDWEST "}</definedName>
    <definedName name="matkost99_5" hidden="1">{#N/A,#N/A,FALSE,"BUDGETSUEDWEST "}</definedName>
    <definedName name="mayak" hidden="1">""</definedName>
    <definedName name="mdlm" hidden="1">{#N/A,#N/A,TRUE,"financial";#N/A,#N/A,TRUE,"plants"}</definedName>
    <definedName name="menu1" hidden="1">Main.SAPF4Help()</definedName>
    <definedName name="mew" hidden="1">{"Volume",#N/A,FALSE,"Nanjing";"capacity",#N/A,FALSE,"Nanjing"}</definedName>
    <definedName name="MEWarning" hidden="1">1</definedName>
    <definedName name="MEWarning_1" hidden="1">0</definedName>
    <definedName name="mezhm" hidden="1">{#N/A,#N/A,FALSE,"CNM BUDGET EVIAN";#N/A,#N/A,FALSE,"CNM BUDGET BA"}</definedName>
    <definedName name="minnii" hidden="1">{"SPM1",#N/A,FALSE,"RIEP"}</definedName>
    <definedName name="mm" hidden="1">{#N/A,#N/A,FALSE,"RES-MARQ-c";#N/A,#N/A,FALSE,"CLTS-GP-c";#N/A,#N/A,FALSE,"NOUV PDTS-c";#N/A,#N/A,FALSE,"CESSIONS GROUPE-c"}</definedName>
    <definedName name="mm_1" hidden="1">{#N/A,#N/A,FALSE,"RES-MARQ-c";#N/A,#N/A,FALSE,"CLTS-GP-c";#N/A,#N/A,FALSE,"NOUV PDTS-c";#N/A,#N/A,FALSE,"CESSIONS GROUPE-c"}</definedName>
    <definedName name="mm_2" hidden="1">{#N/A,#N/A,FALSE,"RES-MARQ-c";#N/A,#N/A,FALSE,"CLTS-GP-c";#N/A,#N/A,FALSE,"NOUV PDTS-c";#N/A,#N/A,FALSE,"CESSIONS GROUPE-c"}</definedName>
    <definedName name="mm_3" hidden="1">{#N/A,#N/A,FALSE,"RES-MARQ-c";#N/A,#N/A,FALSE,"CLTS-GP-c";#N/A,#N/A,FALSE,"NOUV PDTS-c";#N/A,#N/A,FALSE,"CESSIONS GROUPE-c"}</definedName>
    <definedName name="mm_4" hidden="1">{#N/A,#N/A,FALSE,"RES-MARQ-c";#N/A,#N/A,FALSE,"CLTS-GP-c";#N/A,#N/A,FALSE,"NOUV PDTS-c";#N/A,#N/A,FALSE,"CESSIONS GROUPE-c"}</definedName>
    <definedName name="mm_5" hidden="1">{#N/A,#N/A,FALSE,"RES-MARQ-c";#N/A,#N/A,FALSE,"CLTS-GP-c";#N/A,#N/A,FALSE,"NOUV PDTS-c";#N/A,#N/A,FALSE,"CESSIONS GROUPE-c"}</definedName>
    <definedName name="mmmmm" hidden="1">{#N/A,#N/A,FALSE,"Calc";#N/A,#N/A,FALSE,"Sensitivity";#N/A,#N/A,FALSE,"LT Earn.Dil.";#N/A,#N/A,FALSE,"Dil. AVP"}</definedName>
    <definedName name="nbc" hidden="1">{"original",#N/A,TRUE,"flashcaneurope";"expeur",#N/A,TRUE,"EXPEUR";"ventesloceur",#N/A,TRUE,"VENTESLOCEUR";"candib",#N/A,TRUE,"flashcandib";"expedib",#N/A,TRUE,"EXPEDIB";"venteslocdib",#N/A,TRUE,"venteslocdib"}</definedName>
    <definedName name="neu" hidden="1">{"Plan","Plan",FALSE,"Datenbank"}</definedName>
    <definedName name="new" hidden="1">"24-5-2007 13:45:53"</definedName>
    <definedName name="New_EV_LASTREFTIME" hidden="1">39255.4341319444</definedName>
    <definedName name="new_name" hidden="1">{#N/A,#N/A,TRUE,"Pro Forma";#N/A,#N/A,TRUE,"PF_Bal";#N/A,#N/A,TRUE,"PF_INC";#N/A,#N/A,TRUE,"CBE";#N/A,#N/A,TRUE,"SWK"}</definedName>
    <definedName name="NEW_SLIDE" hidden="1">41066.6982407407</definedName>
    <definedName name="new_w" hidden="1">{"comps1_1",#N/A,FALSE,"Comps1";"comps1_2",#N/A,FALSE,"Comps1";"comps1_3",#N/A,FALSE,"Comps1";"comps1_4",#N/A,FALSE,"Comps1";"comps1_5",#N/A,FALSE,"Comps1"}</definedName>
    <definedName name="nitpou" hidden="1">{#N/A,#N/A,FALSE,"BUDGETSUEDWEST "}</definedName>
    <definedName name="nitpou_1" hidden="1">{#N/A,#N/A,FALSE,"BUDGETSUEDWEST "}</definedName>
    <definedName name="nitpou_2" hidden="1">{#N/A,#N/A,FALSE,"BUDGETSUEDWEST "}</definedName>
    <definedName name="nitpou_3" hidden="1">{#N/A,#N/A,FALSE,"BUDGETSUEDWEST "}</definedName>
    <definedName name="nitpou_4" hidden="1">{#N/A,#N/A,FALSE,"BUDGETSUEDWEST "}</definedName>
    <definedName name="nitpou_5" hidden="1">{#N/A,#N/A,FALSE,"BUDGETSUEDWEST "}</definedName>
    <definedName name="NN" hidden="1">{"original",#N/A,TRUE,"flashcaneurope";"expeur",#N/A,TRUE,"EXPEUR";"ventesloceur",#N/A,TRUE,"VENTESLOCEUR";"candib",#N/A,TRUE,"flashcandib";"expedib",#N/A,TRUE,"EXPEDIB";"venteslocdib",#N/A,TRUE,"venteslocdib"}</definedName>
    <definedName name="nnnnnnnnnnnnnnnnnnnnnnnnnnnnnnnnnnnnnnnnnnnnnnnnnnnnnnnnnnnn" hidden="1">#REF!</definedName>
    <definedName name="noidea" hidden="1">{#N/A,#N/A,FALSE,"Calc";#N/A,#N/A,FALSE,"Sensitivity";#N/A,#N/A,FALSE,"LT Earn.Dil.";#N/A,#N/A,FALSE,"Dil. AVP"}</definedName>
    <definedName name="noidea1" hidden="1">{#N/A,#N/A,FALSE,"Calc";#N/A,#N/A,FALSE,"Sensitivity";#N/A,#N/A,FALSE,"LT Earn.Dil.";#N/A,#N/A,FALSE,"Dil. AVP"}</definedName>
    <definedName name="noidea10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idea20" hidden="1">{#N/A,#N/A,FALSE,"Calc";#N/A,#N/A,FALSE,"Sensitivity";#N/A,#N/A,FALSE,"LT Earn.Dil.";#N/A,#N/A,FALSE,"Dil. AVP"}</definedName>
    <definedName name="noidea3" hidden="1">{#N/A,#N/A,FALSE,"Calc";#N/A,#N/A,FALSE,"Sensitivity";#N/A,#N/A,FALSE,"LT Earn.Dil.";#N/A,#N/A,FALSE,"Dil. AVP"}</definedName>
    <definedName name="noidea4" hidden="1">{#N/A,#N/A,FALSE,"Calc";#N/A,#N/A,FALSE,"Sensitivity";#N/A,#N/A,FALSE,"LT Earn.Dil.";#N/A,#N/A,FALSE,"Dil. AVP"}</definedName>
    <definedName name="noidea5" hidden="1">{#N/A,#N/A,FALSE,"Calc";#N/A,#N/A,FALSE,"Sensitivity";#N/A,#N/A,FALSE,"LT Earn.Dil.";#N/A,#N/A,FALSE,"Dil. AVP"}</definedName>
    <definedName name="noidea6" hidden="1">{#N/A,#N/A,FALSE,"Calc";#N/A,#N/A,FALSE,"Sensitivity";#N/A,#N/A,FALSE,"LT Earn.Dil.";#N/A,#N/A,FALSE,"Dil. AVP"}</definedName>
    <definedName name="noidea7" hidden="1">{#N/A,#N/A,FALSE,"Calc";#N/A,#N/A,FALSE,"Sensitivity";#N/A,#N/A,FALSE,"LT Earn.Dil.";#N/A,#N/A,FALSE,"Dil. AVP"}</definedName>
    <definedName name="normativ" hidden="1">{#N/A,#N/A,TRUE,"План продаж";#N/A,#N/A,TRUE,"Склад гот.прод";#N/A,#N/A,TRUE,"План отгрузки"}</definedName>
    <definedName name="NOUVEAU" hidden="1">{#N/A,#N/A,TRUE,"SYNTHESE-t";#N/A,#N/A,TRUE,"PUB-t";#N/A,#N/A,TRUE,"OP CONSO-t";#N/A,#N/A,TRUE,"REFERENCTS-t";#N/A,#N/A,TRUE,"ETUDES MKG-t";#N/A,#N/A,TRUE,"PACKAGING-t";#N/A,#N/A,TRUE,"DIR COM-t";#N/A,#N/A,TRUE,"MEDIA-t"}</definedName>
    <definedName name="ntyry" hidden="1">{"capcity",#N/A,FALSE,"Xiamen (chn)";"volume",#N/A,FALSE,"Xiamen (chn)"}</definedName>
    <definedName name="nvi" hidden="1">{"capacity",#N/A,FALSE,"Xian";"Volume",#N/A,FALSE,"Xian"}</definedName>
    <definedName name="OBvol" hidden="1">"3ODLDFO6FJRVG7H1J8B3CWN00"</definedName>
    <definedName name="òflfgfppfpf" hidden="1">{"SPM1",#N/A,FALSE,"RIEP"}</definedName>
    <definedName name="OIOIIUIUG" hidden="1">{"SPM1",#N/A,FALSE,"RIEP"}</definedName>
    <definedName name="OK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o" hidden="1">{#N/A,#N/A,FALSE,"ACTIVITE-c";#N/A,#N/A,FALSE,"RESEAU-c";#N/A,#N/A,FALSE,"BASE-c"}</definedName>
    <definedName name="oo_1" hidden="1">{#N/A,#N/A,FALSE,"ACTIVITE-c";#N/A,#N/A,FALSE,"RESEAU-c";#N/A,#N/A,FALSE,"BASE-c"}</definedName>
    <definedName name="oo_2" hidden="1">{#N/A,#N/A,FALSE,"ACTIVITE-c";#N/A,#N/A,FALSE,"RESEAU-c";#N/A,#N/A,FALSE,"BASE-c"}</definedName>
    <definedName name="oo_3" hidden="1">{#N/A,#N/A,FALSE,"ACTIVITE-c";#N/A,#N/A,FALSE,"RESEAU-c";#N/A,#N/A,FALSE,"BASE-c"}</definedName>
    <definedName name="oo_4" hidden="1">{#N/A,#N/A,FALSE,"ACTIVITE-c";#N/A,#N/A,FALSE,"RESEAU-c";#N/A,#N/A,FALSE,"BASE-c"}</definedName>
    <definedName name="oo_5" hidden="1">{#N/A,#N/A,FALSE,"ACTIVITE-c";#N/A,#N/A,FALSE,"RESEAU-c";#N/A,#N/A,FALSE,"BASE-c"}</definedName>
    <definedName name="ooo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ooooo" hidden="1">{#N/A,#N/A,FALSE,"Calc";#N/A,#N/A,FALSE,"Sensitivity";#N/A,#N/A,FALSE,"LT Earn.Dil.";#N/A,#N/A,FALSE,"Dil. AVP"}</definedName>
    <definedName name="oooooo" hidden="1">{#N/A,#N/A,FALSE,"RIEP"}</definedName>
    <definedName name="oop" hidden="1">#REF!</definedName>
    <definedName name="OP" hidden="1">{#N/A,#N/A,FALSE,"Operations";#N/A,#N/A,FALSE,"Financials"}</definedName>
    <definedName name="OrderTable" hidden="1">#N/A</definedName>
    <definedName name="OrgStructureMetabolics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OrgStructureMetabolics_1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OrgStructureMetabolics_2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OrgStructureMetabolics_3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OrgStructureMetabolics_4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OrgStructureMetabolics_5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p" hidden="1">{#N/A,#N/A,FALSE,"ACTIVITE-c";#N/A,#N/A,FALSE,"RESEAU-c";#N/A,#N/A,FALSE,"BASE-c"}</definedName>
    <definedName name="Pal_Workbook_GUID" hidden="1">"B6WKQI4SFC752DBDZRQV1PD3"</definedName>
    <definedName name="PARAMETER_month_no" hidden="1">#REF!</definedName>
    <definedName name="PARAMETER_months" hidden="1">#REF!</definedName>
    <definedName name="PARAMETER_RF" hidden="1">#REF!</definedName>
    <definedName name="PARAMETER_RF1" hidden="1">#REF!</definedName>
    <definedName name="PARAMETER_RFQtr1" hidden="1">#REF!</definedName>
    <definedName name="Parcel2" hidden="1">{"First Page",#N/A,FALSE,"Surfactants LBO";"Second Page",#N/A,FALSE,"Surfactants LBO"}</definedName>
    <definedName name="PartdeMarché" hidden="1">#N/A</definedName>
    <definedName name="paula" hidden="1">#REF!</definedName>
    <definedName name="pAULIN" hidden="1">#REF!</definedName>
    <definedName name="pepe" hidden="1">{"original",#N/A,TRUE,"flashcaneurope";"expeur",#N/A,TRUE,"EXPEUR";"ventesloceur",#N/A,TRUE,"VENTESLOCEUR";"candib",#N/A,TRUE,"flashcandib";"expedib",#N/A,TRUE,"EXPEDIB";"venteslocdib",#N/A,TRUE,"venteslocdib"}</definedName>
    <definedName name="pipo" hidden="1">{#N/A,#N/A,TRUE,"financial";#N/A,#N/A,TRUE,"plants"}</definedName>
    <definedName name="pippo" hidden="1">{#N/A,#N/A,FALSE,"RIEP"}</definedName>
    <definedName name="PLF" hidden="1">{#N/A,#N/A,FALSE,"CARATULA";#N/A,#N/A,FALSE,"Indice";#N/A,#N/A,FALSE,"Cap 1";#N/A,#N/A,FALSE,"Cap 2";#N/A,#N/A,FALSE,"Cap 3";#N/A,#N/A,FALSE,"Cap 4";#N/A,#N/A,FALSE,"Cap 5";#N/A,#N/A,FALSE,"Cap 6";#N/A,#N/A,FALSE,"Cap 7";#N/A,#N/A,FALSE,"Cap 8";#N/A,#N/A,FALSE,"Cap 9";#N/A,#N/A,FALSE,"Cap 10";#N/A,#N/A,FALSE,"Cap 11";#N/A,#N/A,FALSE,"Cap 12";#N/A,#N/A,FALSE,"Cap 13";#N/A,#N/A,FALSE,"Cap 14";#N/A,#N/A,FALSE,"Cap 15 TBI Gall+Hesp";#N/A,#N/A,FALSE,"Cap 15 TBI Choc";#N/A,#N/A,FALSE,"Cap 15 TBI DLeche";#N/A,#N/A,FALSE,"Cap 16";#N/A,#N/A,FALSE,"Cap 17";#N/A,#N/A,FALSE,"Cap 18";#N/A,#N/A,FALSE,"Cap 19";#N/A,#N/A,FALSE,"Cap 20";#N/A,#N/A,FALSE,"Cap 21";#N/A,#N/A,FALSE,"Cap 22";#N/A,#N/A,FALSE,"Cap 23";#N/A,#N/A,FALSE,"Cap 24"}</definedName>
    <definedName name="pluto" hidden="1">{"SPM1",#N/A,FALSE,"RIEP"}</definedName>
    <definedName name="poi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iur" hidden="1">{"index",#N/A,FALSE,"DRS";"a_1",#N/A,FALSE,"DRS";"a_2",#N/A,FALSE,"DRS";"b_1",#N/A,FALSE,"DRS";"b_2.b_3",#N/A,FALSE,"DRS";"b_4.b_5.b_6",#N/A,FALSE,"DRS";"b_7.b_8",#N/A,FALSE,"DRS";"b_9",#N/A,FALSE,"DRS";"b_10.b_11",#N/A,FALSE,"DRS";"b_12.b_13",#N/A,FALSE,"DRS";"b_14",#N/A,FALSE,"DRS";"b_15.b_16",#N/A,FALSE,"DRS";"b_17",#N/A,FALSE,"DRS";"b_18",#N/A,FALSE,"DRS";"c_1.c_2",#N/A,FALSE,"DRS";"d_1",#N/A,FALSE,"DRS";"e_1",#N/A,FALSE,"DRS"}</definedName>
    <definedName name="port" hidden="1">{#N/A,#N/A,FALSE,"DCF";#N/A,#N/A,FALSE,"WACC";#N/A,#N/A,FALSE,"Sales_EBIT";#N/A,#N/A,FALSE,"Capex_Depreciation";#N/A,#N/A,FALSE,"WC";#N/A,#N/A,FALSE,"Interest";#N/A,#N/A,FALSE,"Assumptions"}</definedName>
    <definedName name="pp" hidden="1">{#N/A,#N/A,TRUE,"RES-MARQ-t";#N/A,#N/A,TRUE,"CLTS-GP-t";#N/A,#N/A,TRUE,"NOUV PDTS-t";#N/A,#N/A,TRUE,"CESSIONS GROUPE-t"}</definedName>
    <definedName name="pp_1" hidden="1">{#N/A,#N/A,TRUE,"RES-MARQ-t";#N/A,#N/A,TRUE,"CLTS-GP-t";#N/A,#N/A,TRUE,"NOUV PDTS-t";#N/A,#N/A,TRUE,"CESSIONS GROUPE-t"}</definedName>
    <definedName name="pp_2" hidden="1">{#N/A,#N/A,TRUE,"RES-MARQ-t";#N/A,#N/A,TRUE,"CLTS-GP-t";#N/A,#N/A,TRUE,"NOUV PDTS-t";#N/A,#N/A,TRUE,"CESSIONS GROUPE-t"}</definedName>
    <definedName name="pp_3" hidden="1">{#N/A,#N/A,TRUE,"RES-MARQ-t";#N/A,#N/A,TRUE,"CLTS-GP-t";#N/A,#N/A,TRUE,"NOUV PDTS-t";#N/A,#N/A,TRUE,"CESSIONS GROUPE-t"}</definedName>
    <definedName name="pp_4" hidden="1">{#N/A,#N/A,TRUE,"RES-MARQ-t";#N/A,#N/A,TRUE,"CLTS-GP-t";#N/A,#N/A,TRUE,"NOUV PDTS-t";#N/A,#N/A,TRUE,"CESSIONS GROUPE-t"}</definedName>
    <definedName name="pp_5" hidden="1">{#N/A,#N/A,TRUE,"RES-MARQ-t";#N/A,#N/A,TRUE,"CLTS-GP-t";#N/A,#N/A,TRUE,"NOUV PDTS-t";#N/A,#N/A,TRUE,"CESSIONS GROUPE-t"}</definedName>
    <definedName name="ppp" hidden="1">{"QQQ",#N/A,FALSE,"RIEP"}</definedName>
    <definedName name="ppxx" hidden="1">{"HeadstatPolish",#N/A,TRUE,"Headstat";"HeadstatEnglish",#N/A,TRUE,"Headstat";"charts",#N/A,TRUE,"Charts";"Variance1",#N/A,TRUE,"Variances";"Variance2",#N/A,TRUE,"Variances";"Interconnect",#N/A,TRUE,"Variances";"Subscribers",#N/A,TRUE,"Variances";"Churn",#N/A,TRUE,"Variances";"Headcount",#N/A,TRUE,"Headcount";"SalaryVariance",#N/A,TRUE,"Headcount"}</definedName>
    <definedName name="ppxxx" hidden="1">{"HeadstatPolish",#N/A,TRUE,"Headstat";"HeadstatEnglish",#N/A,TRUE,"Headstat";"charts",#N/A,TRUE,"Charts";"Variance1",#N/A,TRUE,"Variances";"Variance2",#N/A,TRUE,"Variances";"Interconnect",#N/A,TRUE,"Variances";"Subscribers",#N/A,TRUE,"Variances";"Churn",#N/A,TRUE,"Variances";"Headcount",#N/A,TRUE,"Headcount";"SalaryVariance",#N/A,TRUE,"Headcount"}</definedName>
    <definedName name="Preference2" hidden="1">{#N/A,#N/A,FALSE,"CARATULA";#N/A,#N/A,FALSE,"Indice";#N/A,#N/A,FALSE,"Cap 1";#N/A,#N/A,FALSE,"Cap 2";#N/A,#N/A,FALSE,"Cap 3";#N/A,#N/A,FALSE,"Cap 4";#N/A,#N/A,FALSE,"Cap 5";#N/A,#N/A,FALSE,"Cap 6";#N/A,#N/A,FALSE,"Cap 7";#N/A,#N/A,FALSE,"Cap 8";#N/A,#N/A,FALSE,"Cap 9";#N/A,#N/A,FALSE,"Cap 10";#N/A,#N/A,FALSE,"Cap 11";#N/A,#N/A,FALSE,"Cap 12";#N/A,#N/A,FALSE,"Cap 13";#N/A,#N/A,FALSE,"Cap 14";#N/A,#N/A,FALSE,"Cap 15 TBI Gall+Hesp";#N/A,#N/A,FALSE,"Cap 15 TBI Choc";#N/A,#N/A,FALSE,"Cap 15 TBI DLeche";#N/A,#N/A,FALSE,"Cap 16";#N/A,#N/A,FALSE,"Cap 17";#N/A,#N/A,FALSE,"Cap 18";#N/A,#N/A,FALSE,"Cap 19";#N/A,#N/A,FALSE,"Cap 20";#N/A,#N/A,FALSE,"Cap 21";#N/A,#N/A,FALSE,"Cap 22";#N/A,#N/A,FALSE,"Cap 23";#N/A,#N/A,FALSE,"Cap 24"}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icing2" hidden="1">{#N/A,#N/A,FALSE,"Total P&amp;L";#N/A,#N/A,FALSE,"RtlCup";#N/A,#N/A,FALSE,"FOB";#N/A,#N/A,FALSE,"Plain";#N/A,#N/A,FALSE,"Classic";#N/A,#N/A,FALSE,"Light";#N/A,#N/A,FALSE,"Chunky";#N/A,#N/A,FALSE,"Sprinklins";#N/A,#N/A,FALSE,"Danimals";#N/A,#N/A,FALSE,"Water";#N/A,#N/A,FALSE,"BWF Mini";#N/A,#N/A,FALSE,"D-Day";#N/A,#N/A,FALSE,"New Ventures";#N/A,#N/A,FALSE,"Space Shuttle";#N/A,#N/A,FALSE,"ACB";#N/A,#N/A,FALSE,"dess";#N/A,#N/A,FALSE,"bev";#N/A,#N/A,FALSE,"PGF";#N/A,#N/A,FALSE,"Right"}</definedName>
    <definedName name="print4" hidden="1">{#N/A,#N/A,FALSE,"Operations";#N/A,#N/A,FALSE,"Financials"}</definedName>
    <definedName name="ProdForm" hidden="1">#N/A</definedName>
    <definedName name="Product" hidden="1">#N/A</definedName>
    <definedName name="promo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promo_1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promo_2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promo_3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promo_4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promo_5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prout" hidden="1">{"comp1",#N/A,FALSE,"COMPS";"footnotes",#N/A,FALSE,"COMPS"}</definedName>
    <definedName name="prout1" hidden="1">{"comp1",#N/A,FALSE,"COMPS";"footnotes",#N/A,FALSE,"COMPS"}</definedName>
    <definedName name="qaecdaze" hidden="1">{"First Page",#N/A,FALSE,"Surfactants LBO";"Second Page",#N/A,FALSE,"Surfactants LBO"}</definedName>
    <definedName name="qaz" hidden="1">{"original",#N/A,TRUE,"flashcaneurope";"expeur",#N/A,TRUE,"EXPEUR";"ventesloceur",#N/A,TRUE,"VENTESLOCEUR";"candib",#N/A,TRUE,"flashcandib";"expedib",#N/A,TRUE,"EXPEDIB";"venteslocdib",#N/A,TRUE,"venteslocdib"}</definedName>
    <definedName name="qaze" hidden="1">{#N/A,#N/A,FALSE,"ACTIVITE-c";#N/A,#N/A,FALSE,"RESEAU-c";#N/A,#N/A,FALSE,"BASE-c"}</definedName>
    <definedName name="qaze_1" hidden="1">{#N/A,#N/A,FALSE,"ACTIVITE-c";#N/A,#N/A,FALSE,"RESEAU-c";#N/A,#N/A,FALSE,"BASE-c"}</definedName>
    <definedName name="qaze_2" hidden="1">{#N/A,#N/A,FALSE,"ACTIVITE-c";#N/A,#N/A,FALSE,"RESEAU-c";#N/A,#N/A,FALSE,"BASE-c"}</definedName>
    <definedName name="qaze_3" hidden="1">{#N/A,#N/A,FALSE,"ACTIVITE-c";#N/A,#N/A,FALSE,"RESEAU-c";#N/A,#N/A,FALSE,"BASE-c"}</definedName>
    <definedName name="qaze_4" hidden="1">{#N/A,#N/A,FALSE,"ACTIVITE-c";#N/A,#N/A,FALSE,"RESEAU-c";#N/A,#N/A,FALSE,"BASE-c"}</definedName>
    <definedName name="qaze_5" hidden="1">{#N/A,#N/A,FALSE,"ACTIVITE-c";#N/A,#N/A,FALSE,"RESEAU-c";#N/A,#N/A,FALSE,"BASE-c"}</definedName>
    <definedName name="qe" hidden="1">{"capacity",#N/A,FALSE,"Xian";"Volume",#N/A,FALSE,"Xian"}</definedName>
    <definedName name="qefs" hidden="1">{"original",#N/A,TRUE,"flashcaneurope";"expeur",#N/A,TRUE,"EXPEUR";"ventesloceur",#N/A,TRUE,"VENTESLOCEUR";"candib",#N/A,TRUE,"flashcandib";"expedib",#N/A,TRUE,"EXPEDIB";"venteslocdib",#N/A,TRUE,"venteslocdib"}</definedName>
    <definedName name="qefs_1" hidden="1">{"original",#N/A,TRUE,"flashcaneurope";"expeur",#N/A,TRUE,"EXPEUR";"ventesloceur",#N/A,TRUE,"VENTESLOCEUR";"candib",#N/A,TRUE,"flashcandib";"expedib",#N/A,TRUE,"EXPEDIB";"venteslocdib",#N/A,TRUE,"venteslocdib"}</definedName>
    <definedName name="qefs_2" hidden="1">{"original",#N/A,TRUE,"flashcaneurope";"expeur",#N/A,TRUE,"EXPEUR";"ventesloceur",#N/A,TRUE,"VENTESLOCEUR";"candib",#N/A,TRUE,"flashcandib";"expedib",#N/A,TRUE,"EXPEDIB";"venteslocdib",#N/A,TRUE,"venteslocdib"}</definedName>
    <definedName name="qefs_3" hidden="1">{"original",#N/A,TRUE,"flashcaneurope";"expeur",#N/A,TRUE,"EXPEUR";"ventesloceur",#N/A,TRUE,"VENTESLOCEUR";"candib",#N/A,TRUE,"flashcandib";"expedib",#N/A,TRUE,"EXPEDIB";"venteslocdib",#N/A,TRUE,"venteslocdib"}</definedName>
    <definedName name="qefs_4" hidden="1">{"original",#N/A,TRUE,"flashcaneurope";"expeur",#N/A,TRUE,"EXPEUR";"ventesloceur",#N/A,TRUE,"VENTESLOCEUR";"candib",#N/A,TRUE,"flashcandib";"expedib",#N/A,TRUE,"EXPEDIB";"venteslocdib",#N/A,TRUE,"venteslocdib"}</definedName>
    <definedName name="qefs_5" hidden="1">{"original",#N/A,TRUE,"flashcaneurope";"expeur",#N/A,TRUE,"EXPEUR";"ventesloceur",#N/A,TRUE,"VENTESLOCEUR";"candib",#N/A,TRUE,"flashcandib";"expedib",#N/A,TRUE,"EXPEDIB";"venteslocdib",#N/A,TRUE,"venteslocdib"}</definedName>
    <definedName name="qq" hidden="1">{#N/A,#N/A,FALSE,"BUDGETSUEDWEST "}</definedName>
    <definedName name="qq_1" hidden="1">{#N/A,#N/A,FALSE,"BUDGETSUEDWEST "}</definedName>
    <definedName name="qq_2" hidden="1">{#N/A,#N/A,FALSE,"BUDGETSUEDWEST "}</definedName>
    <definedName name="qq_3" hidden="1">{#N/A,#N/A,FALSE,"BUDGETSUEDWEST "}</definedName>
    <definedName name="qq_4" hidden="1">{#N/A,#N/A,FALSE,"BUDGETSUEDWEST "}</definedName>
    <definedName name="qq_5" hidden="1">{#N/A,#N/A,FALSE,"BUDGETSUEDWEST "}</definedName>
    <definedName name="QQQQQQQQQQQQ" hidden="1">{#N/A,#N/A,FALSE,"RIEP"}</definedName>
    <definedName name="qscfaq" hidden="1">{"First Page",#N/A,FALSE,"Surfactants LBO";"Second Page",#N/A,FALSE,"Surfactants LBO"}</definedName>
    <definedName name="QSDQS" hidden="1">#REF!</definedName>
    <definedName name="quDate_DT" hidden="1">#REF!</definedName>
    <definedName name="quMon_MON" hidden="1">#REF!</definedName>
    <definedName name="QUOTE_414_DoNotDeleteThisName_1" hidden="1">#REF!</definedName>
    <definedName name="QUOTE_415_DoNotDeleteThisName_1" hidden="1">#REF!</definedName>
    <definedName name="QUOTE_416_DoNotDeleteThisName_1" hidden="1">#REF!</definedName>
    <definedName name="QUOTE_417_DoNotDeleteThisName_1" hidden="1">#REF!</definedName>
    <definedName name="QUOTE_418_DoNotDeleteThisName_1" hidden="1">#REF!</definedName>
    <definedName name="QUOTE_419_DoNotDeleteThisName_1" hidden="1">#REF!</definedName>
    <definedName name="QUOTE_420_DoNotDeleteThisName_1" hidden="1">#REF!</definedName>
    <definedName name="QUOTE_421_DoNotDeleteThisName_1" hidden="1">#REF!</definedName>
    <definedName name="QUOTE_423_DoNotDeleteThisName_1" hidden="1">#REF!</definedName>
    <definedName name="QUOTE_425_DoNotDeleteThisName_1" hidden="1">#REF!</definedName>
    <definedName name="QUOTE_430_DoNotDeleteThisName_1" hidden="1">#REF!</definedName>
    <definedName name="QUOTE_431_DoNotDeleteThisName_1" hidden="1">#REF!</definedName>
    <definedName name="QUOTE_432_DoNotDeleteThisName_1" hidden="1">#REF!</definedName>
    <definedName name="QUOTE_433_DoNotDeleteThisName_1" hidden="1">#REF!</definedName>
    <definedName name="QUOTE_434_DoNotDeleteThisName_1" hidden="1">#REF!</definedName>
    <definedName name="QUOTE_435_DoNotDeleteThisName_1" hidden="1">#REF!</definedName>
    <definedName name="QUOTE_436_DoNotDeleteThisName_1" hidden="1">#REF!</definedName>
    <definedName name="QUOTE_437_DoNotDeleteThisName_1" hidden="1">#REF!</definedName>
    <definedName name="QUOTE_438_DoNotDeleteThisName_1" hidden="1">#REF!</definedName>
    <definedName name="QUOTE_439_DoNotDeleteThisName_1" hidden="1">#REF!</definedName>
    <definedName name="QUOTE_440_DoNotDeleteThisName_1" hidden="1">#REF!</definedName>
    <definedName name="QUOTE_441_DoNotDeleteThisName_1" hidden="1">#REF!</definedName>
    <definedName name="QUOTE_442_DoNotDeleteThisName_1" hidden="1">#REF!</definedName>
    <definedName name="QUOTE_444_DoNotDeleteThisName_1" hidden="1">#REF!</definedName>
    <definedName name="QUOTE_445_DoNotDeleteThisName_1" hidden="1">#REF!</definedName>
    <definedName name="QUOTE_446_DoNotDeleteThisName_1" hidden="1">#REF!</definedName>
    <definedName name="QUOTE_447_DoNotDeleteThisName_1" hidden="1">#REF!</definedName>
    <definedName name="QUOTE_448_DoNotDeleteThisName_1" hidden="1">#REF!</definedName>
    <definedName name="QUOTE_449_DoNotDeleteThisName_1" hidden="1">#REF!</definedName>
    <definedName name="QUOTE_450_DoNotDeleteThisName_1" hidden="1">#REF!</definedName>
    <definedName name="QUOTE_451_DoNotDeleteThisName_1" hidden="1">#REF!</definedName>
    <definedName name="QUOTE_452_DoNotDeleteThisName_1" hidden="1">#REF!</definedName>
    <definedName name="QUOTE_453_DoNotDeleteThisName_1" hidden="1">#REF!</definedName>
    <definedName name="QUOTE_454_DoNotDeleteThisName_1" hidden="1">#REF!</definedName>
    <definedName name="QUOTE_455_DoNotDeleteThisName_1" hidden="1">#REF!</definedName>
    <definedName name="QUOTE_456_DoNotDeleteThisName_1" hidden="1">#REF!</definedName>
    <definedName name="QUOTE_457_DoNotDeleteThisName_1" hidden="1">#REF!</definedName>
    <definedName name="QUOTE_458_DoNotDeleteThisName_1" hidden="1">#REF!</definedName>
    <definedName name="QUOTE_459_DoNotDeleteThisName_1" hidden="1">#REF!</definedName>
    <definedName name="QUOTE_460_DoNotDeleteThisName_1" hidden="1">#REF!</definedName>
    <definedName name="qw" hidden="1">{#N/A,#N/A,TRUE,"Índice";#N/A,#N/A,TRUE,"Indicadores Ind.";#N/A,#N/A,TRUE,"Rend. y Sat.";#N/A,#N/A,TRUE,"Síntesis de Informe";#N/A,#N/A,TRUE,"T.B.I. Planta Bs. As.";#N/A,#N/A,TRUE,"Análisis de Desvíos";#N/A,#N/A,TRUE,"132 Por Cuenta";#N/A,#N/A,TRUE,"132 Por C.C.";#N/A,#N/A,TRUE,"142 Por Cuenta";#N/A,#N/A,TRUE,"142 Por Cta Ranking";#N/A,#N/A,TRUE,"142 Por C.C. ";#N/A,#N/A,TRUE,"T.B.I. Chocolate";#N/A,#N/A,TRUE,"Control de Dotación";#N/A,#N/A,TRUE,"Comparativa Horas";#N/A,#N/A,TRUE,"Control Hs.Extras";#N/A,#N/A,TRUE,"Productividad por línea";#N/A,#N/A,TRUE,"Sobrepeso";#N/A,#N/A,TRUE,"Scrap";#N/A,#N/A,TRUE,"Evol. Mermas";#N/A,#N/A,TRUE,"Evol. Mermas (Res. Gráfico)";#N/A,#N/A,TRUE,"Estadística (Productos)";#N/A,#N/A,TRUE,"Estadística (Familias)";#N/A,#N/A,TRUE,"Chocolate";#N/A,#N/A,TRUE,"Dulce de Leche"}</definedName>
    <definedName name="qwe" hidden="1">{#N/A,#N/A,TRUE,"SYNTHESE-t";#N/A,#N/A,TRUE,"PUB-t";#N/A,#N/A,TRUE,"OP CONSO-t";#N/A,#N/A,TRUE,"REFERENCTS-t";#N/A,#N/A,TRUE,"ETUDES MKG-t";#N/A,#N/A,TRUE,"PACKAGING-t";#N/A,#N/A,TRUE,"DIR COM-t";#N/A,#N/A,TRUE,"MEDIA-t"}</definedName>
    <definedName name="qwe_1" hidden="1">{#N/A,#N/A,TRUE,"SYNTHESE-t";#N/A,#N/A,TRUE,"PUB-t";#N/A,#N/A,TRUE,"OP CONSO-t";#N/A,#N/A,TRUE,"REFERENCTS-t";#N/A,#N/A,TRUE,"ETUDES MKG-t";#N/A,#N/A,TRUE,"PACKAGING-t";#N/A,#N/A,TRUE,"DIR COM-t";#N/A,#N/A,TRUE,"MEDIA-t"}</definedName>
    <definedName name="qwe_2" hidden="1">{#N/A,#N/A,TRUE,"SYNTHESE-t";#N/A,#N/A,TRUE,"PUB-t";#N/A,#N/A,TRUE,"OP CONSO-t";#N/A,#N/A,TRUE,"REFERENCTS-t";#N/A,#N/A,TRUE,"ETUDES MKG-t";#N/A,#N/A,TRUE,"PACKAGING-t";#N/A,#N/A,TRUE,"DIR COM-t";#N/A,#N/A,TRUE,"MEDIA-t"}</definedName>
    <definedName name="qwe_3" hidden="1">{#N/A,#N/A,TRUE,"SYNTHESE-t";#N/A,#N/A,TRUE,"PUB-t";#N/A,#N/A,TRUE,"OP CONSO-t";#N/A,#N/A,TRUE,"REFERENCTS-t";#N/A,#N/A,TRUE,"ETUDES MKG-t";#N/A,#N/A,TRUE,"PACKAGING-t";#N/A,#N/A,TRUE,"DIR COM-t";#N/A,#N/A,TRUE,"MEDIA-t"}</definedName>
    <definedName name="qwe_4" hidden="1">{#N/A,#N/A,TRUE,"SYNTHESE-t";#N/A,#N/A,TRUE,"PUB-t";#N/A,#N/A,TRUE,"OP CONSO-t";#N/A,#N/A,TRUE,"REFERENCTS-t";#N/A,#N/A,TRUE,"ETUDES MKG-t";#N/A,#N/A,TRUE,"PACKAGING-t";#N/A,#N/A,TRUE,"DIR COM-t";#N/A,#N/A,TRUE,"MEDIA-t"}</definedName>
    <definedName name="qwe_5" hidden="1">{#N/A,#N/A,TRUE,"SYNTHESE-t";#N/A,#N/A,TRUE,"PUB-t";#N/A,#N/A,TRUE,"OP CONSO-t";#N/A,#N/A,TRUE,"REFERENCTS-t";#N/A,#N/A,TRUE,"ETUDES MKG-t";#N/A,#N/A,TRUE,"PACKAGING-t";#N/A,#N/A,TRUE,"DIR COM-t";#N/A,#N/A,TRUE,"MEDIA-t"}</definedName>
    <definedName name="qwr" hidden="1">"22-9-2006 18:00:06"</definedName>
    <definedName name="qws" hidden="1">{#N/A,#N/A,FALSE,"PVS"}</definedName>
    <definedName name="qww" hidden="1">{#N/A,#N/A,TRUE,"План продаж";#N/A,#N/A,TRUE,"Склад гот.прод";#N/A,#N/A,TRUE,"План отгрузки"}</definedName>
    <definedName name="RCArea" hidden="1">#N/A</definedName>
    <definedName name="REBATE" hidden="1">#REF!</definedName>
    <definedName name="redo" hidden="1">{#N/A,#N/A,FALSE,"ACQ_GRAPHS";#N/A,#N/A,FALSE,"T_1 GRAPHS";#N/A,#N/A,FALSE,"T_2 GRAPHS";#N/A,#N/A,FALSE,"COMB_GRAPHS"}</definedName>
    <definedName name="rewu54u" hidden="1">#REF!</definedName>
    <definedName name="rex" hidden="1">#REF!</definedName>
    <definedName name="reyeyej" hidden="1">#REF!</definedName>
    <definedName name="reztetrert" hidden="1">{"comps",#N/A,FALSE,"HANDPACK";"footnotes",#N/A,FALSE,"HANDPACK"}</definedName>
    <definedName name="REZTEZRT" hidden="1">#REF!</definedName>
    <definedName name="RFDC" hidden="1">{"comp1",#N/A,FALSE,"COMPS";"footnotes",#N/A,FALSE,"COMPS"}</definedName>
    <definedName name="rftrr" hidden="1">{#N/A,#N/A,TRUE,"comp";#N/A,#N/A,TRUE,"notes"}</definedName>
    <definedName name="rg" hidden="1">{"'Sheet1'!$A$1:$G$96","'Sheet1'!$A$1:$H$96"}</definedName>
    <definedName name="rgrgrees" hidden="1">{#N/A,#N/A,TRUE,"RES-MARQ-t";#N/A,#N/A,TRUE,"CLTS-GP-t";#N/A,#N/A,TRUE,"NOUV PDTS-t";#N/A,#N/A,TRUE,"CESSIONS GROUPE-t"}</definedName>
    <definedName name="rgt" hidden="1">{#N/A,#N/A,FALSE,"ACTIVITE-c";#N/A,#N/A,FALSE,"RESEAU-c";#N/A,#N/A,FALSE,"BASE-c"}</definedName>
    <definedName name="rhyftghgfh" hidden="1">{"'Sheet1'!$A$1:$G$96","'Sheet1'!$A$1:$H$96"}</definedName>
    <definedName name="ria" hidden="1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"disablesheets"</definedName>
    <definedName name="RiskMultipleCPUSupportEnabled" hidden="1">TRUE</definedName>
    <definedName name="rl" hidden="1">#REF!</definedName>
    <definedName name="rosa" hidden="1">{"original",#N/A,TRUE,"flashcaneurope";"expeur",#N/A,TRUE,"EXPEUR";"ventesloceur",#N/A,TRUE,"VENTESLOCEUR";"candib",#N/A,TRUE,"flashcandib";"expedib",#N/A,TRUE,"EXPEDIB";"venteslocdib",#N/A,TRUE,"venteslocdib"}</definedName>
    <definedName name="rrr" hidden="1">{#N/A,#N/A,TRUE,"SYNTHESE-t";#N/A,#N/A,TRUE,"PUB-t";#N/A,#N/A,TRUE,"OP CONSO-t";#N/A,#N/A,TRUE,"REFERENCTS-t";#N/A,#N/A,TRUE,"ETUDES MKG-t";#N/A,#N/A,TRUE,"PACKAGING-t";#N/A,#N/A,TRUE,"DIR COM-t";#N/A,#N/A,TRUE,"MEDIA-t"}</definedName>
    <definedName name="rrr_1" hidden="1">{#N/A,#N/A,TRUE,"SYNTHESE-t";#N/A,#N/A,TRUE,"PUB-t";#N/A,#N/A,TRUE,"OP CONSO-t";#N/A,#N/A,TRUE,"REFERENCTS-t";#N/A,#N/A,TRUE,"ETUDES MKG-t";#N/A,#N/A,TRUE,"PACKAGING-t";#N/A,#N/A,TRUE,"DIR COM-t";#N/A,#N/A,TRUE,"MEDIA-t"}</definedName>
    <definedName name="rrr_2" hidden="1">{#N/A,#N/A,TRUE,"SYNTHESE-t";#N/A,#N/A,TRUE,"PUB-t";#N/A,#N/A,TRUE,"OP CONSO-t";#N/A,#N/A,TRUE,"REFERENCTS-t";#N/A,#N/A,TRUE,"ETUDES MKG-t";#N/A,#N/A,TRUE,"PACKAGING-t";#N/A,#N/A,TRUE,"DIR COM-t";#N/A,#N/A,TRUE,"MEDIA-t"}</definedName>
    <definedName name="rrr_3" hidden="1">{#N/A,#N/A,TRUE,"SYNTHESE-t";#N/A,#N/A,TRUE,"PUB-t";#N/A,#N/A,TRUE,"OP CONSO-t";#N/A,#N/A,TRUE,"REFERENCTS-t";#N/A,#N/A,TRUE,"ETUDES MKG-t";#N/A,#N/A,TRUE,"PACKAGING-t";#N/A,#N/A,TRUE,"DIR COM-t";#N/A,#N/A,TRUE,"MEDIA-t"}</definedName>
    <definedName name="rrr_4" hidden="1">{#N/A,#N/A,TRUE,"SYNTHESE-t";#N/A,#N/A,TRUE,"PUB-t";#N/A,#N/A,TRUE,"OP CONSO-t";#N/A,#N/A,TRUE,"REFERENCTS-t";#N/A,#N/A,TRUE,"ETUDES MKG-t";#N/A,#N/A,TRUE,"PACKAGING-t";#N/A,#N/A,TRUE,"DIR COM-t";#N/A,#N/A,TRUE,"MEDIA-t"}</definedName>
    <definedName name="rrr_5" hidden="1">{#N/A,#N/A,TRUE,"SYNTHESE-t";#N/A,#N/A,TRUE,"PUB-t";#N/A,#N/A,TRUE,"OP CONSO-t";#N/A,#N/A,TRUE,"REFERENCTS-t";#N/A,#N/A,TRUE,"ETUDES MKG-t";#N/A,#N/A,TRUE,"PACKAGING-t";#N/A,#N/A,TRUE,"DIR COM-t";#N/A,#N/A,TRUE,"MEDIA-t"}</definedName>
    <definedName name="RTG" hidden="1">{#N/A,#N/A,FALSE,"Operations";#N/A,#N/A,FALSE,"Financials"}</definedName>
    <definedName name="rthtrre" hidden="1">#REF!</definedName>
    <definedName name="rtp" hidden="1">#REF!</definedName>
    <definedName name="rturt" hidden="1">#REF!</definedName>
    <definedName name="rty" hidden="1">{#N/A,#N/A,TRUE,"Pro Forma";#N/A,#N/A,TRUE,"PF_Bal";#N/A,#N/A,TRUE,"PF_INC";#N/A,#N/A,TRUE,"CBE";#N/A,#N/A,TRUE,"SWK"}</definedName>
    <definedName name="rtyrty" hidden="1">{"general",#N/A,FALSE,"Assumptions"}</definedName>
    <definedName name="Rwvu.CapersView." hidden="1">#REF!</definedName>
    <definedName name="Rwvu.Japan_Capers_Ed_Pub." hidden="1">#REF!</definedName>
    <definedName name="Rwvu.KJP_CC." hidden="1">#REF!</definedName>
    <definedName name="SAPBEXdnldView" hidden="1">"40TUFHSQG6DVQ1X747XV5ZF2J"</definedName>
    <definedName name="SAPBEXhrIndnt" hidden="1">1</definedName>
    <definedName name="SAPBEXrevision" hidden="1">7</definedName>
    <definedName name="SAPBEXrevision_1" hidden="1">0</definedName>
    <definedName name="SAPBEXsysID" hidden="1">"P57"</definedName>
    <definedName name="SAPBEXwbID" hidden="1">"3JX5BV41R2KVEX9FV6LB6ZNYC"</definedName>
    <definedName name="SAPBEXwbID_1" hidden="1">"3VMUEVSNRRIU8BIE4VMO3GV3L"</definedName>
    <definedName name="SAPFuncF4Help" hidden="1">Main.SAPF4Help()</definedName>
    <definedName name="SAPsysID" hidden="1">"708C5W7SBKP804JT78WJ0JNKI"</definedName>
    <definedName name="SAPwbID" hidden="1">"ARS"</definedName>
    <definedName name="sasasasas" hidden="1">{#N/A,#N/A,TRUE,"ANALYSE";#N/A,#N/A,TRUE,"PM VOLUME";#N/A,#N/A,TRUE,"PM VALEUR";#N/A,#N/A,TRUE,"AR1";#N/A,#N/A,TRUE,"AR2";#N/A,#N/A,TRUE,"RAF";#N/A,#N/A,TRUE,"BILAN";#N/A,#N/A,TRUE,"CASH FLOW";#N/A,#N/A,TRUE,"ETAT FI"}</definedName>
    <definedName name="sasasasas_1" hidden="1">{#N/A,#N/A,TRUE,"ANALYSE";#N/A,#N/A,TRUE,"PM VOLUME";#N/A,#N/A,TRUE,"PM VALEUR";#N/A,#N/A,TRUE,"AR1";#N/A,#N/A,TRUE,"AR2";#N/A,#N/A,TRUE,"RAF";#N/A,#N/A,TRUE,"BILAN";#N/A,#N/A,TRUE,"CASH FLOW";#N/A,#N/A,TRUE,"ETAT FI"}</definedName>
    <definedName name="sasasasas_2" hidden="1">{#N/A,#N/A,TRUE,"ANALYSE";#N/A,#N/A,TRUE,"PM VOLUME";#N/A,#N/A,TRUE,"PM VALEUR";#N/A,#N/A,TRUE,"AR1";#N/A,#N/A,TRUE,"AR2";#N/A,#N/A,TRUE,"RAF";#N/A,#N/A,TRUE,"BILAN";#N/A,#N/A,TRUE,"CASH FLOW";#N/A,#N/A,TRUE,"ETAT FI"}</definedName>
    <definedName name="sasasasas_3" hidden="1">{#N/A,#N/A,TRUE,"ANALYSE";#N/A,#N/A,TRUE,"PM VOLUME";#N/A,#N/A,TRUE,"PM VALEUR";#N/A,#N/A,TRUE,"AR1";#N/A,#N/A,TRUE,"AR2";#N/A,#N/A,TRUE,"RAF";#N/A,#N/A,TRUE,"BILAN";#N/A,#N/A,TRUE,"CASH FLOW";#N/A,#N/A,TRUE,"ETAT FI"}</definedName>
    <definedName name="sasasasas_4" hidden="1">{#N/A,#N/A,TRUE,"ANALYSE";#N/A,#N/A,TRUE,"PM VOLUME";#N/A,#N/A,TRUE,"PM VALEUR";#N/A,#N/A,TRUE,"AR1";#N/A,#N/A,TRUE,"AR2";#N/A,#N/A,TRUE,"RAF";#N/A,#N/A,TRUE,"BILAN";#N/A,#N/A,TRUE,"CASH FLOW";#N/A,#N/A,TRUE,"ETAT FI"}</definedName>
    <definedName name="sasasasas_5" hidden="1">{#N/A,#N/A,TRUE,"ANALYSE";#N/A,#N/A,TRUE,"PM VOLUME";#N/A,#N/A,TRUE,"PM VALEUR";#N/A,#N/A,TRUE,"AR1";#N/A,#N/A,TRUE,"AR2";#N/A,#N/A,TRUE,"RAF";#N/A,#N/A,TRUE,"BILAN";#N/A,#N/A,TRUE,"CASH FLOW";#N/A,#N/A,TRUE,"ETAT FI"}</definedName>
    <definedName name="sbgsdgfgbb" hidden="1">#REF!</definedName>
    <definedName name="sc" hidden="1">{#N/A,#N/A,FALSE,"RES-MARQ-c";#N/A,#N/A,FALSE,"CLTS-GP-c";#N/A,#N/A,FALSE,"NOUV PDTS-c";#N/A,#N/A,FALSE,"CESSIONS GROUPE-c"}</definedName>
    <definedName name="sd" hidden="1">{"SPM1",#N/A,FALSE,"RIEP"}</definedName>
    <definedName name="sda" hidden="1">#REF!</definedName>
    <definedName name="sdasd" hidden="1">{0,0}</definedName>
    <definedName name="sdd" hidden="1">{"'Sheet1'!$A$1:$G$96","'Sheet1'!$A$1:$H$96"}</definedName>
    <definedName name="SDER" hidden="1">{#N/A,#N/A,FALSE,"Calc";#N/A,#N/A,FALSE,"Sensitivity";#N/A,#N/A,FALSE,"LT Earn.Dil.";#N/A,#N/A,FALSE,"Dil. AVP"}</definedName>
    <definedName name="sdf" hidden="1">{#N/A,#N/A,FALSE,"CNM BUDGET EVIAN";#N/A,#N/A,FALSE,"CNM BUDGET BA"}</definedName>
    <definedName name="SDFDSJF" hidden="1">{#N/A,#N/A,FALSE,"RIEP"}</definedName>
    <definedName name="sdfgdsf" hidden="1">#REF!</definedName>
    <definedName name="SDFGFG" hidden="1">#REF!</definedName>
    <definedName name="sdfsdf" hidden="1">{0,0}</definedName>
    <definedName name="sdfsdfd" hidden="1">{0,0}</definedName>
    <definedName name="sdfsdfsdf" hidden="1">{0,0,0,0;0,0,0,0;0,0,0,0}</definedName>
    <definedName name="sdfsfsdfsfsf" hidden="1">{0,0}</definedName>
    <definedName name="sdfsfsfd" hidden="1">{#N/A,#N/A,FALSE,"Operations";#N/A,#N/A,FALSE,"Financials"}</definedName>
    <definedName name="sdfsfsfsdf" hidden="1">{#N/A,#N/A,FALSE,"Calc";#N/A,#N/A,FALSE,"Sensitivity";#N/A,#N/A,FALSE,"LT Earn.Dil.";#N/A,#N/A,FALSE,"Dil. AVP"}</definedName>
    <definedName name="sdgdfghfhgfjhgfjhjjjg" hidden="1">{"general",#N/A,FALSE,"Assumptions"}</definedName>
    <definedName name="sdgdgdf" hidden="1">{"comp",#N/A,FALSE,"SPEC";"footnotes",#N/A,FALSE,"SPEC"}</definedName>
    <definedName name="sdqfqs" hidden="1">{#N/A,#N/A,FALSE,"CNM BUDGET EVIAN";#N/A,#N/A,FALSE,"CNM BUDGET BA"}</definedName>
    <definedName name="sdqfqs_1" hidden="1">{#N/A,#N/A,FALSE,"CNM BUDGET EVIAN";#N/A,#N/A,FALSE,"CNM BUDGET BA"}</definedName>
    <definedName name="sdqfqs_2" hidden="1">{#N/A,#N/A,FALSE,"CNM BUDGET EVIAN";#N/A,#N/A,FALSE,"CNM BUDGET BA"}</definedName>
    <definedName name="sdqfqs_3" hidden="1">{#N/A,#N/A,FALSE,"CNM BUDGET EVIAN";#N/A,#N/A,FALSE,"CNM BUDGET BA"}</definedName>
    <definedName name="sdqfqs_4" hidden="1">{#N/A,#N/A,FALSE,"CNM BUDGET EVIAN";#N/A,#N/A,FALSE,"CNM BUDGET BA"}</definedName>
    <definedName name="sdqfqs_5" hidden="1">{#N/A,#N/A,FALSE,"CNM BUDGET EVIAN";#N/A,#N/A,FALSE,"CNM BUDGET BA"}</definedName>
    <definedName name="sdsdsdsdsd" hidden="1">#REF!</definedName>
    <definedName name="sdvfdh" hidden="1">#REF!</definedName>
    <definedName name="sdvsfdvfdsb" hidden="1">#REF!</definedName>
    <definedName name="SEDSDS" hidden="1">{#N/A,#N/A,FALSE,"RIEP"}</definedName>
    <definedName name="sencount" hidden="1">2</definedName>
    <definedName name="sewwrr" hidden="1">{#N/A,#N/A,FALSE,"CNM BUDGET EVIAN";#N/A,#N/A,FALSE,"CNM BUDGET BA"}</definedName>
    <definedName name="sfbgsfbgsfbg" hidden="1">#REF!</definedName>
    <definedName name="sfd" hidden="1">{"original",#N/A,TRUE,"flashcaneurope";"expeur",#N/A,TRUE,"EXPEUR";"ventesloceur",#N/A,TRUE,"VENTESLOCEUR";"candib",#N/A,TRUE,"flashcandib";"expedib",#N/A,TRUE,"EXPEDIB";"venteslocdib",#N/A,TRUE,"venteslocdib"}</definedName>
    <definedName name="SFDGDSG" hidden="1">#REF!</definedName>
    <definedName name="sfgv" hidden="1">{"consolidated",#N/A,FALSE,"Sheet1";"cms",#N/A,FALSE,"Sheet1";"fse",#N/A,FALSE,"Sheet1"}</definedName>
    <definedName name="sfq" hidden="1">{#N/A,#N/A,FALSE,"Calc";#N/A,#N/A,FALSE,"Sensitivity";#N/A,#N/A,FALSE,"LT Earn.Dil.";#N/A,#N/A,FALSE,"Dil. AVP"}</definedName>
    <definedName name="sfsdfsf" hidden="1">{"First Page",#N/A,FALSE,"Surfactants LBO";"Second Page",#N/A,FALSE,"Surfactants LBO"}</definedName>
    <definedName name="sfsfdgsdgsdg" hidden="1">{0,0}</definedName>
    <definedName name="sfsfsdf" hidden="1">{#N/A,#N/A,FALSE,"Calc";#N/A,#N/A,FALSE,"Sensitivity";#N/A,#N/A,FALSE,"LT Earn.Dil.";#N/A,#N/A,FALSE,"Dil. AVP"}</definedName>
    <definedName name="sfsfsfsfsfd" hidden="1">{"away stand alones",#N/A,FALSE,"Target"}</definedName>
    <definedName name="sft" hidden="1">{#N/A,#N/A,FALSE,"CNM BUDGET EVIAN";#N/A,#N/A,FALSE,"CNM BUDGET BA"}</definedName>
    <definedName name="sgdg" hidden="1">{#N/A,#N/A,FALSE,"Calc";#N/A,#N/A,FALSE,"Sensitivity";#N/A,#N/A,FALSE,"LT Earn.Dil.";#N/A,#N/A,FALSE,"Dil. AVP"}</definedName>
    <definedName name="sgsx" hidden="1">{"consolidated",#N/A,FALSE,"Sheet1";"cms",#N/A,FALSE,"Sheet1";"fse",#N/A,FALSE,"Sheet1"}</definedName>
    <definedName name="slo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SLSS" hidden="1">#REF!</definedName>
    <definedName name="smmm" hidden="1">#REF!</definedName>
    <definedName name="SnecmaFAT" hidden="1">{#N/A,#N/A,TRUE,"Pro Forma";#N/A,#N/A,TRUE,"PF_Bal";#N/A,#N/A,TRUE,"PF_INC";#N/A,#N/A,TRUE,"CBE";#N/A,#N/A,TRUE,"SWK"}</definedName>
    <definedName name="Soft" hidden="1">{"det (May)",#N/A,FALSE,"June";"sum (MAY YTD)",#N/A,FALSE,"June YTD"}</definedName>
    <definedName name="solver_adj" hidden="1">#REF!</definedName>
    <definedName name="solver_lhs1" hidden="1">#REF!</definedName>
    <definedName name="solver_lhs2" hidden="1">#REF!</definedName>
    <definedName name="solver_lhs3" hidden="1">#REF!</definedName>
    <definedName name="solver_lin" hidden="1">0</definedName>
    <definedName name="solver_num" hidden="1">3</definedName>
    <definedName name="solver_opt" hidden="1">#REF!</definedName>
    <definedName name="solver_rel1" hidden="1">2</definedName>
    <definedName name="solver_rel2" hidden="1">2</definedName>
    <definedName name="solver_rel3" hidden="1">2</definedName>
    <definedName name="solver_rhs1" hidden="1">0</definedName>
    <definedName name="solver_rhs2" hidden="1">0</definedName>
    <definedName name="solver_rhs3" hidden="1">0</definedName>
    <definedName name="solver_tmp" hidden="1">0</definedName>
    <definedName name="solver_typ" hidden="1">3</definedName>
    <definedName name="solver_val" hidden="1">0.0264</definedName>
    <definedName name="sort2" hidden="1">#REF!</definedName>
    <definedName name="SpecialPrice" hidden="1">#N/A</definedName>
    <definedName name="ss" hidden="1">{#N/A,#N/A,FALSE,"A";#N/A,#N/A,FALSE,"B"}</definedName>
    <definedName name="sss" hidden="1">38750.6149537037</definedName>
    <definedName name="SSSADADSF" hidden="1">{"SPM1",#N/A,FALSE,"RIEP"}</definedName>
    <definedName name="ssss" hidden="1">{#N/A,#N/A,FALSE,"A";#N/A,#N/A,FALSE,"B"}</definedName>
    <definedName name="ssss_1" hidden="1">{#N/A,#N/A,FALSE,"A";#N/A,#N/A,FALSE,"B"}</definedName>
    <definedName name="ssss_2" hidden="1">{#N/A,#N/A,FALSE,"A";#N/A,#N/A,FALSE,"B"}</definedName>
    <definedName name="ssss_3" hidden="1">{#N/A,#N/A,FALSE,"A";#N/A,#N/A,FALSE,"B"}</definedName>
    <definedName name="ssss_4" hidden="1">{#N/A,#N/A,FALSE,"A";#N/A,#N/A,FALSE,"B"}</definedName>
    <definedName name="ssss_5" hidden="1">{#N/A,#N/A,FALSE,"A";#N/A,#N/A,FALSE,"B"}</definedName>
    <definedName name="sssss" hidden="1">{"' calendrier 2000'!$A$1:$Q$38"}</definedName>
    <definedName name="ssssss" hidden="1">{"' calendrier 2000'!$A$1:$Q$38"}</definedName>
    <definedName name="sssssss" hidden="1">{#N/A,#N/A,FALSE,"RIEP"}</definedName>
    <definedName name="ssssssss" hidden="1">{#N/A,#N/A,FALSE,"EL-M-01";#N/A,#N/A,FALSE,"EL-M-02";#N/A,#N/A,FALSE,"EL-M-03";#N/A,#N/A,FALSE,"EL-S-01";#N/A,#N/A,FALSE,"EL-S-02";#N/A,#N/A,FALSE,"EL-A-01";#N/A,#N/A,FALSE,"EL-A-02"}</definedName>
    <definedName name="sssssssss" hidden="1">{#N/A,#N/A,FALSE,"EL-M-01";#N/A,#N/A,FALSE,"EL-M-02";#N/A,#N/A,FALSE,"EL-M-03";#N/A,#N/A,FALSE,"EL-S-01";#N/A,#N/A,FALSE,"EL-S-02";#N/A,#N/A,FALSE,"EL-A-01";#N/A,#N/A,FALSE,"EL-A-02"}</definedName>
    <definedName name="ssssssssssssssssssssssssss" hidden="1">{"QQQ",#N/A,FALSE,"RIEP"}</definedName>
    <definedName name="Stats" hidden="1">{#N/A,#N/A,TRUE,"Pro Forma";#N/A,#N/A,TRUE,"PF_Bal";#N/A,#N/A,TRUE,"PF_INC";#N/A,#N/A,TRUE,"CBE";#N/A,#N/A,TRUE,"SWK"}</definedName>
    <definedName name="stella" hidden="1">{"det (May)",#N/A,FALSE,"June";"sum (MAY YTD)",#N/A,FALSE,"June YTD"}</definedName>
    <definedName name="stjttj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STOCK3" hidden="1">39428.7292361111</definedName>
    <definedName name="sueli" hidden="1">#REF!</definedName>
    <definedName name="Swvu.CapersView." hidden="1">#REF!</definedName>
    <definedName name="Swvu.Full._.View.._.Inc._.Silica." hidden="1">#REF!</definedName>
    <definedName name="Swvu.Japan_Capers_Ed_Pub." hidden="1">#REF!</definedName>
    <definedName name="Swvu.KJP_CC." hidden="1">#REF!</definedName>
    <definedName name="SYNT" hidden="1">{#N/A,#N/A,TRUE,"ANALYSE";#N/A,#N/A,TRUE,"PM VOLUME";#N/A,#N/A,TRUE,"PM VALEUR";#N/A,#N/A,TRUE,"AR1";#N/A,#N/A,TRUE,"AR2";#N/A,#N/A,TRUE,"RAF";#N/A,#N/A,TRUE,"BILAN";#N/A,#N/A,TRUE,"CASH FLOW";#N/A,#N/A,TRUE,"ETAT FI"}</definedName>
    <definedName name="SYNT_1" hidden="1">{#N/A,#N/A,TRUE,"ANALYSE";#N/A,#N/A,TRUE,"PM VOLUME";#N/A,#N/A,TRUE,"PM VALEUR";#N/A,#N/A,TRUE,"AR1";#N/A,#N/A,TRUE,"AR2";#N/A,#N/A,TRUE,"RAF";#N/A,#N/A,TRUE,"BILAN";#N/A,#N/A,TRUE,"CASH FLOW";#N/A,#N/A,TRUE,"ETAT FI"}</definedName>
    <definedName name="SYNT_2" hidden="1">{#N/A,#N/A,TRUE,"ANALYSE";#N/A,#N/A,TRUE,"PM VOLUME";#N/A,#N/A,TRUE,"PM VALEUR";#N/A,#N/A,TRUE,"AR1";#N/A,#N/A,TRUE,"AR2";#N/A,#N/A,TRUE,"RAF";#N/A,#N/A,TRUE,"BILAN";#N/A,#N/A,TRUE,"CASH FLOW";#N/A,#N/A,TRUE,"ETAT FI"}</definedName>
    <definedName name="SYNT_3" hidden="1">{#N/A,#N/A,TRUE,"ANALYSE";#N/A,#N/A,TRUE,"PM VOLUME";#N/A,#N/A,TRUE,"PM VALEUR";#N/A,#N/A,TRUE,"AR1";#N/A,#N/A,TRUE,"AR2";#N/A,#N/A,TRUE,"RAF";#N/A,#N/A,TRUE,"BILAN";#N/A,#N/A,TRUE,"CASH FLOW";#N/A,#N/A,TRUE,"ETAT FI"}</definedName>
    <definedName name="SYNT_4" hidden="1">{#N/A,#N/A,TRUE,"ANALYSE";#N/A,#N/A,TRUE,"PM VOLUME";#N/A,#N/A,TRUE,"PM VALEUR";#N/A,#N/A,TRUE,"AR1";#N/A,#N/A,TRUE,"AR2";#N/A,#N/A,TRUE,"RAF";#N/A,#N/A,TRUE,"BILAN";#N/A,#N/A,TRUE,"CASH FLOW";#N/A,#N/A,TRUE,"ETAT FI"}</definedName>
    <definedName name="SYNT_5" hidden="1">{#N/A,#N/A,TRUE,"ANALYSE";#N/A,#N/A,TRUE,"PM VOLUME";#N/A,#N/A,TRUE,"PM VALEUR";#N/A,#N/A,TRUE,"AR1";#N/A,#N/A,TRUE,"AR2";#N/A,#N/A,TRUE,"RAF";#N/A,#N/A,TRUE,"BILAN";#N/A,#N/A,TRUE,"CASH FLOW";#N/A,#N/A,TRUE,"ETAT FI"}</definedName>
    <definedName name="t79oto97t" hidden="1">{#N/A,#N/A,FALSE,"RIEP"}</definedName>
    <definedName name="t7u74u" hidden="1">{"QQQ",#N/A,FALSE,"RIEP"}</definedName>
    <definedName name="t7u75" hidden="1">{"SPM1",#N/A,FALSE,"RIEP"}</definedName>
    <definedName name="t7ur7u" hidden="1">{#N/A,#N/A,FALSE,"RIEP"}</definedName>
    <definedName name="tbl_ProdInfo" hidden="1">#N/A</definedName>
    <definedName name="test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test_1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test_2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test_3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test_4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Test_4a" hidden="1">#REF!</definedName>
    <definedName name="test_5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test1" hidden="1">{#N/A,#N/A,TRUE,"SYNTHESE-t";#N/A,#N/A,TRUE,"PUB-t";#N/A,#N/A,TRUE,"OP CONSO-t";#N/A,#N/A,TRUE,"REFERENCTS-t";#N/A,#N/A,TRUE,"ETUDES MKG-t";#N/A,#N/A,TRUE,"PACKAGING-t";#N/A,#N/A,TRUE,"DIR COM-t";#N/A,#N/A,TRUE,"MEDIA-t"}</definedName>
    <definedName name="TEST1111" hidden="1">#REF!</definedName>
    <definedName name="the" hidden="1">{#N/A,#N/A,FALSE,"CNM BUDGET EVIAN";#N/A,#N/A,FALSE,"CNM BUDGET BA"}</definedName>
    <definedName name="thth" hidden="1">{#N/A,#N/A,FALSE,"Calc";#N/A,#N/A,FALSE,"Sensitivity";#N/A,#N/A,FALSE,"LT Earn.Dil.";#N/A,#N/A,FALSE,"Dil. AVP"}</definedName>
    <definedName name="tikl679o679o" hidden="1">{#N/A,#N/A,FALSE,"RIEP"}</definedName>
    <definedName name="TIME_461_DoNotDeleteThisName_1" hidden="1">#REF!</definedName>
    <definedName name="TIME_462_DoNotDeleteThisName_1" hidden="1">#REF!</definedName>
    <definedName name="TIME_463_DoNotDeleteThisName_1" hidden="1">#REF!</definedName>
    <definedName name="TIME_464_DoNotDeleteThisName_1" hidden="1">#REF!</definedName>
    <definedName name="TIME_465_DoNotDeleteThisName_1" hidden="1">#REF!</definedName>
    <definedName name="TIME_466_DoNotDeleteThisName_1" hidden="1">#REF!</definedName>
    <definedName name="TIME_467_DoNotDeleteThisName_1" hidden="1">#REF!</definedName>
    <definedName name="TIME_468_DoNotDeleteThisName_1" hidden="1">#REF!</definedName>
    <definedName name="TIME_469_DoNotDeleteThisName_1" hidden="1">#REF!</definedName>
    <definedName name="TIME_470_DoNotDeleteThisName_1" hidden="1">#REF!</definedName>
    <definedName name="TIME_471_DoNotDeleteThisName_1" hidden="1">#REF!</definedName>
    <definedName name="TIME_472_DoNotDeleteThisName_1" hidden="1">#REF!</definedName>
    <definedName name="titi" hidden="1">{#N/A,#N/A,TRUE,"ANALYSE";#N/A,#N/A,TRUE,"PM VOLUME";#N/A,#N/A,TRUE,"PM VALEUR";#N/A,#N/A,TRUE,"AR1";#N/A,#N/A,TRUE,"AR2";#N/A,#N/A,TRUE,"RAF";#N/A,#N/A,TRUE,"BILAN";#N/A,#N/A,TRUE,"CASH FLOW";#N/A,#N/A,TRUE,"ETAT FI"}</definedName>
    <definedName name="titi_1" hidden="1">{#N/A,#N/A,TRUE,"ANALYSE";#N/A,#N/A,TRUE,"PM VOLUME";#N/A,#N/A,TRUE,"PM VALEUR";#N/A,#N/A,TRUE,"AR1";#N/A,#N/A,TRUE,"AR2";#N/A,#N/A,TRUE,"RAF";#N/A,#N/A,TRUE,"BILAN";#N/A,#N/A,TRUE,"CASH FLOW";#N/A,#N/A,TRUE,"ETAT FI"}</definedName>
    <definedName name="titi_2" hidden="1">{#N/A,#N/A,TRUE,"ANALYSE";#N/A,#N/A,TRUE,"PM VOLUME";#N/A,#N/A,TRUE,"PM VALEUR";#N/A,#N/A,TRUE,"AR1";#N/A,#N/A,TRUE,"AR2";#N/A,#N/A,TRUE,"RAF";#N/A,#N/A,TRUE,"BILAN";#N/A,#N/A,TRUE,"CASH FLOW";#N/A,#N/A,TRUE,"ETAT FI"}</definedName>
    <definedName name="titi_3" hidden="1">{#N/A,#N/A,TRUE,"ANALYSE";#N/A,#N/A,TRUE,"PM VOLUME";#N/A,#N/A,TRUE,"PM VALEUR";#N/A,#N/A,TRUE,"AR1";#N/A,#N/A,TRUE,"AR2";#N/A,#N/A,TRUE,"RAF";#N/A,#N/A,TRUE,"BILAN";#N/A,#N/A,TRUE,"CASH FLOW";#N/A,#N/A,TRUE,"ETAT FI"}</definedName>
    <definedName name="titi_4" hidden="1">{#N/A,#N/A,TRUE,"ANALYSE";#N/A,#N/A,TRUE,"PM VOLUME";#N/A,#N/A,TRUE,"PM VALEUR";#N/A,#N/A,TRUE,"AR1";#N/A,#N/A,TRUE,"AR2";#N/A,#N/A,TRUE,"RAF";#N/A,#N/A,TRUE,"BILAN";#N/A,#N/A,TRUE,"CASH FLOW";#N/A,#N/A,TRUE,"ETAT FI"}</definedName>
    <definedName name="titi_5" hidden="1">{#N/A,#N/A,TRUE,"ANALYSE";#N/A,#N/A,TRUE,"PM VOLUME";#N/A,#N/A,TRUE,"PM VALEUR";#N/A,#N/A,TRUE,"AR1";#N/A,#N/A,TRUE,"AR2";#N/A,#N/A,TRUE,"RAF";#N/A,#N/A,TRUE,"BILAN";#N/A,#N/A,TRUE,"CASH FLOW";#N/A,#N/A,TRUE,"ETAT FI"}</definedName>
    <definedName name="tjrdtt" hidden="1">{"'CANARY'!$A$24:$U$32"}</definedName>
    <definedName name="tkkytke" hidden="1">{0,0,0,0;0,0,0,0}</definedName>
    <definedName name="tkt" hidden="1">#REF!</definedName>
    <definedName name="tku" hidden="1">#REF!</definedName>
    <definedName name="TO" hidden="1">#REF!</definedName>
    <definedName name="tobias" hidden="1">#N/A</definedName>
    <definedName name="toby" hidden="1">{"comps1_1",#N/A,FALSE,"Comps1";"comps1_2",#N/A,FALSE,"Comps1";"comps1_3",#N/A,FALSE,"Comps1";"comps1_4",#N/A,FALSE,"Comps1";"comps1_5",#N/A,FALSE,"Comps1"}</definedName>
    <definedName name="TopRankDefaultDistForRange" hidden="1">0</definedName>
    <definedName name="TopRankDefaultMaxChange" hidden="1">0.1</definedName>
    <definedName name="TopRankDefaultMinChange" hidden="1">-0.1</definedName>
    <definedName name="TopRankDefaultMultiGroupSize" hidden="1">2</definedName>
    <definedName name="TopRankDefaultMultiStepsPerInput" hidden="1">2</definedName>
    <definedName name="TopRankDefaultRangeType" hidden="1">0</definedName>
    <definedName name="TopRankDefaultStepsPerInput" hidden="1">5</definedName>
    <definedName name="TopRankDetailByInputReport" hidden="1">FALSE</definedName>
    <definedName name="TopRankMaxInputsPerGraph" hidden="1">10</definedName>
    <definedName name="TopRankMultiWayReport" hidden="1">FALSE</definedName>
    <definedName name="TopRankNumberOfRuns" hidden="1">1</definedName>
    <definedName name="TopRankOnlyInputsOverThreshold" hidden="1">TRUE</definedName>
    <definedName name="TopRankOnlyTopRanking" hidden="1">TRUE</definedName>
    <definedName name="TopRankOutputDetailReport" hidden="1">FALSE</definedName>
    <definedName name="TopRankOutputsAsPercentChange" hidden="1">FALSE</definedName>
    <definedName name="TopRankOverwriteExisting" hidden="1">FALSE</definedName>
    <definedName name="TopRankPauseOnError" hidden="1">FALSE</definedName>
    <definedName name="TopRankPerformPrecedentScanAddOutput" hidden="1">FALSE</definedName>
    <definedName name="TopRankPerformPrecedentScanAtStart" hidden="1">TRUE</definedName>
    <definedName name="TopRankPrecedentScanType" hidden="1">1</definedName>
    <definedName name="TopRankReportAllOutputCells" hidden="1">TRUE</definedName>
    <definedName name="TopRankReportsInExistingWorkbook" hidden="1">FALSE</definedName>
    <definedName name="TopRankReportsInExistingWorkbookName" hidden="1">"Active Workbook"</definedName>
    <definedName name="TopRankReportsInNewWorkbook" hidden="1">TRUE</definedName>
    <definedName name="TopRankSensitivityGraphs" hidden="1">FALSE</definedName>
    <definedName name="TopRankSingleWorkbookAllResults" hidden="1">FALSE</definedName>
    <definedName name="TopRankSpiderGraphs" hidden="1">TRUE</definedName>
    <definedName name="TopRankTornadoGraphs" hidden="1">TRUE</definedName>
    <definedName name="TopRankUpdateDisplay" hidden="1">FALSE</definedName>
    <definedName name="tr" hidden="1">{#N/A,#N/A,TRUE,"SYNTHESE-t";#N/A,#N/A,TRUE,"PUB-t";#N/A,#N/A,TRUE,"OP CONSO-t";#N/A,#N/A,TRUE,"REFERENCTS-t";#N/A,#N/A,TRUE,"ETUDES MKG-t";#N/A,#N/A,TRUE,"PACKAGING-t";#N/A,#N/A,TRUE,"DIR COM-t";#N/A,#N/A,TRUE,"MEDIA-t"}</definedName>
    <definedName name="trezrt" hidden="1">{"'Industrial TDB Nature CIĘCINA'!$A$5:$O$31"}</definedName>
    <definedName name="trjk5i57" hidden="1">{"SPM1",#N/A,FALSE,"RIEP"}</definedName>
    <definedName name="TRL" hidden="1">#REF!</definedName>
    <definedName name="trtet" hidden="1">{"QQQ",#N/A,FALSE,"RIEP"}</definedName>
    <definedName name="trtrttr" hidden="1">{"QQQ",#N/A,FALSE,"RIEP"}</definedName>
    <definedName name="tryrt" hidden="1">#REF!</definedName>
    <definedName name="tt" hidden="1">{#N/A,#N/A,TRUE,"ACTIVITE-t";#N/A,#N/A,TRUE,"RESEAU-t";#N/A,#N/A,TRUE,"BASE-t"}</definedName>
    <definedName name="ttjs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tttytye" hidden="1">{#N/A,#N/A,FALSE,"ACTIVITE-c";#N/A,#N/A,FALSE,"RESEAU-c";#N/A,#N/A,FALSE,"BASE-c"}</definedName>
    <definedName name="turn" hidden="1">{"'June OOS&amp;Diffr'!$N$481:$Y$519"}</definedName>
    <definedName name="turn_1" hidden="1">{"'June OOS&amp;Diffr'!$N$481:$Y$519"}</definedName>
    <definedName name="turn_2" hidden="1">{"'June OOS&amp;Diffr'!$N$481:$Y$519"}</definedName>
    <definedName name="turn_3" hidden="1">{"'June OOS&amp;Diffr'!$N$481:$Y$519"}</definedName>
    <definedName name="turn_4" hidden="1">{"'June OOS&amp;Diffr'!$N$481:$Y$519"}</definedName>
    <definedName name="turn_5" hidden="1">{"'June OOS&amp;Diffr'!$N$481:$Y$519"}</definedName>
    <definedName name="tyiltu9ol" hidden="1">{"QQQ",#N/A,FALSE,"RIEP"}</definedName>
    <definedName name="tyu" hidden="1">{"consolidated",#N/A,FALSE,"Sheet1";"cms",#N/A,FALSE,"Sheet1";"fse",#N/A,FALSE,"Sheet1"}</definedName>
    <definedName name="tyujr" hidden="1">#REF!</definedName>
    <definedName name="u" hidden="1">{#N/A,#N/A,FALSE,"BUDGETSUEDWEST "}</definedName>
    <definedName name="u_1" hidden="1">{#N/A,#N/A,FALSE,"BUDGETSUEDWEST "}</definedName>
    <definedName name="u_2" hidden="1">{#N/A,#N/A,FALSE,"BUDGETSUEDWEST "}</definedName>
    <definedName name="u_3" hidden="1">{#N/A,#N/A,FALSE,"BUDGETSUEDWEST "}</definedName>
    <definedName name="u_4" hidden="1">{#N/A,#N/A,FALSE,"BUDGETSUEDWEST "}</definedName>
    <definedName name="u_5" hidden="1">{#N/A,#N/A,FALSE,"BUDGETSUEDWEST "}</definedName>
    <definedName name="ugkj" hidden="1">{"QQQ",#N/A,FALSE,"RIEP"}</definedName>
    <definedName name="ugyi" hidden="1">{#N/A,#N/A,FALSE,"output";#N/A,#N/A,FALSE,"contrib";#N/A,#N/A,FALSE,"profile";#N/A,#N/A,FALSE,"comps"}</definedName>
    <definedName name="uky" hidden="1">{#N/A,#N/A,TRUE,"EC COMM-t";#N/A,#N/A,TRUE,"EC PAR PDTS-t";#N/A,#N/A,TRUE,"EC MAT-t";#N/A,#N/A,TRUE,"SUIVI HAUSSES-t"}</definedName>
    <definedName name="umy" hidden="1">{"comps",#N/A,FALSE,"comps";"notes",#N/A,FALSE,"comps"}</definedName>
    <definedName name="usethisone" hidden="1">#REF!</definedName>
    <definedName name="uth" hidden="1">{"capacity",#N/A,FALSE,"Hefei";"Volume",#N/A,FALSE,"Hefei"}</definedName>
    <definedName name="uttkjg" hidden="1">{"QQQ",#N/A,FALSE,"RIEP"}</definedName>
    <definedName name="üü" hidden="1">{#N/A,#N/A,FALSE,"BUDGETSUEDWEST "}</definedName>
    <definedName name="üü_1" hidden="1">{#N/A,#N/A,FALSE,"BUDGETSUEDWEST "}</definedName>
    <definedName name="üü_2" hidden="1">{#N/A,#N/A,FALSE,"BUDGETSUEDWEST "}</definedName>
    <definedName name="üü_3" hidden="1">{#N/A,#N/A,FALSE,"BUDGETSUEDWEST "}</definedName>
    <definedName name="üü_4" hidden="1">{#N/A,#N/A,FALSE,"BUDGETSUEDWEST "}</definedName>
    <definedName name="üü_5" hidden="1">{#N/A,#N/A,FALSE,"BUDGETSUEDWEST "}</definedName>
    <definedName name="uui" hidden="1">"15/11/2011 1:34:38 PM"</definedName>
    <definedName name="U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we5u" hidden="1">#REF!</definedName>
    <definedName name="uyjuyjyy" hidden="1">{#N/A,#N/A,FALSE,"ACTIVITE-c";#N/A,#N/A,FALSE,"RESEAU-c";#N/A,#N/A,FALSE,"BASE-c"}</definedName>
    <definedName name="uyutdr" hidden="1">{"original",#N/A,TRUE,"flashcaneurope";"expeur",#N/A,TRUE,"EXPEUR";"ventesloceur",#N/A,TRUE,"VENTESLOCEUR";"candib",#N/A,TRUE,"flashcandib";"expedib",#N/A,TRUE,"EXPEDIB";"venteslocdib",#N/A,TRUE,"venteslocdib"}</definedName>
    <definedName name="v6uyjyu" hidden="1">{#N/A,#N/A,FALSE,"RIEP"}</definedName>
    <definedName name="vanja" hidden="1">{#N/A,#N/A,TRUE,"Pro Forma";#N/A,#N/A,TRUE,"PF_Bal";#N/A,#N/A,TRUE,"PF_INC";#N/A,#N/A,TRUE,"CBE";#N/A,#N/A,TRUE,"SWK"}</definedName>
    <definedName name="vcncvnc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vcncvncnb" hidden="1">{"comps",#N/A,FALSE,"HANDPACK";"footnotes",#N/A,FALSE,"HANDPACK"}</definedName>
    <definedName name="venus1" hidden="1">{"capacity",#N/A,FALSE,"Guangzhou";"Volume",#N/A,FALSE,"Guangmei"}</definedName>
    <definedName name="venus15" hidden="1">{"capacity",#N/A,FALSE,"Hangzhou";"volume",#N/A,FALSE,"Hangzhou"}</definedName>
    <definedName name="venus16" hidden="1">{"Volume",#N/A,FALSE,"Nanjing";"capacity",#N/A,FALSE,"Nanjing"}</definedName>
    <definedName name="venus19" hidden="1">{"index",#N/A,FALSE,"DRS";"a_1",#N/A,FALSE,"DRS";"a_2",#N/A,FALSE,"DRS";"b_1",#N/A,FALSE,"DRS";"b_2.b_3",#N/A,FALSE,"DRS";"b_4.b_5.b_6",#N/A,FALSE,"DRS";"b_7.b_8",#N/A,FALSE,"DRS";"b_9",#N/A,FALSE,"DRS";"b_10.b_11",#N/A,FALSE,"DRS";"b_12.b_13",#N/A,FALSE,"DRS";"b_14",#N/A,FALSE,"DRS";"b_15.b_16",#N/A,FALSE,"DRS";"b_17",#N/A,FALSE,"DRS";"b_18",#N/A,FALSE,"DRS";"c_1.c_2",#N/A,FALSE,"DRS";"d_1",#N/A,FALSE,"DRS";"e_1",#N/A,FALSE,"DRS"}</definedName>
    <definedName name="venus2" hidden="1">{"Volume",#N/A,FALSE,"Guangzhou";"capacity",#N/A,FALSE,"Guangzhou"}</definedName>
    <definedName name="venus20" hidden="1">{"capcity",#N/A,FALSE,"Xiamen (chn)";"volume",#N/A,FALSE,"Xiamen (chn)"}</definedName>
    <definedName name="venus4" hidden="1">{"capacity",#N/A,FALSE,"Hefei";"Volume",#N/A,FALSE,"Hefei"}</definedName>
    <definedName name="vertex42_copyright" hidden="1">"© 2006-2018 Vertex42 LLC"</definedName>
    <definedName name="vertex42_id" hidden="1">"gantt-chart_L2.xlsx"</definedName>
    <definedName name="vertex42_title" hidden="1">"Gantt Chart Template"</definedName>
    <definedName name="vngt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vngt_1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vngt_2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vngt_3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vngt_4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vngt_5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vo" hidden="1">{"consolidated",#N/A,FALSE,"Sheet1";"cms",#N/A,FALSE,"Sheet1";"fse",#N/A,FALSE,"Sheet1"}</definedName>
    <definedName name="volvic" hidden="1">{"original",#N/A,TRUE,"flashcaneurope";"expeur",#N/A,TRUE,"EXPEUR";"ventesloceur",#N/A,TRUE,"VENTESLOCEUR";"candib",#N/A,TRUE,"flashcandib";"expedib",#N/A,TRUE,"EXPEDIB";"venteslocdib",#N/A,TRUE,"venteslocdib"}</definedName>
    <definedName name="volvic_1" hidden="1">{"original",#N/A,TRUE,"flashcaneurope";"expeur",#N/A,TRUE,"EXPEUR";"ventesloceur",#N/A,TRUE,"VENTESLOCEUR";"candib",#N/A,TRUE,"flashcandib";"expedib",#N/A,TRUE,"EXPEDIB";"venteslocdib",#N/A,TRUE,"venteslocdib"}</definedName>
    <definedName name="volvic_2" hidden="1">{"original",#N/A,TRUE,"flashcaneurope";"expeur",#N/A,TRUE,"EXPEUR";"ventesloceur",#N/A,TRUE,"VENTESLOCEUR";"candib",#N/A,TRUE,"flashcandib";"expedib",#N/A,TRUE,"EXPEDIB";"venteslocdib",#N/A,TRUE,"venteslocdib"}</definedName>
    <definedName name="volvic_3" hidden="1">{"original",#N/A,TRUE,"flashcaneurope";"expeur",#N/A,TRUE,"EXPEUR";"ventesloceur",#N/A,TRUE,"VENTESLOCEUR";"candib",#N/A,TRUE,"flashcandib";"expedib",#N/A,TRUE,"EXPEDIB";"venteslocdib",#N/A,TRUE,"venteslocdib"}</definedName>
    <definedName name="volvic_4" hidden="1">{"original",#N/A,TRUE,"flashcaneurope";"expeur",#N/A,TRUE,"EXPEUR";"ventesloceur",#N/A,TRUE,"VENTESLOCEUR";"candib",#N/A,TRUE,"flashcandib";"expedib",#N/A,TRUE,"EXPEDIB";"venteslocdib",#N/A,TRUE,"venteslocdib"}</definedName>
    <definedName name="volvic_5" hidden="1">{"original",#N/A,TRUE,"flashcaneurope";"expeur",#N/A,TRUE,"EXPEUR";"ventesloceur",#N/A,TRUE,"VENTESLOCEUR";"candib",#N/A,TRUE,"flashcandib";"expedib",#N/A,TRUE,"EXPEDIB";"venteslocdib",#N/A,TRUE,"venteslocdib"}</definedName>
    <definedName name="VOLVIC2" hidden="1">{"original",#N/A,TRUE,"flashcaneurope";"expeur",#N/A,TRUE,"EXPEUR";"ventesloceur",#N/A,TRUE,"VENTESLOCEUR";"candib",#N/A,TRUE,"flashcandib";"expedib",#N/A,TRUE,"EXPEDIB";"venteslocdib",#N/A,TRUE,"venteslocdib"}</definedName>
    <definedName name="VOLVIC2_1" hidden="1">{"original",#N/A,TRUE,"flashcaneurope";"expeur",#N/A,TRUE,"EXPEUR";"ventesloceur",#N/A,TRUE,"VENTESLOCEUR";"candib",#N/A,TRUE,"flashcandib";"expedib",#N/A,TRUE,"EXPEDIB";"venteslocdib",#N/A,TRUE,"venteslocdib"}</definedName>
    <definedName name="VOLVIC2_2" hidden="1">{"original",#N/A,TRUE,"flashcaneurope";"expeur",#N/A,TRUE,"EXPEUR";"ventesloceur",#N/A,TRUE,"VENTESLOCEUR";"candib",#N/A,TRUE,"flashcandib";"expedib",#N/A,TRUE,"EXPEDIB";"venteslocdib",#N/A,TRUE,"venteslocdib"}</definedName>
    <definedName name="VOLVIC2_3" hidden="1">{"original",#N/A,TRUE,"flashcaneurope";"expeur",#N/A,TRUE,"EXPEUR";"ventesloceur",#N/A,TRUE,"VENTESLOCEUR";"candib",#N/A,TRUE,"flashcandib";"expedib",#N/A,TRUE,"EXPEDIB";"venteslocdib",#N/A,TRUE,"venteslocdib"}</definedName>
    <definedName name="VOLVIC2_4" hidden="1">{"original",#N/A,TRUE,"flashcaneurope";"expeur",#N/A,TRUE,"EXPEUR";"ventesloceur",#N/A,TRUE,"VENTESLOCEUR";"candib",#N/A,TRUE,"flashcandib";"expedib",#N/A,TRUE,"EXPEDIB";"venteslocdib",#N/A,TRUE,"venteslocdib"}</definedName>
    <definedName name="VOLVIC2_5" hidden="1">{"original",#N/A,TRUE,"flashcaneurope";"expeur",#N/A,TRUE,"EXPEUR";"ventesloceur",#N/A,TRUE,"VENTESLOCEUR";"candib",#N/A,TRUE,"flashcandib";"expedib",#N/A,TRUE,"EXPEDIB";"venteslocdib",#N/A,TRUE,"venteslocdib"}</definedName>
    <definedName name="VOLVICbis" hidden="1">{"original",#N/A,TRUE,"flashcaneurope";"expeur",#N/A,TRUE,"EXPEUR";"ventesloceur",#N/A,TRUE,"VENTESLOCEUR";"candib",#N/A,TRUE,"flashcandib";"expedib",#N/A,TRUE,"EXPEDIB";"venteslocdib",#N/A,TRUE,"venteslocdib"}</definedName>
    <definedName name="vv" hidden="1">{#N/A,#N/A,FALSE,"Total P&amp;L";#N/A,#N/A,FALSE,"RtlCup";#N/A,#N/A,FALSE,"FOB";#N/A,#N/A,FALSE,"Plain";#N/A,#N/A,FALSE,"Classic";#N/A,#N/A,FALSE,"Light";#N/A,#N/A,FALSE,"Chunky";#N/A,#N/A,FALSE,"Sprinklins";#N/A,#N/A,FALSE,"Danimals";#N/A,#N/A,FALSE,"Water";#N/A,#N/A,FALSE,"BWF Mini";#N/A,#N/A,FALSE,"D-Day";#N/A,#N/A,FALSE,"New Ventures";#N/A,#N/A,FALSE,"Space Shuttle";#N/A,#N/A,FALSE,"ACB";#N/A,#N/A,FALSE,"dess";#N/A,#N/A,FALSE,"bev";#N/A,#N/A,FALSE,"PGF";#N/A,#N/A,FALSE,"Right"}</definedName>
    <definedName name="vvvv" hidden="1">{"QQQ",#N/A,FALSE,"RIEP"}</definedName>
    <definedName name="vvvvbbbb" hidden="1">{#N/A,#N/A,FALSE,"RIEP"}</definedName>
    <definedName name="vvvvvv" hidden="1">{#N/A,#N/A,FALSE,"RIEP"}</definedName>
    <definedName name="vvvvvvvv" hidden="1">{"SPM1",#N/A,FALSE,"RIEP"}</definedName>
    <definedName name="w" hidden="1">{#N/A,#N/A,TRUE,"SYNTHESE-t";#N/A,#N/A,TRUE,"PUB-t";#N/A,#N/A,TRUE,"OP CONSO-t";#N/A,#N/A,TRUE,"REFERENCTS-t";#N/A,#N/A,TRUE,"ETUDES MKG-t";#N/A,#N/A,TRUE,"PACKAGING-t";#N/A,#N/A,TRUE,"DIR COM-t";#N/A,#N/A,TRUE,"MEDIA-t"}</definedName>
    <definedName name="WDAQWD" hidden="1">#REF!</definedName>
    <definedName name="wdf" hidden="1">{#N/A,#N/A,FALSE,"PVS"}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rerr" hidden="1">{#N/A,#N/A,FALSE,"BUDGETSUEDWEST "}</definedName>
    <definedName name="wererr_1" hidden="1">{#N/A,#N/A,FALSE,"BUDGETSUEDWEST "}</definedName>
    <definedName name="wererr_2" hidden="1">{#N/A,#N/A,FALSE,"BUDGETSUEDWEST "}</definedName>
    <definedName name="wererr_3" hidden="1">{#N/A,#N/A,FALSE,"BUDGETSUEDWEST "}</definedName>
    <definedName name="wererr_4" hidden="1">{#N/A,#N/A,FALSE,"BUDGETSUEDWEST "}</definedName>
    <definedName name="wererr_5" hidden="1">{#N/A,#N/A,FALSE,"BUDGETSUEDWEST "}</definedName>
    <definedName name="wert" hidden="1">{"original",#N/A,TRUE,"flashcaneurope";"expeur",#N/A,TRUE,"EXPEUR";"ventesloceur",#N/A,TRUE,"VENTESLOCEUR";"candib",#N/A,TRUE,"flashcandib";"expedib",#N/A,TRUE,"EXPEDIB";"venteslocdib",#N/A,TRUE,"venteslocdib"}</definedName>
    <definedName name="wertwertert" hidden="1">{#N/A,#N/A,FALSE,"BUDGETSUEDWEST "}</definedName>
    <definedName name="wertwertert_1" hidden="1">{#N/A,#N/A,FALSE,"BUDGETSUEDWEST "}</definedName>
    <definedName name="wertwertert_2" hidden="1">{#N/A,#N/A,FALSE,"BUDGETSUEDWEST "}</definedName>
    <definedName name="wertwertert_3" hidden="1">{#N/A,#N/A,FALSE,"BUDGETSUEDWEST "}</definedName>
    <definedName name="wertwertert_4" hidden="1">{#N/A,#N/A,FALSE,"BUDGETSUEDWEST "}</definedName>
    <definedName name="wertwertert_5" hidden="1">{#N/A,#N/A,FALSE,"BUDGETSUEDWEST "}</definedName>
    <definedName name="wi" hidden="1">{"capcity",#N/A,FALSE,"Xiamen (chn)";"volume",#N/A,FALSE,"Xiamen (chn)"}</definedName>
    <definedName name="wing" hidden="1">{"capacity",#N/A,FALSE,"Hangzhou";"volume",#N/A,FALSE,"Hangzhou"}</definedName>
    <definedName name="wio" hidden="1">{#N/A,#N/A,FALSE,"PVS"}</definedName>
    <definedName name="wpg" hidden="1">{"original",#N/A,TRUE,"flashcaneurope";"expeur",#N/A,TRUE,"EXPEUR";"ventesloceur",#N/A,TRUE,"VENTESLOCEUR";"candib",#N/A,TRUE,"flashcandib";"expedib",#N/A,TRUE,"EXPEDIB";"venteslocdib",#N/A,TRUE,"venteslocdib"}</definedName>
    <definedName name="wpo" hidden="1">{#N/A,#N/A,FALSE,"CNM BUDGET EVIAN";#N/A,#N/A,FALSE,"CNM BUDGET BA"}</definedName>
    <definedName name="wpu" hidden="1">{#N/A,#N/A,FALSE,"CNM BUDGET EVIAN";#N/A,#N/A,FALSE,"CNM BUDGET BA"}</definedName>
    <definedName name="wq" hidden="1">{#N/A,#N/A,TRUE,"План продаж";#N/A,#N/A,TRUE,"Склад гот.прод";#N/A,#N/A,TRUE,"План отгрузки"}</definedName>
    <definedName name="wqt" hidden="1">{#N/A,#N/A,FALSE,"PVS"}</definedName>
    <definedName name="wref" hidden="1">{"capacity",#N/A,FALSE,"Hangzhou";"volume",#N/A,FALSE,"Hangzhou"}</definedName>
    <definedName name="wrers" hidden="1">{"Volume",#N/A,FALSE,"Zhengzhou";"capacity",#N/A,FALSE,"Zhengzhou"}</definedName>
    <definedName name="wrn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wrn.1." hidden="1">{#N/A,#N/A,FALSE,"Calc";#N/A,#N/A,FALSE,"Sensitivity";#N/A,#N/A,FALSE,"LT Earn.Dil.";#N/A,#N/A,FALSE,"Dil. AVP"}</definedName>
    <definedName name="wrn.1.1" hidden="1">{#N/A,#N/A,FALSE,"Calc";#N/A,#N/A,FALSE,"Sensitivity";#N/A,#N/A,FALSE,"LT Earn.Dil.";#N/A,#N/A,FALSE,"Dil. AVP"}</definedName>
    <definedName name="wrn.1.1.2" hidden="1">{#N/A,#N/A,FALSE,"Calc";#N/A,#N/A,FALSE,"Sensitivity";#N/A,#N/A,FALSE,"LT Earn.Dil.";#N/A,#N/A,FALSE,"Dil. AVP"}</definedName>
    <definedName name="wrn.1.1.3" hidden="1">{#N/A,#N/A,FALSE,"Calc";#N/A,#N/A,FALSE,"Sensitivity";#N/A,#N/A,FALSE,"LT Earn.Dil.";#N/A,#N/A,FALSE,"Dil. AVP"}</definedName>
    <definedName name="wrn.1.2" hidden="1">{#N/A,#N/A,FALSE,"Calc";#N/A,#N/A,FALSE,"Sensitivity";#N/A,#N/A,FALSE,"LT Earn.Dil.";#N/A,#N/A,FALSE,"Dil. AVP"}</definedName>
    <definedName name="wrn.1.3" hidden="1">{#N/A,#N/A,FALSE,"Calc";#N/A,#N/A,FALSE,"Sensitivity";#N/A,#N/A,FALSE,"LT Earn.Dil.";#N/A,#N/A,FALSE,"Dil. AVP"}</definedName>
    <definedName name="WRN.2." hidden="1">{#N/A,#N/A,FALSE,"Calc";#N/A,#N/A,FALSE,"Sensitivity";#N/A,#N/A,FALSE,"LT Earn.Dil.";#N/A,#N/A,FALSE,"Dil. AVP"}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ging._.and._.Trend._.Analysis." hidden="1">{#N/A,#N/A,FALSE,"Aging Summary";#N/A,#N/A,FALSE,"Ratio Analysis";#N/A,#N/A,FALSE,"Test 120 Day Accts";#N/A,#N/A,FALSE,"Tickmarks"}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." hidden="1">{#N/A,#N/A,FALSE,"Total P&amp;L";#N/A,#N/A,FALSE,"RtlCup";#N/A,#N/A,FALSE,"FOB";#N/A,#N/A,FALSE,"Plain";#N/A,#N/A,FALSE,"Classic";#N/A,#N/A,FALSE,"Light";#N/A,#N/A,FALSE,"Chunky";#N/A,#N/A,FALSE,"Sprinklins";#N/A,#N/A,FALSE,"Danimals";#N/A,#N/A,FALSE,"Water";#N/A,#N/A,FALSE,"BWF Mini";#N/A,#N/A,FALSE,"D-Day";#N/A,#N/A,FALSE,"New Ventures";#N/A,#N/A,FALSE,"Space Shuttle";#N/A,#N/A,FALSE,"ACB";#N/A,#N/A,FALSE,"dess";#N/A,#N/A,FALSE,"bev";#N/A,#N/A,FALSE,"PGF";#N/A,#N/A,FALSE,"Right"}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ssumptions." hidden="1">{"casespecific",#N/A,FALSE,"Assumptions"}</definedName>
    <definedName name="wrn.aug" hidden="1">{"det (May)",#N/A,FALSE,"June";"sum (MAY YTD)",#N/A,FALSE,"June YTD"}</definedName>
    <definedName name="wrn.augyt" hidden="1">{"det (May)",#N/A,FALSE,"June";"sum (MAY YTD)",#N/A,FALSE,"June YTD"}</definedName>
    <definedName name="wrn.augYTD" hidden="1">{"det (May)",#N/A,FALSE,"June";"sum (MAY YTD)",#N/A,FALSE,"June YTD"}</definedName>
    <definedName name="wrn.away." hidden="1">{"away stand alones",#N/A,FALSE,"Target"}</definedName>
    <definedName name="wrn.Bolchevik." hidden="1">{#N/A,#N/A,TRUE,"ind str";#N/A,#N/A,TRUE,"obj";#N/A,#N/A,TRUE,"vol high";#N/A,#N/A,TRUE,"vol low";#N/A,#N/A,TRUE,"options";#N/A,#N/A,TRUE,"outsourc";#N/A,#N/A,TRUE,"key ques";#N/A,#N/A,TRUE,"space";#N/A,#N/A,TRUE,"comp";#N/A,#N/A,TRUE,"quality";#N/A,#N/A,TRUE,"hygiene";#N/A,#N/A,TRUE,"stand";#N/A,#N/A,TRUE,"capex";#N/A,#N/A,TRUE,"financials";#N/A,#N/A,TRUE,"other";#N/A,#N/A,TRUE,"timing";#N/A,#N/A,TRUE,"reco";#N/A,#N/A,TRUE,"cap grey";#N/A,#N/A,TRUE,"cap green"}</definedName>
    <definedName name="wrn.brian." hidden="1">{#N/A,#N/A,FALSE,"output";#N/A,#N/A,FALSE,"contrib";#N/A,#N/A,FALSE,"profile";#N/A,#N/A,FALSE,"comps"}</definedName>
    <definedName name="wrn.brol.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UDGET98." hidden="1">{#N/A,#N/A,FALSE,"CARATULA";#N/A,#N/A,FALSE,"Indice";#N/A,#N/A,FALSE,"Cap 1";#N/A,#N/A,FALSE,"Cap 2";#N/A,#N/A,FALSE,"Cap 3";#N/A,#N/A,FALSE,"Cap 4";#N/A,#N/A,FALSE,"Cap 5";#N/A,#N/A,FALSE,"Cap 6";#N/A,#N/A,FALSE,"Cap 7";#N/A,#N/A,FALSE,"Cap 8";#N/A,#N/A,FALSE,"Cap 9";#N/A,#N/A,FALSE,"Cap 10";#N/A,#N/A,FALSE,"Cap 11";#N/A,#N/A,FALSE,"Cap 12";#N/A,#N/A,FALSE,"Cap 13";#N/A,#N/A,FALSE,"Cap 14";#N/A,#N/A,FALSE,"Cap 15 TBI Gall+Hesp";#N/A,#N/A,FALSE,"Cap 15 TBI Choc";#N/A,#N/A,FALSE,"Cap 15 TBI DLeche";#N/A,#N/A,FALSE,"Cap 16";#N/A,#N/A,FALSE,"Cap 17";#N/A,#N/A,FALSE,"Cap 18";#N/A,#N/A,FALSE,"Cap 19";#N/A,#N/A,FALSE,"Cap 20";#N/A,#N/A,FALSE,"Cap 21";#N/A,#N/A,FALSE,"Cap 22";#N/A,#N/A,FALSE,"Cap 23";#N/A,#N/A,FALSE,"Cap 24"}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CapersPlotter." hidden="1">{#N/A,#N/A,FALSE,"DI 2 YEAR MASTER SCHEDULE"}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CC." hidden="1">{"QQQ",#N/A,FALSE,"RIEP"}</definedName>
    <definedName name="wrn.CCT._.2000." hidden="1">{#N/A,#N/A,FALSE,"A";#N/A,#N/A,FALSE,"B"}</definedName>
    <definedName name="wrn.CCT._.2000._1" hidden="1">{#N/A,#N/A,FALSE,"A";#N/A,#N/A,FALSE,"B"}</definedName>
    <definedName name="wrn.CCT._.2000._2" hidden="1">{#N/A,#N/A,FALSE,"A";#N/A,#N/A,FALSE,"B"}</definedName>
    <definedName name="wrn.CCT._.2000._3" hidden="1">{#N/A,#N/A,FALSE,"A";#N/A,#N/A,FALSE,"B"}</definedName>
    <definedName name="wrn.CCT._.2000._4" hidden="1">{#N/A,#N/A,FALSE,"A";#N/A,#N/A,FALSE,"B"}</definedName>
    <definedName name="wrn.CCT._.2000._5" hidden="1">{#N/A,#N/A,FALSE,"A";#N/A,#N/A,FALSE,"B"}</definedName>
    <definedName name="wrn.CEO_black._.white." hidden="1">{"ceo_fin",#N/A,FALSE,"2-financial";"ceo_ops",#N/A,FALSE,"3-operating";"ceo_trad",#N/A,FALSE,"GRP";"ceo_rev",#N/A,FALSE,"GRP";"ceo_opex",#N/A,FALSE,"GRP";"ceo_manp",#N/A,FALSE,"GRP";"ceo_capex",#N/A,FALSE,"GRP";"ceo_bank",#N/A,FALSE,"BANK full";"ceo_mkt val",#N/A,FALSE,"Mkt Val";"ceo_Mkt_cons",#N/A,FALSE,"mkt con"}</definedName>
    <definedName name="wrn.CEO_colour." hidden="1">{"ceo_shareh",#N/A,FALSE,"SHARES";"ceo_debth",#N/A,FALSE,"CHART"}</definedName>
    <definedName name="wrn.chi._.tiÆt." hidden="1">{#N/A,#N/A,FALSE,"Chi tiÆt"}</definedName>
    <definedName name="wrn.chi._.tiÆt._1" hidden="1">{#N/A,#N/A,FALSE,"Chi tiÆt"}</definedName>
    <definedName name="wrn.chi._.tiÆt._2" hidden="1">{#N/A,#N/A,FALSE,"Chi tiÆt"}</definedName>
    <definedName name="wrn.chi._.tiÆt._3" hidden="1">{#N/A,#N/A,FALSE,"Chi tiÆt"}</definedName>
    <definedName name="wrn.chi._.tiÆt._4" hidden="1">{#N/A,#N/A,FALSE,"Chi tiÆt"}</definedName>
    <definedName name="wrn.chi._.tiÆt._5" hidden="1">{#N/A,#N/A,FALSE,"Chi tiÆt"}</definedName>
    <definedName name="wrn.CNM._.BUDGET." hidden="1">{#N/A,#N/A,FALSE,"CNM BUDGET EVIAN";#N/A,#N/A,FALSE,"CNM BUDGET BA"}</definedName>
    <definedName name="wrn.CNM._.BUDGET._1" hidden="1">{#N/A,#N/A,FALSE,"CNM BUDGET EVIAN";#N/A,#N/A,FALSE,"CNM BUDGET BA"}</definedName>
    <definedName name="wrn.CNM._.BUDGET._2" hidden="1">{#N/A,#N/A,FALSE,"CNM BUDGET EVIAN";#N/A,#N/A,FALSE,"CNM BUDGET BA"}</definedName>
    <definedName name="wrn.CNM._.BUDGET._3" hidden="1">{#N/A,#N/A,FALSE,"CNM BUDGET EVIAN";#N/A,#N/A,FALSE,"CNM BUDGET BA"}</definedName>
    <definedName name="wrn.CNM._.BUDGET._4" hidden="1">{#N/A,#N/A,FALSE,"CNM BUDGET EVIAN";#N/A,#N/A,FALSE,"CNM BUDGET BA"}</definedName>
    <definedName name="wrn.CNM._.BUDGET._5" hidden="1">{#N/A,#N/A,FALSE,"CNM BUDGET EVIAN";#N/A,#N/A,FALSE,"CNM BUDGET BA"}</definedName>
    <definedName name="wrn.COMBINED." hidden="1">{#N/A,#N/A,FALSE,"INPUTS";#N/A,#N/A,FALSE,"PROFORMA BSHEET";#N/A,#N/A,FALSE,"COMBINED";#N/A,#N/A,FALSE,"HIGH YIELD";#N/A,#N/A,FALSE,"COMB_GRAPHS"}</definedName>
    <definedName name="wrn.COMMENTAIRES.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wrn.Comparison." hidden="1">{"Comparison","Comparison",FALSE,"Datenbank"}</definedName>
    <definedName name="wrn.comps." hidden="1">{"comps",#N/A,FALSE,"comps";"notes",#N/A,FALSE,"comps"}</definedName>
    <definedName name="wrn.Comps1_Printing." hidden="1">{"comps1_1",#N/A,FALSE,"Comps1";"comps1_2",#N/A,FALSE,"Comps1";"comps1_3",#N/A,FALSE,"Comps1";"comps1_4",#N/A,FALSE,"Comps1";"comps1_5",#N/A,FALSE,"Comps1"}</definedName>
    <definedName name="wrn.Comps2_Printing." hidden="1">{"comps2_1",#N/A,FALSE,"Comps2";"comps2_2",#N/A,FALSE,"Comps2";"comps2_3",#N/A,FALSE,"Comps2";"comps2_4",#N/A,FALSE,"Comps2";"comps2_5",#N/A,FALSE,"Comps2"}</definedName>
    <definedName name="wrn.cooper." hidden="1">{#N/A,#N/A,TRUE,"Pro Forma";#N/A,#N/A,TRUE,"PF_Bal";#N/A,#N/A,TRUE,"PF_INC";#N/A,#N/A,TRUE,"CBE";#N/A,#N/A,TRUE,"SWK"}</definedName>
    <definedName name="wrn.Curva._.de._.Arranque._.BA._.99." hidden="1">{#N/A,#N/A,FALSE,"RESUMEN BA";#N/A,#N/A,FALSE,"TL RELL PAQ";#N/A,#N/A,FALSE,"TL RELL AGRUP";#N/A,#N/A,FALSE,"TL DS PAQ";#N/A,#N/A,FALSE,"TL DS AGRUP"}</definedName>
    <definedName name="wrn.Darwin." hidden="1">{#N/A,#N/A,FALSE,"Title";#N/A,#N/A,FALSE,"Assumptions";#N/A,#N/A,FALSE,"Bidder";#N/A,#N/A,FALSE,"Target";#N/A,#N/A,FALSE,"Curr";#N/A,#N/A,FALSE,"Prosp";#N/A,#N/A,FALSE,"Prosp+1";#N/A,#N/A,FALSE,"Summary";#N/A,#N/A,FALSE,"Debtsched";#N/A,#N/A,FALSE,"Sensitivities"}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il_anal." hidden="1">{"hiden",#N/A,FALSE,"14";"hidden",#N/A,FALSE,"16";"hidden",#N/A,FALSE,"18";"hidden",#N/A,FALSE,"20"}</definedName>
    <definedName name="wrn.dil_anal.1" hidden="1">{"hiden",#N/A,FALSE,"14";"hidden",#N/A,FALSE,"16";"hidden",#N/A,FALSE,"18";"hidden",#N/A,FALSE,"20"}</definedName>
    <definedName name="wrn.document." hidden="1">{"comp",#N/A,FALSE,"SPEC";"footnotes",#N/A,FALSE,"SPEC"}</definedName>
    <definedName name="wrn.document.1" hidden="1">{"comp",#N/A,FALSE,"SPEC";"footnotes",#N/A,FALSE,"SPEC"}</definedName>
    <definedName name="wrn.documentaero." hidden="1">{"comps2",#N/A,FALSE,"AERO";"footnotes",#N/A,FALSE,"AERO"}</definedName>
    <definedName name="wrn.documentaero.1" hidden="1">{"comps2",#N/A,FALSE,"AERO";"footnotes",#N/A,FALSE,"AERO"}</definedName>
    <definedName name="wrn.documenthand." hidden="1">{"comps",#N/A,FALSE,"HANDPACK";"footnotes",#N/A,FALSE,"HANDPACK"}</definedName>
    <definedName name="wrn.documenthand.1" hidden="1">{"comps",#N/A,FALSE,"HANDPACK";"footnotes",#N/A,FALSE,"HANDPACK"}</definedName>
    <definedName name="wrn.edeka._.monatlich." hidden="1">{#N/A,#N/A,FALSE,"Deckblatt";"edeka",#N/A,FALSE,"Übersicht 98-01 (1)";"edeka",#N/A,FALSE,"2001 (2+3)";#N/A,#N/A,FALSE,"Mixgraph (6)";#N/A,#N/A,FALSE,"Volumenmix (6)";#N/A,#N/A,FALSE,"EdekaAVA"}</definedName>
    <definedName name="wrn.edeka._.monatlich._1" hidden="1">{#N/A,#N/A,FALSE,"Deckblatt";"edeka",#N/A,FALSE,"Übersicht 98-01 (1)";"edeka",#N/A,FALSE,"2001 (2+3)";#N/A,#N/A,FALSE,"Mixgraph (6)";#N/A,#N/A,FALSE,"Volumenmix (6)";#N/A,#N/A,FALSE,"EdekaAVA"}</definedName>
    <definedName name="wrn.edeka._.monatlich._2" hidden="1">{#N/A,#N/A,FALSE,"Deckblatt";"edeka",#N/A,FALSE,"Übersicht 98-01 (1)";"edeka",#N/A,FALSE,"2001 (2+3)";#N/A,#N/A,FALSE,"Mixgraph (6)";#N/A,#N/A,FALSE,"Volumenmix (6)";#N/A,#N/A,FALSE,"EdekaAVA"}</definedName>
    <definedName name="wrn.edeka._.monatlich._3" hidden="1">{#N/A,#N/A,FALSE,"Deckblatt";"edeka",#N/A,FALSE,"Übersicht 98-01 (1)";"edeka",#N/A,FALSE,"2001 (2+3)";#N/A,#N/A,FALSE,"Mixgraph (6)";#N/A,#N/A,FALSE,"Volumenmix (6)";#N/A,#N/A,FALSE,"EdekaAVA"}</definedName>
    <definedName name="wrn.edeka._.monatlich._4" hidden="1">{#N/A,#N/A,FALSE,"Deckblatt";"edeka",#N/A,FALSE,"Übersicht 98-01 (1)";"edeka",#N/A,FALSE,"2001 (2+3)";#N/A,#N/A,FALSE,"Mixgraph (6)";#N/A,#N/A,FALSE,"Volumenmix (6)";#N/A,#N/A,FALSE,"EdekaAVA"}</definedName>
    <definedName name="wrn.edeka._.monatlich._5" hidden="1">{#N/A,#N/A,FALSE,"Deckblatt";"edeka",#N/A,FALSE,"Übersicht 98-01 (1)";"edeka",#N/A,FALSE,"2001 (2+3)";#N/A,#N/A,FALSE,"Mixgraph (6)";#N/A,#N/A,FALSE,"Volumenmix (6)";#N/A,#N/A,FALSE,"EdekaAVA"}</definedName>
    <definedName name="wrn.Edutainment._.Priority._.List." hidden="1">{#N/A,#N/A,FALSE,"DI 2 YEAR MASTER SCHEDULE"}</definedName>
    <definedName name="wrn.Eingabe." hidden="1">{"Eingabe","Alles anzeigen",FALSE,"Datenbank"}</definedName>
    <definedName name="wrn.EMM._.detail._.edition." hidden="1">{#N/A,#N/A,TRUE,"Cover";#N/A,#N/A,TRUE,"Content";"Orders EMM",#N/A,TRUE,"Order Sales";"project EMM",#N/A,TRUE,"Project Control";"Cash EMM",#N/A,TRUE,"Cash Control";"KPI EMM",#N/A,TRUE,"KPI-EMM";"Empl EMM",#N/A,TRUE,"Employees"}</definedName>
    <definedName name="wrn.equity._.comps." hidden="1">{"equity comps",#N/A,FALSE,"CS Comps";"equity comps",#N/A,FALSE,"PS Comps";"equity comps",#N/A,FALSE,"GIC_Comps";"equity comps",#N/A,FALSE,"GIC2_Comps"}</definedName>
    <definedName name="wrn.equity._.comps.1" hidden="1">{"equity comps",#N/A,FALSE,"CS Comps";"equity comps",#N/A,FALSE,"PS Comps";"equity comps",#N/A,FALSE,"GIC_Comps";"equity comps",#N/A,FALSE,"GIC2_Comps"}</definedName>
    <definedName name="wrn.Estimate." hidden="1">{"AA_Estimate","Estimate",FALSE,"Datenbank"}</definedName>
    <definedName name="wrn.ex." hidden="1">{#N/A,#N/A,FALSE,"ANALYSE";#N/A,#N/A,FALSE,"PM VALEUR"}</definedName>
    <definedName name="wrn.ex._1" hidden="1">{#N/A,#N/A,FALSE,"ANALYSE";#N/A,#N/A,FALSE,"PM VALEUR"}</definedName>
    <definedName name="wrn.ex._2" hidden="1">{#N/A,#N/A,FALSE,"ANALYSE";#N/A,#N/A,FALSE,"PM VALEUR"}</definedName>
    <definedName name="wrn.ex._3" hidden="1">{#N/A,#N/A,FALSE,"ANALYSE";#N/A,#N/A,FALSE,"PM VALEUR"}</definedName>
    <definedName name="wrn.ex._4" hidden="1">{#N/A,#N/A,FALSE,"ANALYSE";#N/A,#N/A,FALSE,"PM VALEUR"}</definedName>
    <definedName name="wrn.ex._5" hidden="1">{#N/A,#N/A,FALSE,"ANALYSE";#N/A,#N/A,FALSE,"PM VALEUR"}</definedName>
    <definedName name="wrn.FFR." hidden="1">{"header",#N/A,FALSE,"Header";"summary",#N/A,FALSE,"Summary";"profit&amp;loss",#N/A,FALSE,"GRP";"balance sheet",#N/A,FALSE,"Bal Sht";"manpower",#N/A,FALSE,"GRP";"capex",#N/A,FALSE,"GRP";"bank",#N/A,FALSE,"BANK";"mktvalue",#N/A,FALSE,"Mkt Val";#N/A,#N/A,FALSE,"CloProj2003"}</definedName>
    <definedName name="wrn.final._.closure." hidden="1">{"profit&amp;loss",#N/A,FALSE,"GRP";"revenue",#N/A,FALSE,"GRP";"manpower",#N/A,FALSE,"GRP";"capex",#N/A,FALSE,"GRP";"provisions",#N/A,FALSE,"GRP"}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lash." hidden="1">{"original",#N/A,TRUE,"flashcaneurope";"expeur",#N/A,TRUE,"EXPEUR";"ventesloceur",#N/A,TRUE,"VENTESLOCEUR";"candib",#N/A,TRUE,"flashcandib";"expedib",#N/A,TRUE,"EXPEDIB";"venteslocdib",#N/A,TRUE,"venteslocdib"}</definedName>
    <definedName name="wrn.flash._1" hidden="1">{"original",#N/A,TRUE,"flashcaneurope";"expeur",#N/A,TRUE,"EXPEUR";"ventesloceur",#N/A,TRUE,"VENTESLOCEUR";"candib",#N/A,TRUE,"flashcandib";"expedib",#N/A,TRUE,"EXPEDIB";"venteslocdib",#N/A,TRUE,"venteslocdib"}</definedName>
    <definedName name="wrn.flash._2" hidden="1">{"original",#N/A,TRUE,"flashcaneurope";"expeur",#N/A,TRUE,"EXPEUR";"ventesloceur",#N/A,TRUE,"VENTESLOCEUR";"candib",#N/A,TRUE,"flashcandib";"expedib",#N/A,TRUE,"EXPEDIB";"venteslocdib",#N/A,TRUE,"venteslocdib"}</definedName>
    <definedName name="wrn.flash._3" hidden="1">{"original",#N/A,TRUE,"flashcaneurope";"expeur",#N/A,TRUE,"EXPEUR";"ventesloceur",#N/A,TRUE,"VENTESLOCEUR";"candib",#N/A,TRUE,"flashcandib";"expedib",#N/A,TRUE,"EXPEDIB";"venteslocdib",#N/A,TRUE,"venteslocdib"}</definedName>
    <definedName name="wrn.flash._4" hidden="1">{"original",#N/A,TRUE,"flashcaneurope";"expeur",#N/A,TRUE,"EXPEUR";"ventesloceur",#N/A,TRUE,"VENTESLOCEUR";"candib",#N/A,TRUE,"flashcandib";"expedib",#N/A,TRUE,"EXPEDIB";"venteslocdib",#N/A,TRUE,"venteslocdib"}</definedName>
    <definedName name="wrn.flash._5" hidden="1">{"original",#N/A,TRUE,"flashcaneurope";"expeur",#N/A,TRUE,"EXPEUR";"ventesloceur",#N/A,TRUE,"VENTESLOCEUR";"candib",#N/A,TRUE,"flashcandib";"expedib",#N/A,TRUE,"EXPEDIB";"venteslocdib",#N/A,TRUE,"venteslocdib"}</definedName>
    <definedName name="wrn.forecast." hidden="1">{#N/A,#N/A,FALSE,"model"}</definedName>
    <definedName name="wrn.forecastassumptions." hidden="1">{#N/A,#N/A,FALSE,"model"}</definedName>
    <definedName name="wrn.forecastROIC." hidden="1">{#N/A,#N/A,FALSE,"model"}</definedName>
    <definedName name="wrn.Friendly." hidden="1">{#N/A,#N/A,TRUE,"Julio";#N/A,#N/A,TRUE,"Agosto";#N/A,#N/A,TRUE,"BHCo";#N/A,#N/A,TRUE,"Abril";#N/A,#N/A,TRUE,"Pro Forma"}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Gesamt._.monatlich." hidden="1">{#N/A,#N/A,FALSE,"Deckblatt";#N/A,#N/A,FALSE,"Übersicht 98-01 (1)";#N/A,#N/A,FALSE,"2001 (2+3)";#N/A,#N/A,FALSE,"Mixgraph (6)";#N/A,#N/A,FALSE,"Volumenmix (6)";#N/A,#N/A,FALSE,"Verdichtung";#N/A,#N/A,FALSE,"EdekaAVA";#N/A,#N/A,FALSE,"Rewe";#N/A,#N/A,FALSE,"Metro";#N/A,#N/A,FALSE,"Plus";#N/A,#N/A,FALSE,"AP";#N/A,#N/A,FALSE,"Spar";#N/A,#N/A,FALSE,"Lidl";#N/A,#N/A,FALSE,"BBBR";#N/A,#N/A,FALSE,"LidlDisc";#N/A,#N/A,FALSE,"DHM";#N/A,#N/A,FALSE,"Globus";#N/A,#N/A,FALSE,"Bubi";#N/A,#N/A,FALSE,"Tegut";#N/A,#N/A,FALSE,"WalMart";#N/A,#N/A,FALSE,"Norma";#N/A,#N/A,FALSE,"KlaasKock"}</definedName>
    <definedName name="wrn.Gesamt._.monatlich._1" hidden="1">{#N/A,#N/A,FALSE,"Deckblatt";#N/A,#N/A,FALSE,"Übersicht 98-01 (1)";#N/A,#N/A,FALSE,"2001 (2+3)";#N/A,#N/A,FALSE,"Mixgraph (6)";#N/A,#N/A,FALSE,"Volumenmix (6)";#N/A,#N/A,FALSE,"Verdichtung";#N/A,#N/A,FALSE,"EdekaAVA";#N/A,#N/A,FALSE,"Rewe";#N/A,#N/A,FALSE,"Metro";#N/A,#N/A,FALSE,"Plus";#N/A,#N/A,FALSE,"AP";#N/A,#N/A,FALSE,"Spar";#N/A,#N/A,FALSE,"Lidl";#N/A,#N/A,FALSE,"BBBR";#N/A,#N/A,FALSE,"LidlDisc";#N/A,#N/A,FALSE,"DHM";#N/A,#N/A,FALSE,"Globus";#N/A,#N/A,FALSE,"Bubi";#N/A,#N/A,FALSE,"Tegut";#N/A,#N/A,FALSE,"WalMart";#N/A,#N/A,FALSE,"Norma";#N/A,#N/A,FALSE,"KlaasKock"}</definedName>
    <definedName name="wrn.Gesamt._.monatlich._2" hidden="1">{#N/A,#N/A,FALSE,"Deckblatt";#N/A,#N/A,FALSE,"Übersicht 98-01 (1)";#N/A,#N/A,FALSE,"2001 (2+3)";#N/A,#N/A,FALSE,"Mixgraph (6)";#N/A,#N/A,FALSE,"Volumenmix (6)";#N/A,#N/A,FALSE,"Verdichtung";#N/A,#N/A,FALSE,"EdekaAVA";#N/A,#N/A,FALSE,"Rewe";#N/A,#N/A,FALSE,"Metro";#N/A,#N/A,FALSE,"Plus";#N/A,#N/A,FALSE,"AP";#N/A,#N/A,FALSE,"Spar";#N/A,#N/A,FALSE,"Lidl";#N/A,#N/A,FALSE,"BBBR";#N/A,#N/A,FALSE,"LidlDisc";#N/A,#N/A,FALSE,"DHM";#N/A,#N/A,FALSE,"Globus";#N/A,#N/A,FALSE,"Bubi";#N/A,#N/A,FALSE,"Tegut";#N/A,#N/A,FALSE,"WalMart";#N/A,#N/A,FALSE,"Norma";#N/A,#N/A,FALSE,"KlaasKock"}</definedName>
    <definedName name="wrn.Gesamt._.monatlich._3" hidden="1">{#N/A,#N/A,FALSE,"Deckblatt";#N/A,#N/A,FALSE,"Übersicht 98-01 (1)";#N/A,#N/A,FALSE,"2001 (2+3)";#N/A,#N/A,FALSE,"Mixgraph (6)";#N/A,#N/A,FALSE,"Volumenmix (6)";#N/A,#N/A,FALSE,"Verdichtung";#N/A,#N/A,FALSE,"EdekaAVA";#N/A,#N/A,FALSE,"Rewe";#N/A,#N/A,FALSE,"Metro";#N/A,#N/A,FALSE,"Plus";#N/A,#N/A,FALSE,"AP";#N/A,#N/A,FALSE,"Spar";#N/A,#N/A,FALSE,"Lidl";#N/A,#N/A,FALSE,"BBBR";#N/A,#N/A,FALSE,"LidlDisc";#N/A,#N/A,FALSE,"DHM";#N/A,#N/A,FALSE,"Globus";#N/A,#N/A,FALSE,"Bubi";#N/A,#N/A,FALSE,"Tegut";#N/A,#N/A,FALSE,"WalMart";#N/A,#N/A,FALSE,"Norma";#N/A,#N/A,FALSE,"KlaasKock"}</definedName>
    <definedName name="wrn.Gesamt._.monatlich._4" hidden="1">{#N/A,#N/A,FALSE,"Deckblatt";#N/A,#N/A,FALSE,"Übersicht 98-01 (1)";#N/A,#N/A,FALSE,"2001 (2+3)";#N/A,#N/A,FALSE,"Mixgraph (6)";#N/A,#N/A,FALSE,"Volumenmix (6)";#N/A,#N/A,FALSE,"Verdichtung";#N/A,#N/A,FALSE,"EdekaAVA";#N/A,#N/A,FALSE,"Rewe";#N/A,#N/A,FALSE,"Metro";#N/A,#N/A,FALSE,"Plus";#N/A,#N/A,FALSE,"AP";#N/A,#N/A,FALSE,"Spar";#N/A,#N/A,FALSE,"Lidl";#N/A,#N/A,FALSE,"BBBR";#N/A,#N/A,FALSE,"LidlDisc";#N/A,#N/A,FALSE,"DHM";#N/A,#N/A,FALSE,"Globus";#N/A,#N/A,FALSE,"Bubi";#N/A,#N/A,FALSE,"Tegut";#N/A,#N/A,FALSE,"WalMart";#N/A,#N/A,FALSE,"Norma";#N/A,#N/A,FALSE,"KlaasKock"}</definedName>
    <definedName name="wrn.Gesamt._.monatlich._5" hidden="1">{#N/A,#N/A,FALSE,"Deckblatt";#N/A,#N/A,FALSE,"Übersicht 98-01 (1)";#N/A,#N/A,FALSE,"2001 (2+3)";#N/A,#N/A,FALSE,"Mixgraph (6)";#N/A,#N/A,FALSE,"Volumenmix (6)";#N/A,#N/A,FALSE,"Verdichtung";#N/A,#N/A,FALSE,"EdekaAVA";#N/A,#N/A,FALSE,"Rewe";#N/A,#N/A,FALSE,"Metro";#N/A,#N/A,FALSE,"Plus";#N/A,#N/A,FALSE,"AP";#N/A,#N/A,FALSE,"Spar";#N/A,#N/A,FALSE,"Lidl";#N/A,#N/A,FALSE,"BBBR";#N/A,#N/A,FALSE,"LidlDisc";#N/A,#N/A,FALSE,"DHM";#N/A,#N/A,FALSE,"Globus";#N/A,#N/A,FALSE,"Bubi";#N/A,#N/A,FALSE,"Tegut";#N/A,#N/A,FALSE,"WalMart";#N/A,#N/A,FALSE,"Norma";#N/A,#N/A,FALSE,"KlaasKock"}</definedName>
    <definedName name="wrn.GM." hidden="1">{"capacity",#N/A,FALSE,"Guangzhou";"Volume",#N/A,FALSE,"Guangmei"}</definedName>
    <definedName name="wrn.Graph._.edition." hidden="1">{#N/A,#N/A,FALSE,"KPI-EMM-Graph";#N/A,#N/A,FALSE,"Cost Graph";#N/A,#N/A,FALSE,"Cash graph";#N/A,#N/A,FALSE,"Order Sales Graph"}</definedName>
    <definedName name="wrn.GRAPHS." hidden="1">{#N/A,#N/A,FALSE,"ACQ_GRAPHS";#N/A,#N/A,FALSE,"T_1 GRAPHS";#N/A,#N/A,FALSE,"T_2 GRAPHS";#N/A,#N/A,FALSE,"COMB_GRAPHS"}</definedName>
    <definedName name="wrn.GRP._.2004final." hidden="1">{#N/A,#N/A,TRUE,"Cover";#N/A,#N/A,TRUE,"Cover";#N/A,#N/A,TRUE,"Contents";#N/A,#N/A,TRUE,"Check";#N/A,#N/A,TRUE,"Group";#N/A,#N/A,TRUE,"BS";#N/A,#N/A,TRUE,"IS";#N/A,#N/A,TRUE,"CFS";#N/A,#N/A,TRUE,"SCE";#N/A,#N/A,TRUE,"Cash";#N/A,#N/A,TRUE,"AR";#N/A,#N/A,TRUE,"INV";#N/A,#N/A,TRUE,"URP";#N/A,#N/A,TRUE,"LTI";#N/A,#N/A,TRUE,"CA";#N/A,#N/A,TRUE,"PPE";#N/A,#N/A,TRUE,"AP";#N/A,#N/A,TRUE,"Borrowings";#N/A,#N/A,TRUE,"Interest";#N/A,#N/A,TRUE,"ITrec";#N/A,#N/A,TRUE,"ShareCapital";#N/A,#N/A,TRUE,"Contingencies";#N/A,#N/A,TRUE,"SEv"}</definedName>
    <definedName name="wrn.GZ." hidden="1">{"Volume",#N/A,FALSE,"Guangzhou";"capacity",#N/A,FALSE,"Guangzhou"}</definedName>
    <definedName name="wrn.HF." hidden="1">{"capacity",#N/A,FALSE,"Hefei";"Volume",#N/A,FALSE,"Hefei"}</definedName>
    <definedName name="wrn.history." hidden="1">{#N/A,#N/A,FALSE,"model"}</definedName>
    <definedName name="wrn.histROIC." hidden="1">{#N/A,#N/A,FALSE,"model"}</definedName>
    <definedName name="wrn.HZ." hidden="1">{"capacity",#N/A,FALSE,"Hangzhou";"volume",#N/A,FALSE,"Hangzhou"}</definedName>
    <definedName name="wrn.interim._.closure." hidden="1">{"profit&amp;loss",#N/A,FALSE,"GRP";"revenue",#N/A,FALSE,"GRP";"capex1",#N/A,FALSE,"GRP";"provisions",#N/A,FALSE,"GRP"}</definedName>
    <definedName name="wrn.inv._.budget." hidden="1">{"invbud-1",#N/A,FALSE,"A";"invbud-1CW",#N/A,FALSE,"A";"Desinvesteringen",#N/A,FALSE,"C"}</definedName>
    <definedName name="wrn.inv._.budget._1" hidden="1">{"invbud-1",#N/A,FALSE,"A";"invbud-1CW",#N/A,FALSE,"A";"Desinvesteringen",#N/A,FALSE,"C"}</definedName>
    <definedName name="wrn.inv._.budget._2" hidden="1">{"invbud-1",#N/A,FALSE,"A";"invbud-1CW",#N/A,FALSE,"A";"Desinvesteringen",#N/A,FALSE,"C"}</definedName>
    <definedName name="wrn.inv._.budget._3" hidden="1">{"invbud-1",#N/A,FALSE,"A";"invbud-1CW",#N/A,FALSE,"A";"Desinvesteringen",#N/A,FALSE,"C"}</definedName>
    <definedName name="wrn.inv._.budget._4" hidden="1">{"invbud-1",#N/A,FALSE,"A";"invbud-1CW",#N/A,FALSE,"A";"Desinvesteringen",#N/A,FALSE,"C"}</definedName>
    <definedName name="wrn.inv._.budget._5" hidden="1">{"invbud-1",#N/A,FALSE,"A";"invbud-1CW",#N/A,FALSE,"A";"Desinvesteringen",#N/A,FALSE,"C"}</definedName>
    <definedName name="wrn.Janvier." hidden="1">{"Janvier",#N/A,FALSE,"Sheet1"}</definedName>
    <definedName name="wrn.Janvier._1" hidden="1">{"Janvier",#N/A,FALSE,"Sheet1"}</definedName>
    <definedName name="wrn.Janvier._2" hidden="1">{"Janvier",#N/A,FALSE,"Sheet1"}</definedName>
    <definedName name="wrn.Janvier._3" hidden="1">{"Janvier",#N/A,FALSE,"Sheet1"}</definedName>
    <definedName name="wrn.Janvier._4" hidden="1">{"Janvier",#N/A,FALSE,"Sheet1"}</definedName>
    <definedName name="wrn.Janvier._5" hidden="1">{"Janvier",#N/A,FALSE,"Sheet1"}</definedName>
    <definedName name="wrn.Japan_Capers_Ed._.Pub." hidden="1">{"Japan_Capers_Ed_Pub",#N/A,FALSE,"DI 2 YEAR MASTER SCHEDULE"}</definedName>
    <definedName name="wrn.June." hidden="1">{"det (May)",#N/A,FALSE,"June";"sum (MAY YTD)",#N/A,FALSE,"June YTD"}</definedName>
    <definedName name="wrn.Leases.xls." hidden="1">{#N/A,#N/A,FALSE,"Initial Year";#N/A,#N/A,FALSE,"Historical";#N/A,#N/A,FALSE,"balsheet";#N/A,#N/A,FALSE,"incstate";#N/A,#N/A,FALSE,"Fleet"}</definedName>
    <definedName name="wrn.markant._.monatlich." hidden="1">{#N/A,#N/A,FALSE,"Deckblatt";"markant",#N/A,FALSE,"2001 (2+3)";#N/A,#N/A,FALSE,"Mixgraph (6)";#N/A,#N/A,FALSE,"Volumenmix (6)";#N/A,#N/A,FALSE,"Lidl";#N/A,#N/A,FALSE,"BBBR";#N/A,#N/A,FALSE,"DHM";#N/A,#N/A,FALSE,"Globus";#N/A,#N/A,FALSE,"Tegut";#N/A,#N/A,FALSE,"WalMart"}</definedName>
    <definedName name="wrn.markant._.monatlich._1" hidden="1">{#N/A,#N/A,FALSE,"Deckblatt";"markant",#N/A,FALSE,"2001 (2+3)";#N/A,#N/A,FALSE,"Mixgraph (6)";#N/A,#N/A,FALSE,"Volumenmix (6)";#N/A,#N/A,FALSE,"Lidl";#N/A,#N/A,FALSE,"BBBR";#N/A,#N/A,FALSE,"DHM";#N/A,#N/A,FALSE,"Globus";#N/A,#N/A,FALSE,"Tegut";#N/A,#N/A,FALSE,"WalMart"}</definedName>
    <definedName name="wrn.markant._.monatlich._2" hidden="1">{#N/A,#N/A,FALSE,"Deckblatt";"markant",#N/A,FALSE,"2001 (2+3)";#N/A,#N/A,FALSE,"Mixgraph (6)";#N/A,#N/A,FALSE,"Volumenmix (6)";#N/A,#N/A,FALSE,"Lidl";#N/A,#N/A,FALSE,"BBBR";#N/A,#N/A,FALSE,"DHM";#N/A,#N/A,FALSE,"Globus";#N/A,#N/A,FALSE,"Tegut";#N/A,#N/A,FALSE,"WalMart"}</definedName>
    <definedName name="wrn.markant._.monatlich._3" hidden="1">{#N/A,#N/A,FALSE,"Deckblatt";"markant",#N/A,FALSE,"2001 (2+3)";#N/A,#N/A,FALSE,"Mixgraph (6)";#N/A,#N/A,FALSE,"Volumenmix (6)";#N/A,#N/A,FALSE,"Lidl";#N/A,#N/A,FALSE,"BBBR";#N/A,#N/A,FALSE,"DHM";#N/A,#N/A,FALSE,"Globus";#N/A,#N/A,FALSE,"Tegut";#N/A,#N/A,FALSE,"WalMart"}</definedName>
    <definedName name="wrn.markant._.monatlich._4" hidden="1">{#N/A,#N/A,FALSE,"Deckblatt";"markant",#N/A,FALSE,"2001 (2+3)";#N/A,#N/A,FALSE,"Mixgraph (6)";#N/A,#N/A,FALSE,"Volumenmix (6)";#N/A,#N/A,FALSE,"Lidl";#N/A,#N/A,FALSE,"BBBR";#N/A,#N/A,FALSE,"DHM";#N/A,#N/A,FALSE,"Globus";#N/A,#N/A,FALSE,"Tegut";#N/A,#N/A,FALSE,"WalMart"}</definedName>
    <definedName name="wrn.markant._.monatlich._5" hidden="1">{#N/A,#N/A,FALSE,"Deckblatt";"markant",#N/A,FALSE,"2001 (2+3)";#N/A,#N/A,FALSE,"Mixgraph (6)";#N/A,#N/A,FALSE,"Volumenmix (6)";#N/A,#N/A,FALSE,"Lidl";#N/A,#N/A,FALSE,"BBBR";#N/A,#N/A,FALSE,"DHM";#N/A,#N/A,FALSE,"Globus";#N/A,#N/A,FALSE,"Tegut";#N/A,#N/A,FALSE,"WalMart"}</definedName>
    <definedName name="wrn.memo." hidden="1">{#N/A,#N/A,TRUE,"financial";#N/A,#N/A,TRUE,"plants"}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tro._.monatlich." hidden="1">{#N/A,#N/A,FALSE,"Deckblatt";"metro",#N/A,FALSE,"2001 (2+3)";#N/A,#N/A,FALSE,"Mixgraph (6)";#N/A,#N/A,FALSE,"Volumenmix (6)";#N/A,#N/A,FALSE,"Metro"}</definedName>
    <definedName name="wrn.metro._.monatlich._1" hidden="1">{#N/A,#N/A,FALSE,"Deckblatt";"metro",#N/A,FALSE,"2001 (2+3)";#N/A,#N/A,FALSE,"Mixgraph (6)";#N/A,#N/A,FALSE,"Volumenmix (6)";#N/A,#N/A,FALSE,"Metro"}</definedName>
    <definedName name="wrn.metro._.monatlich._2" hidden="1">{#N/A,#N/A,FALSE,"Deckblatt";"metro",#N/A,FALSE,"2001 (2+3)";#N/A,#N/A,FALSE,"Mixgraph (6)";#N/A,#N/A,FALSE,"Volumenmix (6)";#N/A,#N/A,FALSE,"Metro"}</definedName>
    <definedName name="wrn.metro._.monatlich._3" hidden="1">{#N/A,#N/A,FALSE,"Deckblatt";"metro",#N/A,FALSE,"2001 (2+3)";#N/A,#N/A,FALSE,"Mixgraph (6)";#N/A,#N/A,FALSE,"Volumenmix (6)";#N/A,#N/A,FALSE,"Metro"}</definedName>
    <definedName name="wrn.metro._.monatlich._4" hidden="1">{#N/A,#N/A,FALSE,"Deckblatt";"metro",#N/A,FALSE,"2001 (2+3)";#N/A,#N/A,FALSE,"Mixgraph (6)";#N/A,#N/A,FALSE,"Volumenmix (6)";#N/A,#N/A,FALSE,"Metro"}</definedName>
    <definedName name="wrn.metro._.monatlich._5" hidden="1">{#N/A,#N/A,FALSE,"Deckblatt";"metro",#N/A,FALSE,"2001 (2+3)";#N/A,#N/A,FALSE,"Mixgraph (6)";#N/A,#N/A,FALSE,"Volumenmix (6)";#N/A,#N/A,FALSE,"Metro"}</definedName>
    <definedName name="wrn.Model." hidden="1">{"DCF",#N/A,FALSE,"DCF"}</definedName>
    <definedName name="wrn.Monatsbericht." hidden="1">{#N/A,#N/A,FALSE,"Analyse";#N/A,#N/A,FALSE,"Synthese";#N/A,#N/A,FALSE,"AR-Analyse"}</definedName>
    <definedName name="wrn.Month._.End." hidden="1">{"VOLMIXRATE",#N/A,FALSE,"VMR MONTH";"P&amp;L",#N/A,FALSE,"VMR MONTH"}</definedName>
    <definedName name="wrn.Monthly." hidden="1">{#N/A,#N/A,FALSE,"EL-M-01";#N/A,#N/A,FALSE,"EL-M-02";#N/A,#N/A,FALSE,"EL-M-03";#N/A,#N/A,FALSE,"EL-S-01";#N/A,#N/A,FALSE,"EL-S-02";#N/A,#N/A,FALSE,"EL-A-01";#N/A,#N/A,FALSE,"EL-A-02"}</definedName>
    <definedName name="wrn.monthly._.reporting." hidden="1">{#N/A,#N/A,TRUE,"AR Rbls-URB";#N/A,#N/A,TRUE,"резервы";#N/A,#N/A,TRUE,"Balance04";#N/A,#N/A,TRUE,"Bilan synt";#N/A,#N/A,TRUE,"OC"}</definedName>
    <definedName name="wrn.monthly._.reports." hidden="1">{#N/A,#N/A,FALSE,"dsBolsh";#N/A,#N/A,FALSE,"AR Rbls-URB";#N/A,#N/A,FALSE,"reserves";#N/A,#N/A,FALSE,"YTD reserves";#N/A,#N/A,FALSE,"AR_CARAT";#N/A,#N/A,FALSE,"Bilan synt";#N/A,#N/A,FALSE,"Balance05";#N/A,#N/A,FALSE,"P108";#N/A,#N/A,FALSE,"KPI"}</definedName>
    <definedName name="wrn.monthlyrep." hidden="1">{"HeadstatPolish",#N/A,TRUE,"Headstat";"HeadstatEnglish",#N/A,TRUE,"Headstat";"charts",#N/A,TRUE,"Charts";"Variance1",#N/A,TRUE,"Variances";"Variance2",#N/A,TRUE,"Variances";"Interconnect",#N/A,TRUE,"Variances";"Subscribers",#N/A,TRUE,"Variances";"Churn",#N/A,TRUE,"Variances";"Headcount",#N/A,TRUE,"Headcount";"SalaryVariance",#N/A,TRUE,"Headcount"}</definedName>
    <definedName name="wrn.NJ." hidden="1">{"Volume",#N/A,FALSE,"Nanjing";"capacity",#N/A,FALSE,"Nanjing"}</definedName>
    <definedName name="wrn.ocultar." hidden="1">{"ocultar","kilometros",FALSE,"Hoja4"}</definedName>
    <definedName name="wrn.ocultar._1" hidden="1">{"ocultar","kilometros",FALSE,"Hoja4"}</definedName>
    <definedName name="wrn.ocultar._2" hidden="1">{"ocultar","kilometros",FALSE,"Hoja4"}</definedName>
    <definedName name="wrn.ocultar._3" hidden="1">{"ocultar","kilometros",FALSE,"Hoja4"}</definedName>
    <definedName name="wrn.ocultar._4" hidden="1">{"ocultar","kilometros",FALSE,"Hoja4"}</definedName>
    <definedName name="wrn.ocultar._5" hidden="1">{"ocultar","kilometros",FALSE,"Hoja4"}</definedName>
    <definedName name="wrn.PA960219R." hidden="1">{#N/A,#N/A,FALSE,"Planning";#N/A,#N/A,FALSE,"Réalisé";#N/A,#N/A,FALSE,"Suivi";#N/A,#N/A,FALSE,"Suivi Financier"}</definedName>
    <definedName name="wrn.perimeter._.comp." hidden="1">{#N/A,#N/A,TRUE,"comp";#N/A,#N/A,TRUE,"notes"}</definedName>
    <definedName name="wrn.Pianocomp." hidden="1">{"page_1",#N/A,TRUE,"Sheet1";"page_2",#N/A,TRUE,"Sheet1";"page_notes",#N/A,TRUE,"Sheet1"}</definedName>
    <definedName name="wrn.Plan." hidden="1">{"Plan","Plan",FALSE,"Datenbank"}</definedName>
    <definedName name="wrn.Plan_print." hidden="1">{"A1_plan_print",#N/A,FALSE,"Atelier1";"A2_plan_print",#N/A,FALSE,"Atelier2";"A3_plan_print",#N/A,FALSE,"Atelier3";"A4_plan_print",#N/A,FALSE,"Atelier4";"Bs_plan_print",#N/A,FALSE,"Bolshevik"}</definedName>
    <definedName name="wrn.PLLAS._.CORREA." hidden="1">{#N/A,#N/A,FALSE,"Hoja1";#N/A,#N/A,FALSE,"Hoja2";#N/A,#N/A,FALSE,"Hoja3";#N/A,#N/A,FALSE,"Hoja4";#N/A,#N/A,FALSE,"Hoja5";#N/A,#N/A,FALSE,"Hoja6";#N/A,#N/A,FALSE,"Hoja7"}</definedName>
    <definedName name="wrn.PPeurope." hidden="1">{"PPeuropeDM",#N/A,FALSE,"Client";"PPeuropeLC",#N/A,FALSE,"Client";#N/A,"Total",FALSE,"Categ";#N/A,"Hofer",FALSE,"Categ";#N/A,"Metro",FALSE,"Categ";#N/A,"Billa",FALSE,"Categ";#N/A,#N/A,FALSE,"Cont%sal";#N/A,#N/A,FALSE,"Sales";#N/A,#N/A,FALSE,"Cont";#N/A,#N/A,FALSE,"Tons";#N/A,#N/A,FALSE,"Invent";#N/A,#N/A,FALSE,"Receiv";"PPeuropeLC",#N/A,FALSE,"Synop"}</definedName>
    <definedName name="wrn.PPeuropeLC." hidden="1">{"PPeuropeLC",#N/A,FALSE,"Result%";"PPeuropeLC",#N/A,FALSE,"Client";"PPeuropeLC","Total",FALSE,"Categ";"PPeuropeLC","Continente",FALSE,"Categ";"PPeuropeLC","MiniPreco",FALSE,"Categ";"PPeuropeLC","Modelo",FALSE,"Categ";"PPeuropeLC","Jumbo",FALSE,"Categ";"PPeuropeLC","Intermarche",FALSE,"Categ";"PPeuropeLC","Makro",FALSE,"Categ";"PPeuropeLC","PingoDoce",FALSE,"Categ";"PPeuropeLC","FeiraNova",FALSE,"Categ";"PPeuropeLC","Coop",FALSE,"Categ";"PPeuropeLC","Lidl",FALSE,"Categ";"PPeuropeLC",#N/A,FALSE,"Cont%sal";"PPeuropeLC",#N/A,FALSE,"Sales";"PPeuropeLC",#N/A,FALSE,"Cont";"PPeurope",#N/A,FALSE,"Tons";"PPeurope",#N/A,FALSE,"Invent";"PPeuropeLC",#N/A,FALSE,"Receiv"}</definedName>
    <definedName name="wrn.PPeuropeNLG." hidden="1">{"PPeuropeDM",#N/A,FALSE,"Result%";"PPeuropeDM","Total",FALSE,"Categ";"PPeuropeDM",#N/A,FALSE,"Client";"PPeuropeDM",#N/A,FALSE,"Receiv";"PPeurope",#N/A,FALSE,"Invent";"PPeuropeDM",#N/A,FALSE,"Synop";"PPeuropeDM",#N/A,FALSE,"Cont%sal";"PPeurope",#N/A,FALSE,"Tons";"PPeuropeDM",#N/A,FALSE,"Sales";"PPeuropeDM",#N/A,FALSE,"Cont"}</definedName>
    <definedName name="wrn.PREF." hidden="1">{#N/A,#N/A,FALSE,"PVS"}</definedName>
    <definedName name="wrn.Print." hidden="1">{"YTD/Forecast",#N/A,TRUE,"Fcst_TPLN";"Monthly Averages",#N/A,TRUE,"Fcst_TPLN"}</definedName>
    <definedName name="wrn.Print._.the._.lot." hidden="1">{"First Page",#N/A,FALSE,"Surfactants LBO";"Second Page",#N/A,FALSE,"Surfactants LBO"}</definedName>
    <definedName name="wrn.Print._4" hidden="1">{"YTD/Forecast",#N/A,TRUE,"Fcst_TPLN";"Monthly Averages",#N/A,TRUE,"Fcst_TPLN"}</definedName>
    <definedName name="wrn.Print._5" hidden="1">{"YTD/Forecast",#N/A,TRUE,"Fcst_TPLN";"Monthly Averages",#N/A,TRUE,"Fcst_TPLN"}</definedName>
    <definedName name="wrn.Print.2" hidden="1">{#N/A,#N/A,FALSE,"Assumps";#N/A,#N/A,FALSE,"Data";#N/A,#N/A,FALSE,"Data (2)";#N/A,#N/A,FALSE,"AcqyrP&amp;L";#N/A,#N/A,FALSE,"Acq+1P&amp;L";#N/A,#N/A,FALSE,"Acq+2P&amp;L";#N/A,#N/A,FALSE,"Cashflow";#N/A,#N/A,FALSE,"BalSheet";#N/A,#N/A,FALSE,"Bidder";#N/A,#N/A,FALSE,"Target";#N/A,#N/A,FALSE,"Tgtann";#N/A,#N/A,FALSE,"Topt";#N/A,#N/A,FALSE,"Disp";#N/A,#N/A,FALSE,"Dann";#N/A,#N/A,FALSE,"Syns"}</definedName>
    <definedName name="wrn.Print_Comps_Report." hidden="1">{"comps1_1",#N/A,FALSE,"Comps1";"comps1_2",#N/A,FALSE,"Comps1";"comps1_3",#N/A,FALSE,"Comps1";"comps1_4",#N/A,FALSE,"Comps1";"comps1_5",#N/A,FALSE,"Comps1";"comps2_1",#N/A,FALSE,"Comps2";"comps2_2",#N/A,FALSE,"Comps2";"comps2_3",#N/A,FALSE,"Comps2";"comps2_4",#N/A,FALSE,"Comps2";"comps2_5",#N/A,FALSE,"Comps2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95and96." hidden="1">{"print95",#N/A,FALSE,"1995E.XLS";"print96",#N/A,FALSE,"1996E.XLS"}</definedName>
    <definedName name="wrn.printing." hidden="1">{#N/A,#N/A,FALSE,"trans"}</definedName>
    <definedName name="wrn.Printing._.Report.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Printing._.the._.transactions._.sheets." hidden="1">{#N/A,#N/A,FALSE,"Eastern";#N/A,#N/A,FALSE,"Western"}</definedName>
    <definedName name="wrn.Printing._.the._.transactions._.sheets.2" hidden="1">{#N/A,#N/A,FALSE,"Eastern";#N/A,#N/A,FALSE,"Western"}</definedName>
    <definedName name="wrn.printsyns." hidden="1">{"dcfsyn",#N/A,FALSE,"DCFSYN";"senssyn",#N/A,FALSE,"DCFSYN"}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PVS." hidden="1">{#N/A,#N/A,FALSE,"PVS"}</definedName>
    <definedName name="wrn.Quality._.KPIs." hidden="1">{#N/A,#N/A,TRUE,"Quality KPIs"}</definedName>
    <definedName name="wrn.Quality._.KPIs._4" hidden="1">{#N/A,#N/A,TRUE,"Quality KPIs"}</definedName>
    <definedName name="wrn.Quality._.KPIs._5" hidden="1">{#N/A,#N/A,TRUE,"Quality KPIs"}</definedName>
    <definedName name="wrn.Rapor1." hidden="1">{#N/A,#N/A,FALSE,"Summary Balance Sheet"}</definedName>
    <definedName name="wrn.Raport." hidden="1">{#N/A,#N/A,FALSE,"CAF-W"}</definedName>
    <definedName name="wrn.Raport._1" hidden="1">{#N/A,#N/A,FALSE,"CAF-W"}</definedName>
    <definedName name="wrn.Raport._1_1" hidden="1">{#N/A,#N/A,FALSE,"CAF-W"}</definedName>
    <definedName name="wrn.Raport._1_1_1" hidden="1">{#N/A,#N/A,FALSE,"CAF-W"}</definedName>
    <definedName name="wrn.Raport._1_1_2" hidden="1">{#N/A,#N/A,FALSE,"CAF-W"}</definedName>
    <definedName name="wrn.Raport._1_2" hidden="1">{#N/A,#N/A,FALSE,"CAF-W"}</definedName>
    <definedName name="wrn.Raport._1_2_1" hidden="1">{#N/A,#N/A,FALSE,"CAF-W"}</definedName>
    <definedName name="wrn.Raport._1_3" hidden="1">{#N/A,#N/A,FALSE,"CAF-W"}</definedName>
    <definedName name="wrn.Raport._2" hidden="1">{#N/A,#N/A,FALSE,"CAF-W"}</definedName>
    <definedName name="wrn.Raport._2_1" hidden="1">{#N/A,#N/A,FALSE,"CAF-W"}</definedName>
    <definedName name="wrn.Raport._2_2" hidden="1">{#N/A,#N/A,FALSE,"CAF-W"}</definedName>
    <definedName name="wrn.Raport._3" hidden="1">{#N/A,#N/A,FALSE,"CAF-W"}</definedName>
    <definedName name="wrn.Raport._3_1" hidden="1">{#N/A,#N/A,FALSE,"CAF-W"}</definedName>
    <definedName name="wrn.Raport._4" hidden="1">{#N/A,#N/A,FALSE,"CAF-W"}</definedName>
    <definedName name="wrn.Raport2" hidden="1">{#N/A,#N/A,FALSE,"CAF-W"}</definedName>
    <definedName name="wrn.REPORT1." hidden="1">{"PRINTME",#N/A,FALSE,"FINAL-10"}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LC." hidden="1">{"result%LC",#N/A,FALSE,"Result%";"categLC",#N/A,FALSE,"Categ";"clientLC",#N/A,FALSE,"Client";"receivLC",#N/A,FALSE,"Receiv";"receivLC",#N/A,FALSE,"Invent";"synopLC",#N/A,FALSE,"Synop";"cont%salLC",#N/A,FALSE,"Cont%sal";"tons",#N/A,FALSE,"Tons";"salesLC",#N/A,FALSE,"Sales";"contLC",#N/A,FALSE,"Cont"}</definedName>
    <definedName name="wrn.reportNLG." hidden="1">{"result%NLG",#N/A,FALSE,"Result%";"categNLG",#N/A,FALSE,"Categ";"clientNLG",#N/A,FALSE,"Client";"receivNLG",#N/A,FALSE,"Receiv";"invent",#N/A,FALSE,"Invent";"synopNLG",#N/A,FALSE,"Synop";"cont%salNLG",#N/A,FALSE,"Cont%sal";"tons",#N/A,FALSE,"Tons";"salesNLG",#N/A,FALSE,"Sales";"contNLG",#N/A,FALSE,"Cont"}</definedName>
    <definedName name="wrn.rewe._.monatlich." hidden="1">{#N/A,#N/A,FALSE,"Deckblatt";"rewe",#N/A,FALSE,"2001 (2+3)";#N/A,#N/A,FALSE,"Mixgraph (6)";#N/A,#N/A,FALSE,"Volumenmix (6)";#N/A,#N/A,FALSE,"Rewe";#N/A,#N/A,FALSE,"Bubi"}</definedName>
    <definedName name="wrn.rewe._.monatlich._1" hidden="1">{#N/A,#N/A,FALSE,"Deckblatt";"rewe",#N/A,FALSE,"2001 (2+3)";#N/A,#N/A,FALSE,"Mixgraph (6)";#N/A,#N/A,FALSE,"Volumenmix (6)";#N/A,#N/A,FALSE,"Rewe";#N/A,#N/A,FALSE,"Bubi"}</definedName>
    <definedName name="wrn.rewe._.monatlich._2" hidden="1">{#N/A,#N/A,FALSE,"Deckblatt";"rewe",#N/A,FALSE,"2001 (2+3)";#N/A,#N/A,FALSE,"Mixgraph (6)";#N/A,#N/A,FALSE,"Volumenmix (6)";#N/A,#N/A,FALSE,"Rewe";#N/A,#N/A,FALSE,"Bubi"}</definedName>
    <definedName name="wrn.rewe._.monatlich._3" hidden="1">{#N/A,#N/A,FALSE,"Deckblatt";"rewe",#N/A,FALSE,"2001 (2+3)";#N/A,#N/A,FALSE,"Mixgraph (6)";#N/A,#N/A,FALSE,"Volumenmix (6)";#N/A,#N/A,FALSE,"Rewe";#N/A,#N/A,FALSE,"Bubi"}</definedName>
    <definedName name="wrn.rewe._.monatlich._4" hidden="1">{#N/A,#N/A,FALSE,"Deckblatt";"rewe",#N/A,FALSE,"2001 (2+3)";#N/A,#N/A,FALSE,"Mixgraph (6)";#N/A,#N/A,FALSE,"Volumenmix (6)";#N/A,#N/A,FALSE,"Rewe";#N/A,#N/A,FALSE,"Bubi"}</definedName>
    <definedName name="wrn.rewe._.monatlich._5" hidden="1">{#N/A,#N/A,FALSE,"Deckblatt";"rewe",#N/A,FALSE,"2001 (2+3)";#N/A,#N/A,FALSE,"Mixgraph (6)";#N/A,#N/A,FALSE,"Volumenmix (6)";#N/A,#N/A,FALSE,"Rewe";#N/A,#N/A,FALSE,"Bubi"}</definedName>
    <definedName name="wrn.sales." hidden="1">{"sales",#N/A,FALSE,"Sales";"sales existing",#N/A,FALSE,"Sales";"sales rd1",#N/A,FALSE,"Sales";"sales rd2",#N/A,FALSE,"Sales"}</definedName>
    <definedName name="wrn.sens." hidden="1">{#N/A,#N/A,FALSE,"Sensitivities";#N/A,#N/A,FALSE,"Sensitivities2"}</definedName>
    <definedName name="wrn.sens.2" hidden="1">{#N/A,#N/A,FALSE,"Sensitivities";#N/A,#N/A,FALSE,"Sensitivities2"}</definedName>
    <definedName name="wrn.sens3." hidden="1">{#N/A,#N/A,TRUE,"DCF";#N/A,#N/A,TRUE,"DCF"}</definedName>
    <definedName name="wrn.sensitivity._.analyses." hidden="1">{"general",#N/A,FALSE,"Assumptions"}</definedName>
    <definedName name="wrn.SFS." hidden="1">{"index",#N/A,FALSE,"DRS";"a_1",#N/A,FALSE,"DRS";"a_2",#N/A,FALSE,"DRS";"b_1",#N/A,FALSE,"DRS";"b_2.b_3",#N/A,FALSE,"DRS";"b_4.b_5.b_6",#N/A,FALSE,"DRS";"b_7.b_8",#N/A,FALSE,"DRS";"b_9",#N/A,FALSE,"DRS";"b_10.b_11",#N/A,FALSE,"DRS";"b_12.b_13",#N/A,FALSE,"DRS";"b_14",#N/A,FALSE,"DRS";"b_15.b_16",#N/A,FALSE,"DRS";"b_17",#N/A,FALSE,"DRS";"b_18",#N/A,FALSE,"DRS";"c_1.c_2",#N/A,FALSE,"DRS";"d_1",#N/A,FALSE,"DRS";"e_1",#N/A,FALSE,"DRS"}</definedName>
    <definedName name="wrn.SHORT." hidden="1">{"CREDIT STATISTICS",#N/A,FALSE,"STATS";"CF_AND_IS",#N/A,FALSE,"PLAN";"BALSHEET",#N/A,FALSE,"BALANCE SHEET"}</definedName>
    <definedName name="wrn.soc98." hidden="1">{"page1",#N/A,FALSE,"A";"page2",#N/A,FALSE,"A"}</definedName>
    <definedName name="wrn.soc98._1" hidden="1">{"page1",#N/A,FALSE,"A";"page2",#N/A,FALSE,"A"}</definedName>
    <definedName name="wrn.soc98._2" hidden="1">{"page1",#N/A,FALSE,"A";"page2",#N/A,FALSE,"A"}</definedName>
    <definedName name="wrn.soc98._3" hidden="1">{"page1",#N/A,FALSE,"A";"page2",#N/A,FALSE,"A"}</definedName>
    <definedName name="wrn.soc98._4" hidden="1">{"page1",#N/A,FALSE,"A";"page2",#N/A,FALSE,"A"}</definedName>
    <definedName name="wrn.soc98._5" hidden="1">{"page1",#N/A,FALSE,"A";"page2",#N/A,FALSE,"A"}</definedName>
    <definedName name="wrn.SPA1." hidden="1">{#N/A,#N/A,FALSE,"RIEP"}</definedName>
    <definedName name="wrn.SPM1." hidden="1">{"SPM1",#N/A,FALSE,"RIEP"}</definedName>
    <definedName name="wrn.stand_alone." hidden="1">{#N/A,#N/A,FALSE,"CBE";#N/A,#N/A,FALSE,"SWK"}</definedName>
    <definedName name="wrn.Summary." hidden="1">{#N/A,#N/A,FALSE,"Summary3";#N/A,#N/A,FALSE,"Summary1";#N/A,#N/A,FALSE,"Summary2";#N/A,#N/A,FALSE,"Sensitivities1";#N/A,#N/A,FALSE,"Sensitivities2"}</definedName>
    <definedName name="wrn.SYNTHESE." hidden="1">{#N/A,#N/A,TRUE,"ANALYSE";#N/A,#N/A,TRUE,"PM VOLUME";#N/A,#N/A,TRUE,"PM VALEUR";#N/A,#N/A,TRUE,"AR1";#N/A,#N/A,TRUE,"AR2";#N/A,#N/A,TRUE,"RAF";#N/A,#N/A,TRUE,"BILAN";#N/A,#N/A,TRUE,"CASH FLOW";#N/A,#N/A,TRUE,"ETAT FI"}</definedName>
    <definedName name="wrn.SYNTHESE._1" hidden="1">{#N/A,#N/A,TRUE,"ANALYSE";#N/A,#N/A,TRUE,"PM VOLUME";#N/A,#N/A,TRUE,"PM VALEUR";#N/A,#N/A,TRUE,"AR1";#N/A,#N/A,TRUE,"AR2";#N/A,#N/A,TRUE,"RAF";#N/A,#N/A,TRUE,"BILAN";#N/A,#N/A,TRUE,"CASH FLOW";#N/A,#N/A,TRUE,"ETAT FI"}</definedName>
    <definedName name="wrn.SYNTHESE._2" hidden="1">{#N/A,#N/A,TRUE,"ANALYSE";#N/A,#N/A,TRUE,"PM VOLUME";#N/A,#N/A,TRUE,"PM VALEUR";#N/A,#N/A,TRUE,"AR1";#N/A,#N/A,TRUE,"AR2";#N/A,#N/A,TRUE,"RAF";#N/A,#N/A,TRUE,"BILAN";#N/A,#N/A,TRUE,"CASH FLOW";#N/A,#N/A,TRUE,"ETAT FI"}</definedName>
    <definedName name="wrn.SYNTHESE._3" hidden="1">{#N/A,#N/A,TRUE,"ANALYSE";#N/A,#N/A,TRUE,"PM VOLUME";#N/A,#N/A,TRUE,"PM VALEUR";#N/A,#N/A,TRUE,"AR1";#N/A,#N/A,TRUE,"AR2";#N/A,#N/A,TRUE,"RAF";#N/A,#N/A,TRUE,"BILAN";#N/A,#N/A,TRUE,"CASH FLOW";#N/A,#N/A,TRUE,"ETAT FI"}</definedName>
    <definedName name="wrn.SYNTHESE._4" hidden="1">{#N/A,#N/A,TRUE,"ANALYSE";#N/A,#N/A,TRUE,"PM VOLUME";#N/A,#N/A,TRUE,"PM VALEUR";#N/A,#N/A,TRUE,"AR1";#N/A,#N/A,TRUE,"AR2";#N/A,#N/A,TRUE,"RAF";#N/A,#N/A,TRUE,"BILAN";#N/A,#N/A,TRUE,"CASH FLOW";#N/A,#N/A,TRUE,"ETAT FI"}</definedName>
    <definedName name="wrn.SYNTHESE._5" hidden="1">{#N/A,#N/A,TRUE,"ANALYSE";#N/A,#N/A,TRUE,"PM VOLUME";#N/A,#N/A,TRUE,"PM VALEUR";#N/A,#N/A,TRUE,"AR1";#N/A,#N/A,TRUE,"AR2";#N/A,#N/A,TRUE,"RAF";#N/A,#N/A,TRUE,"BILAN";#N/A,#N/A,TRUE,"CASH FLOW";#N/A,#N/A,TRUE,"ETAT FI"}</definedName>
    <definedName name="wrn.T.B.I.." hidden="1">{#N/A,#N/A,TRUE,"Índice";#N/A,#N/A,TRUE,"Indicadores Ind.";#N/A,#N/A,TRUE,"Rend. y Sat.";#N/A,#N/A,TRUE,"Síntesis de Informe";#N/A,#N/A,TRUE,"T.B.I. Planta Bs. As.";#N/A,#N/A,TRUE,"Análisis de Desvíos";#N/A,#N/A,TRUE,"132 Por Cuenta";#N/A,#N/A,TRUE,"132 Por C.C.";#N/A,#N/A,TRUE,"142 Por Cuenta";#N/A,#N/A,TRUE,"142 Por Cta Ranking";#N/A,#N/A,TRUE,"142 Por C.C. ";#N/A,#N/A,TRUE,"T.B.I. Chocolate";#N/A,#N/A,TRUE,"Control de Dotación";#N/A,#N/A,TRUE,"Comparativa Horas";#N/A,#N/A,TRUE,"Control Hs.Extras";#N/A,#N/A,TRUE,"Productividad por línea";#N/A,#N/A,TRUE,"Sobrepeso";#N/A,#N/A,TRUE,"Scrap";#N/A,#N/A,TRUE,"Evol. Mermas";#N/A,#N/A,TRUE,"Evol. Mermas (Res. Gráfico)";#N/A,#N/A,TRUE,"Estadística (Productos)";#N/A,#N/A,TRUE,"Estadística (Familias)";#N/A,#N/A,TRUE,"Chocolate";#N/A,#N/A,TRUE,"Dulce de Leche"}</definedName>
    <definedName name="wrn.TABLEAUX." hidden="1">{#N/A,#N/A,TRUE,"SYNTHESE-t";#N/A,#N/A,TRUE,"PUB-t";#N/A,#N/A,TRUE,"OP CONSO-t";#N/A,#N/A,TRUE,"REFERENCTS-t";#N/A,#N/A,TRUE,"ETUDES MKG-t";#N/A,#N/A,TRUE,"PACKAGING-t";#N/A,#N/A,TRUE,"DIR COM-t";#N/A,#N/A,TRUE,"MEDIA-t"}</definedName>
    <definedName name="wrn.te_spar._.monatlich." hidden="1">{#N/A,#N/A,FALSE,"Deckblatt";"te/spar",#N/A,FALSE,"2001 (2+3)";#N/A,#N/A,FALSE,"Mixgraph (6)";#N/A,#N/A,FALSE,"Volumenmix (6)";#N/A,#N/A,FALSE,"Tengelmann";#N/A,#N/A,FALSE,"Spar"}</definedName>
    <definedName name="wrn.te_spar._.monatlich._1" hidden="1">{#N/A,#N/A,FALSE,"Deckblatt";"te/spar",#N/A,FALSE,"2001 (2+3)";#N/A,#N/A,FALSE,"Mixgraph (6)";#N/A,#N/A,FALSE,"Volumenmix (6)";#N/A,#N/A,FALSE,"Tengelmann";#N/A,#N/A,FALSE,"Spar"}</definedName>
    <definedName name="wrn.te_spar._.monatlich._2" hidden="1">{#N/A,#N/A,FALSE,"Deckblatt";"te/spar",#N/A,FALSE,"2001 (2+3)";#N/A,#N/A,FALSE,"Mixgraph (6)";#N/A,#N/A,FALSE,"Volumenmix (6)";#N/A,#N/A,FALSE,"Tengelmann";#N/A,#N/A,FALSE,"Spar"}</definedName>
    <definedName name="wrn.te_spar._.monatlich._3" hidden="1">{#N/A,#N/A,FALSE,"Deckblatt";"te/spar",#N/A,FALSE,"2001 (2+3)";#N/A,#N/A,FALSE,"Mixgraph (6)";#N/A,#N/A,FALSE,"Volumenmix (6)";#N/A,#N/A,FALSE,"Tengelmann";#N/A,#N/A,FALSE,"Spar"}</definedName>
    <definedName name="wrn.te_spar._.monatlich._4" hidden="1">{#N/A,#N/A,FALSE,"Deckblatt";"te/spar",#N/A,FALSE,"2001 (2+3)";#N/A,#N/A,FALSE,"Mixgraph (6)";#N/A,#N/A,FALSE,"Volumenmix (6)";#N/A,#N/A,FALSE,"Tengelmann";#N/A,#N/A,FALSE,"Spar"}</definedName>
    <definedName name="wrn.te_spar._.monatlich._5" hidden="1">{#N/A,#N/A,FALSE,"Deckblatt";"te/spar",#N/A,FALSE,"2001 (2+3)";#N/A,#N/A,FALSE,"Mixgraph (6)";#N/A,#N/A,FALSE,"Volumenmix (6)";#N/A,#N/A,FALSE,"Tengelmann";#N/A,#N/A,FALSE,"Spar"}</definedName>
    <definedName name="wrn.template." hidden="1">{"opis_procesu",#N/A,FALSE,"(1) opis procesu";"wydatki_stand",#N/A,FALSE,"(2) wydatki standardowe";"wydatki_spec",#N/A,FALSE,"(3) wydatki specjalne";"wydatki_wal",#N/A,FALSE,"(4) wydatki walutowe";"zasoby_ludzkie",#N/A,FALSE,"(5) zasoby ludzkie";"inwestycje_PLZ",#N/A,FALSE,"(6) nak3ady inwestycyjne";"inwestycje_wal",#N/A,FALSE,"(6) nak3ady inwestycyjne";"wyposa?enie",#N/A,FALSE,"(7) wyposa?enie pracowników"}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comp." hidden="1">{"comp1",#N/A,FALSE,"COMPS";"footnotes",#N/A,FALSE,"COMPS"}</definedName>
    <definedName name="wrn.totalcomp.1" hidden="1">{"comp1",#N/A,FALSE,"COMPS";"footnotes",#N/A,FALSE,"COMPS"}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ns._.sum." hidden="1">{"trans assumptions",#N/A,FALSE,"Merger";"trans accretion",#N/A,FALSE,"Merger"}</definedName>
    <definedName name="wrn.Treves._.Lot._.1._.Plan." hidden="1">{#N/A,#N/A,FALSE,"Planning";#N/A,#N/A,FALSE,"Réalisé";#N/A,#N/A,FALSE,"Suivi"}</definedName>
    <definedName name="wrn.up." hidden="1">{"up stand alones",#N/A,FALSE,"Acquiror"}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d." hidden="1">{#N/A,#N/A,TRUE,"BT M200 da 10x20"}</definedName>
    <definedName name="wrn.VTASND97." hidden="1">{"VTASND",#N/A,FALSE,"z1n97"}</definedName>
    <definedName name="wrn.VTASND97._1" hidden="1">{"VTASND",#N/A,FALSE,"z1n97"}</definedName>
    <definedName name="wrn.VTASND97._2" hidden="1">{"VTASND",#N/A,FALSE,"z1n97"}</definedName>
    <definedName name="wrn.VTASND97._3" hidden="1">{"VTASND",#N/A,FALSE,"z1n97"}</definedName>
    <definedName name="wrn.VTASND97._4" hidden="1">{"VTASND",#N/A,FALSE,"z1n97"}</definedName>
    <definedName name="wrn.VTASND97._5" hidden="1">{"VTASND",#N/A,FALSE,"z1n97"}</definedName>
    <definedName name="wrn.Wacc." hidden="1">{"Area1",#N/A,FALSE,"OREWACC";"Area2",#N/A,FALSE,"OREWACC"}</definedName>
    <definedName name="wrn.Xa." hidden="1">{"capcity",#N/A,FALSE,"Xiamen (chn)";"volume",#N/A,FALSE,"Xiamen (chn)"}</definedName>
    <definedName name="wrn.XN." hidden="1">{"capacity",#N/A,FALSE,"Xian";"Volume",#N/A,FALSE,"Xian"}</definedName>
    <definedName name="wrn.xyz." hidden="1">{"MAY08",#N/A,FALSE,"May";"may15",#N/A,FALSE,"May";"may21",#N/A,FALSE,"May";"may29",#N/A,FALSE,"May"}</definedName>
    <definedName name="wrn.zrtzio" hidden="1">{"Plan","Plan",FALSE,"Datenbank"}</definedName>
    <definedName name="wrn.ZZ." hidden="1">{"Volume",#N/A,FALSE,"Zhengzhou";"capacity",#N/A,FALSE,"Zhengzhou"}</definedName>
    <definedName name="wrn.ку." hidden="1">{#N/A,#N/A,TRUE,"Лист2"}</definedName>
    <definedName name="wrn.Курсовой._.проект." hidden="1">{#N/A,#N/A,TRUE,"План продаж";#N/A,#N/A,TRUE,"Склад гот.прод";#N/A,#N/A,TRUE,"План отгрузки"}</definedName>
    <definedName name="wrn.лпл." hidden="1">{#N/A,#N/A,FALSE,"Лист6"}</definedName>
    <definedName name="wrn1.1.1" hidden="1">{#N/A,#N/A,FALSE,"Calc";#N/A,#N/A,FALSE,"Sensitivity";#N/A,#N/A,FALSE,"LT Earn.Dil.";#N/A,#N/A,FALSE,"Dil. AVP"}</definedName>
    <definedName name="wrn1.aug" hidden="1">{"det (May)",#N/A,FALSE,"June";"sum (MAY YTD)",#N/A,FALSE,"June YTD"}</definedName>
    <definedName name="wrn1.augtyd" hidden="1">{"det (May)",#N/A,FALSE,"June";"sum (MAY YTD)",#N/A,FALSE,"June YTD"}</definedName>
    <definedName name="wrn1.augyt" hidden="1">{"det (May)",#N/A,FALSE,"June";"sum (MAY YTD)",#N/A,FALSE,"June YTD"}</definedName>
    <definedName name="wrn1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CCC." hidden="1">{"QQQ",#N/A,FALSE,"RIEP"}</definedName>
    <definedName name="wrn1.hz" hidden="1">{"capacity",#N/A,FALSE,"Hangzhou";"volume",#N/A,FALSE,"Hangzhou"}</definedName>
    <definedName name="wrn1.june" hidden="1">{"det (May)",#N/A,FALSE,"June";"sum (MAY YTD)",#N/A,FALSE,"June YTD"}</definedName>
    <definedName name="wrn2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Document" hidden="1">{"consolidated",#N/A,FALSE,"Sheet1";"cms",#N/A,FALSE,"Sheet1";"fse",#N/A,FALSE,"Sheet1"}</definedName>
    <definedName name="wrn2.june" hidden="1">{"det (May)",#N/A,FALSE,"June";"sum (MAY YTD)",#N/A,FALSE,"June YTD"}</definedName>
    <definedName name="wrt" hidden="1">{#N/A,#N/A,FALSE,"CNM BUDGET EVIAN";#N/A,#N/A,FALSE,"CNM BUDGET BA"}</definedName>
    <definedName name="wsz" hidden="1">{#N/A,#N/A,FALSE,"PVS"}</definedName>
    <definedName name="wt" hidden="1">{"comps2_1",#N/A,FALSE,"Comps2";"comps2_2",#N/A,FALSE,"Comps2";"comps2_3",#N/A,FALSE,"Comps2";"comps2_4",#N/A,FALSE,"Comps2";"comps2_5",#N/A,FALSE,"Comps2"}</definedName>
    <definedName name="wty" hidden="1">{#N/A,#N/A,FALSE,"CNM BUDGET EVIAN";#N/A,#N/A,FALSE,"CNM BUDGET BA"}</definedName>
    <definedName name="wug" hidden="1">{"original",#N/A,TRUE,"flashcaneurope";"expeur",#N/A,TRUE,"EXPEUR";"ventesloceur",#N/A,TRUE,"VENTESLOCEUR";"candib",#N/A,TRUE,"flashcandib";"expedib",#N/A,TRUE,"EXPEDIB";"venteslocdib",#N/A,TRUE,"venteslocdib"}</definedName>
    <definedName name="wui" hidden="1">{#N/A,#N/A,FALSE,"PVS"}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w" hidden="1">{#N/A,#N/A,TRUE,"План продаж";#N/A,#N/A,TRUE,"Склад гот.прод";#N/A,#N/A,TRUE,"План отгрузки"}</definedName>
    <definedName name="wwe4r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WWW" hidden="1">{#N/A,#N/A,FALSE,"CNM BUDGET EVIAN";#N/A,#N/A,FALSE,"CNM BUDGET BA"}</definedName>
    <definedName name="wwwwwwwwwwww" hidden="1">{"QQQ",#N/A,FALSE,"RIEP"}</definedName>
    <definedName name="WX" hidden="1">#REF!</definedName>
    <definedName name="wxv" hidden="1">{#N/A,#N/A,FALSE,"CNM BUDGET EVIAN";#N/A,#N/A,FALSE,"CNM BUDGET BA"}</definedName>
    <definedName name="wyg" hidden="1">{"original",#N/A,TRUE,"flashcaneurope";"expeur",#N/A,TRUE,"EXPEUR";"ventesloceur",#N/A,TRUE,"VENTESLOCEUR";"candib",#N/A,TRUE,"flashcandib";"expedib",#N/A,TRUE,"EXPEDIB";"venteslocdib",#N/A,TRUE,"venteslocdib"}</definedName>
    <definedName name="x" hidden="1">#REF!</definedName>
    <definedName name="x_" hidden="1">#REF!</definedName>
    <definedName name="xccvbcbvcb" hidden="1">{"comps2",#N/A,FALSE,"AERO";"footnotes",#N/A,FALSE,"AERO"}</definedName>
    <definedName name="xchg" hidden="1">{#N/A,#N/A,TRUE,"ANALYSE";#N/A,#N/A,TRUE,"PM VOLUME";#N/A,#N/A,TRUE,"PM VALEUR";#N/A,#N/A,TRUE,"AR1";#N/A,#N/A,TRUE,"AR2";#N/A,#N/A,TRUE,"RAF";#N/A,#N/A,TRUE,"BILAN";#N/A,#N/A,TRUE,"CASH FLOW";#N/A,#N/A,TRUE,"ETAT FI"}</definedName>
    <definedName name="xchg_1" hidden="1">{#N/A,#N/A,TRUE,"ANALYSE";#N/A,#N/A,TRUE,"PM VOLUME";#N/A,#N/A,TRUE,"PM VALEUR";#N/A,#N/A,TRUE,"AR1";#N/A,#N/A,TRUE,"AR2";#N/A,#N/A,TRUE,"RAF";#N/A,#N/A,TRUE,"BILAN";#N/A,#N/A,TRUE,"CASH FLOW";#N/A,#N/A,TRUE,"ETAT FI"}</definedName>
    <definedName name="xchg_2" hidden="1">{#N/A,#N/A,TRUE,"ANALYSE";#N/A,#N/A,TRUE,"PM VOLUME";#N/A,#N/A,TRUE,"PM VALEUR";#N/A,#N/A,TRUE,"AR1";#N/A,#N/A,TRUE,"AR2";#N/A,#N/A,TRUE,"RAF";#N/A,#N/A,TRUE,"BILAN";#N/A,#N/A,TRUE,"CASH FLOW";#N/A,#N/A,TRUE,"ETAT FI"}</definedName>
    <definedName name="xchg_3" hidden="1">{#N/A,#N/A,TRUE,"ANALYSE";#N/A,#N/A,TRUE,"PM VOLUME";#N/A,#N/A,TRUE,"PM VALEUR";#N/A,#N/A,TRUE,"AR1";#N/A,#N/A,TRUE,"AR2";#N/A,#N/A,TRUE,"RAF";#N/A,#N/A,TRUE,"BILAN";#N/A,#N/A,TRUE,"CASH FLOW";#N/A,#N/A,TRUE,"ETAT FI"}</definedName>
    <definedName name="xchg_4" hidden="1">{#N/A,#N/A,TRUE,"ANALYSE";#N/A,#N/A,TRUE,"PM VOLUME";#N/A,#N/A,TRUE,"PM VALEUR";#N/A,#N/A,TRUE,"AR1";#N/A,#N/A,TRUE,"AR2";#N/A,#N/A,TRUE,"RAF";#N/A,#N/A,TRUE,"BILAN";#N/A,#N/A,TRUE,"CASH FLOW";#N/A,#N/A,TRUE,"ETAT FI"}</definedName>
    <definedName name="xchg_5" hidden="1">{#N/A,#N/A,TRUE,"ANALYSE";#N/A,#N/A,TRUE,"PM VOLUME";#N/A,#N/A,TRUE,"PM VALEUR";#N/A,#N/A,TRUE,"AR1";#N/A,#N/A,TRUE,"AR2";#N/A,#N/A,TRUE,"RAF";#N/A,#N/A,TRUE,"BILAN";#N/A,#N/A,TRUE,"CASH FLOW";#N/A,#N/A,TRUE,"ETAT FI"}</definedName>
    <definedName name="xfmk" hidden="1">38909.7695138889</definedName>
    <definedName name="xse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xse_1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xse_2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xse_3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xse_4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xse_5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XVCWXV" hidden="1">#REF!</definedName>
    <definedName name="xwvvw" hidden="1">{#N/A,#N/A,FALSE,"CNM BUDGET EVIAN";#N/A,#N/A,FALSE,"CNM BUDGET BA"}</definedName>
    <definedName name="XX" hidden="1">{#N/A,#N/A,FALSE,"EC COMM-c";#N/A,#N/A,FALSE,"EC PAR PDTS-c";#N/A,#N/A,FALSE,"EC MAT-c";#N/A,#N/A,FALSE,"SUIVI HAUSSES-c"}</definedName>
    <definedName name="XX_1" hidden="1">{#N/A,#N/A,FALSE,"EC COMM-c";#N/A,#N/A,FALSE,"EC PAR PDTS-c";#N/A,#N/A,FALSE,"EC MAT-c";#N/A,#N/A,FALSE,"SUIVI HAUSSES-c"}</definedName>
    <definedName name="XX_2" hidden="1">{#N/A,#N/A,FALSE,"EC COMM-c";#N/A,#N/A,FALSE,"EC PAR PDTS-c";#N/A,#N/A,FALSE,"EC MAT-c";#N/A,#N/A,FALSE,"SUIVI HAUSSES-c"}</definedName>
    <definedName name="XX_3" hidden="1">{#N/A,#N/A,FALSE,"EC COMM-c";#N/A,#N/A,FALSE,"EC PAR PDTS-c";#N/A,#N/A,FALSE,"EC MAT-c";#N/A,#N/A,FALSE,"SUIVI HAUSSES-c"}</definedName>
    <definedName name="XX_4" hidden="1">{#N/A,#N/A,FALSE,"EC COMM-c";#N/A,#N/A,FALSE,"EC PAR PDTS-c";#N/A,#N/A,FALSE,"EC MAT-c";#N/A,#N/A,FALSE,"SUIVI HAUSSES-c"}</definedName>
    <definedName name="XX_5" hidden="1">{#N/A,#N/A,FALSE,"EC COMM-c";#N/A,#N/A,FALSE,"EC PAR PDTS-c";#N/A,#N/A,FALSE,"EC MAT-c";#N/A,#N/A,FALSE,"SUIVI HAUSSES-c"}</definedName>
    <definedName name="xxx" hidden="1">39007.6791435185</definedName>
    <definedName name="XXXX" hidden="1">{#N/A,#N/A,TRUE,"Índice";#N/A,#N/A,TRUE,"Indicadores Ind.";#N/A,#N/A,TRUE,"Rend. y Sat.";#N/A,#N/A,TRUE,"Síntesis de Informe";#N/A,#N/A,TRUE,"T.B.I. Planta Bs. As.";#N/A,#N/A,TRUE,"Análisis de Desvíos";#N/A,#N/A,TRUE,"132 Por Cuenta";#N/A,#N/A,TRUE,"132 Por C.C.";#N/A,#N/A,TRUE,"142 Por Cuenta";#N/A,#N/A,TRUE,"142 Por Cta Ranking";#N/A,#N/A,TRUE,"142 Por C.C. ";#N/A,#N/A,TRUE,"T.B.I. Chocolate";#N/A,#N/A,TRUE,"Control de Dotación";#N/A,#N/A,TRUE,"Comparativa Horas";#N/A,#N/A,TRUE,"Control Hs.Extras";#N/A,#N/A,TRUE,"Productividad por línea";#N/A,#N/A,TRUE,"Sobrepeso";#N/A,#N/A,TRUE,"Scrap";#N/A,#N/A,TRUE,"Evol. Mermas";#N/A,#N/A,TRUE,"Evol. Mermas (Res. Gráfico)";#N/A,#N/A,TRUE,"Estadística (Productos)";#N/A,#N/A,TRUE,"Estadística (Familias)";#N/A,#N/A,TRUE,"Chocolate";#N/A,#N/A,TRUE,"Dulce de Leche"}</definedName>
    <definedName name="xxxxx" hidden="1">#REF!</definedName>
    <definedName name="xxxxxxxx" hidden="1">#N/A</definedName>
    <definedName name="xxxxxxxxxxxxxx" hidden="1">Main.SAPF4Help()</definedName>
    <definedName name="XXXXXXXXXXXXXXXX" hidden="1">{"ocultar","kilometros",FALSE,"Hoja4"}</definedName>
    <definedName name="XXXXXXXXXXXXXXXX_1" hidden="1">{"ocultar","kilometros",FALSE,"Hoja4"}</definedName>
    <definedName name="XXXXXXXXXXXXXXXX_2" hidden="1">{"ocultar","kilometros",FALSE,"Hoja4"}</definedName>
    <definedName name="XXXXXXXXXXXXXXXX_3" hidden="1">{"ocultar","kilometros",FALSE,"Hoja4"}</definedName>
    <definedName name="XXXXXXXXXXXXXXXX_4" hidden="1">{"ocultar","kilometros",FALSE,"Hoja4"}</definedName>
    <definedName name="XXXXXXXXXXXXXXXX_5" hidden="1">{"ocultar","kilometros",FALSE,"Hoja4"}</definedName>
    <definedName name="xxxxxxxxxxxxxxxxxx" hidden="1">#N/A</definedName>
    <definedName name="XXXXXXXXXXXXXXXXXXXXXX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XXXXXXXXXXXXXXXXXXXXXX_1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XXXXXXXXXXXXXXXXXXXXXX_2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XXXXXXXXXXXXXXXXXXXXXX_3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XXXXXXXXXXXXXXXXXXXXXX_4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XXXXXXXXXXXXXXXXXXXXXX_5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y" hidden="1">#REF!</definedName>
    <definedName name="ybukkbyitkituk" hidden="1">{#N/A,#N/A,FALSE,"RIEP"}</definedName>
    <definedName name="yh" hidden="1">{#N/A,#N/A,FALSE,"RES-MARQ-c";#N/A,#N/A,FALSE,"CLTS-GP-c";#N/A,#N/A,FALSE,"NOUV PDTS-c";#N/A,#N/A,FALSE,"CESSIONS GROUPE-c"}</definedName>
    <definedName name="yh_1" hidden="1">{#N/A,#N/A,FALSE,"RES-MARQ-c";#N/A,#N/A,FALSE,"CLTS-GP-c";#N/A,#N/A,FALSE,"NOUV PDTS-c";#N/A,#N/A,FALSE,"CESSIONS GROUPE-c"}</definedName>
    <definedName name="yh_2" hidden="1">{#N/A,#N/A,FALSE,"RES-MARQ-c";#N/A,#N/A,FALSE,"CLTS-GP-c";#N/A,#N/A,FALSE,"NOUV PDTS-c";#N/A,#N/A,FALSE,"CESSIONS GROUPE-c"}</definedName>
    <definedName name="yh_3" hidden="1">{#N/A,#N/A,FALSE,"RES-MARQ-c";#N/A,#N/A,FALSE,"CLTS-GP-c";#N/A,#N/A,FALSE,"NOUV PDTS-c";#N/A,#N/A,FALSE,"CESSIONS GROUPE-c"}</definedName>
    <definedName name="yh_4" hidden="1">{#N/A,#N/A,FALSE,"RES-MARQ-c";#N/A,#N/A,FALSE,"CLTS-GP-c";#N/A,#N/A,FALSE,"NOUV PDTS-c";#N/A,#N/A,FALSE,"CESSIONS GROUPE-c"}</definedName>
    <definedName name="yh_5" hidden="1">{#N/A,#N/A,FALSE,"RES-MARQ-c";#N/A,#N/A,FALSE,"CLTS-GP-c";#N/A,#N/A,FALSE,"NOUV PDTS-c";#N/A,#N/A,FALSE,"CESSIONS GROUPE-c"}</definedName>
    <definedName name="yjdjt" hidden="1">#REF!</definedName>
    <definedName name="yjuik8" hidden="1">{#N/A,#N/A,TRUE,"SYNTHESE-t";#N/A,#N/A,TRUE,"PUB-t";#N/A,#N/A,TRUE,"OP CONSO-t";#N/A,#N/A,TRUE,"REFERENCTS-t";#N/A,#N/A,TRUE,"ETUDES MKG-t";#N/A,#N/A,TRUE,"PACKAGING-t";#N/A,#N/A,TRUE,"DIR COM-t";#N/A,#N/A,TRUE,"MEDIA-t"}</definedName>
    <definedName name="yjyt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yrnukuilky8u" hidden="1">{"QQQ",#N/A,FALSE,"RIEP"}</definedName>
    <definedName name="yrtrrr" hidden="1">{#N/A,#N/A,FALSE,"ANALYSE";#N/A,#N/A,FALSE,"PM VALEUR"}</definedName>
    <definedName name="yry" hidden="1">{"consolidated",#N/A,FALSE,"Sheet1";"cms",#N/A,FALSE,"Sheet1";"fse",#N/A,FALSE,"Sheet1"}</definedName>
    <definedName name="yt" hidden="1">{"'Sheet1'!$A$1:$G$96","'Sheet1'!$A$1:$H$96"}</definedName>
    <definedName name="ytjhty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yu" hidden="1">{#N/A,#N/A,FALSE,"ANALYSE";#N/A,#N/A,FALSE,"PM VALEUR"}</definedName>
    <definedName name="yui" hidden="1">{"'Sheet1'!$A$1:$G$96","'Sheet1'!$A$1:$H$96"}</definedName>
    <definedName name="yujkikk" hidden="1">{#N/A,#N/A,TRUE,"RES-MARQ-t";#N/A,#N/A,TRUE,"CLTS-GP-t";#N/A,#N/A,TRUE,"NOUV PDTS-t";#N/A,#N/A,TRUE,"CESSIONS GROUPE-t"}</definedName>
    <definedName name="YUU" hidden="1">{"assumption 50 50",#N/A,TRUE,"Merger";"has gets cash",#N/A,TRUE,"Merger";"accretion dilution",#N/A,TRUE,"Merger";"comparison credit stats",#N/A,TRUE,"Merger";"pf credit stats",#N/A,TRUE,"Merger";"pf sheets",#N/A,TRUE,"Merger"}</definedName>
    <definedName name="yyetr4t4" hidden="1">{#N/A,#N/A,FALSE,"RES-MARQ-c";#N/A,#N/A,FALSE,"CLTS-GP-c";#N/A,#N/A,FALSE,"NOUV PDTS-c";#N/A,#N/A,FALSE,"CESSIONS GROUPE-c"}</definedName>
    <definedName name="yyy" hidden="1">{#N/A,#N/A,FALSE,"Calc";#N/A,#N/A,FALSE,"Sensitivity";#N/A,#N/A,FALSE,"LT Earn.Dil.";#N/A,#N/A,FALSE,"Dil. AVP"}</definedName>
    <definedName name="yyyy" hidden="1">#REF!</definedName>
    <definedName name="yyyyy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yyyyyyyyyyyyyy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Z_069A6C8A_DE05_11D3_B997_400000110280_.wvu.Cols" hidden="1">#REF!</definedName>
    <definedName name="Z_069A6C8A_DE05_11D3_B997_400000110280_.wvu.Rows" hidden="1">#REF!</definedName>
    <definedName name="Z_069A6C8B_DE05_11D3_B997_400000110280_.wvu.Cols" hidden="1">#REF!</definedName>
    <definedName name="Z_069A6C8B_DE05_11D3_B997_400000110280_.wvu.Rows" hidden="1">#REF!</definedName>
    <definedName name="Z_0B88963D_49F5_472F_9672_709743051804_.wvu.Rows" hidden="1">#REF!,#REF!,#REF!,#REF!,#REF!,#REF!,#REF!,#REF!,#REF!,#REF!,#REF!,#REF!</definedName>
    <definedName name="Z_0DD4EB58_0647_11D5_A6F7_00508B654A95_.wvu.Cols" hidden="1">#REF!,#REF!,#REF!,#REF!,#REF!</definedName>
    <definedName name="Z_10435A81_C305_11D5_A6F8_009027BEE0E0_.wvu.Cols" hidden="1">#REF!,#REF!,#REF!</definedName>
    <definedName name="Z_10435A81_C305_11D5_A6F8_009027BEE0E0_.wvu.FilterData" hidden="1">#REF!</definedName>
    <definedName name="Z_10435A81_C305_11D5_A6F8_009027BEE0E0_.wvu.PrintArea" hidden="1">#REF!</definedName>
    <definedName name="Z_10435A81_C305_11D5_A6F8_009027BEE0E0_.wvu.PrintTitles" hidden="1">#REF!</definedName>
    <definedName name="Z_10435A81_C305_11D5_A6F8_009027BEE0E0_.wvu.Rows" hidden="1">#REF!,#REF!</definedName>
    <definedName name="Z_1337E53C_970D_4073_B72A_371A64539D54_.wvu.Cols" hidden="1">#REF!</definedName>
    <definedName name="Z_1337E53C_970D_4073_B72A_371A64539D54_.wvu.PrintArea" hidden="1">#REF!</definedName>
    <definedName name="Z_1337E53C_970D_4073_B72A_371A64539D54_.wvu.Rows" hidden="1">#REF!</definedName>
    <definedName name="Z_1377B545_1044_11D4_89DB_400000110415_.wvu.Cols" hidden="1">#REF!,#REF!,#REF!,#REF!,#REF!,#REF!,#REF!,#REF!,#REF!</definedName>
    <definedName name="Z_1377B545_1044_11D4_89DB_400000110415_.wvu.Rows" hidden="1">#REF!,#REF!</definedName>
    <definedName name="Z_201416F6_15CD_11D4_89E1_400000110415_.wvu.Cols" hidden="1">#REF!</definedName>
    <definedName name="Z_201416F6_15CD_11D4_89E1_400000110415_.wvu.Rows" hidden="1">#REF!</definedName>
    <definedName name="Z_2804E4BB_ED21_11D4_A6F8_00508B654B8B_.wvu.Cols" hidden="1">#REF!,#REF!,#REF!</definedName>
    <definedName name="Z_2804E4BB_ED21_11D4_A6F8_00508B654B8B_.wvu.FilterData" hidden="1">#REF!</definedName>
    <definedName name="Z_2804E4BB_ED21_11D4_A6F8_00508B654B8B_.wvu.PrintArea" hidden="1">#REF!</definedName>
    <definedName name="Z_2804E4BB_ED21_11D4_A6F8_00508B654B8B_.wvu.Rows" hidden="1">#REF!,#REF!</definedName>
    <definedName name="Z_2850C2E1_1043_11D4_933C_000021F00B7E_.wvu.Rows" hidden="1">#REF!</definedName>
    <definedName name="Z_2891AF67_639B_11D2_AA4E_AB73DC59AB4D_.wvu.PrintArea" hidden="1">#REF!</definedName>
    <definedName name="Z_2891AF68_639B_11D2_AA4E_AB73DC59AB4D_.wvu.PrintArea" hidden="1">#REF!</definedName>
    <definedName name="Z_293CB971_070B_11D5_9C6D_0050BAD7B109_.wvu.PrintArea" hidden="1">#REF!</definedName>
    <definedName name="Z_30FEE15E_D26F_11D4_A6F7_00508B6A7686_.wvu.FilterData" hidden="1">#REF!</definedName>
    <definedName name="Z_30FEE15E_D26F_11D4_A6F7_00508B6A7686_.wvu.PrintArea" hidden="1">#REF!</definedName>
    <definedName name="Z_30FEE15E_D26F_11D4_A6F7_00508B6A7686_.wvu.PrintTitles" hidden="1">#REF!</definedName>
    <definedName name="Z_30FEE15E_D26F_11D4_A6F7_00508B6A7686_.wvu.Rows" hidden="1">#REF!</definedName>
    <definedName name="Z_31508FFB_393E_42FF_B87D_B26182CB487B_.wvu.Rows" hidden="1">#REF!</definedName>
    <definedName name="Z_40EDEE86_094A_4592_ADBB_31AD2BA695E5_.wvu.Cols" hidden="1">#REF!,#REF!,#REF!</definedName>
    <definedName name="Z_40EDEE86_094A_4592_ADBB_31AD2BA695E5_.wvu.PrintArea" hidden="1">#REF!</definedName>
    <definedName name="Z_40EDEE86_094A_4592_ADBB_31AD2BA695E5_.wvu.Rows" hidden="1">#REF!,#REF!,#REF!,#REF!,#REF!,#REF!,#REF!,#REF!,#REF!,#REF!,#REF!,#REF!</definedName>
    <definedName name="Z_588336D1_481E_11D4_B26F_0080AD000FCE_.wvu.Rows" hidden="1">#REF!</definedName>
    <definedName name="Z_5A868EA0_ED63_11D4_A6F8_009027BEE0E0_.wvu.Cols" hidden="1">#REF!,#REF!,#REF!</definedName>
    <definedName name="Z_5A868EA0_ED63_11D4_A6F8_009027BEE0E0_.wvu.FilterData" hidden="1">#REF!</definedName>
    <definedName name="Z_5A868EA0_ED63_11D4_A6F8_009027BEE0E0_.wvu.PrintArea" hidden="1">#REF!</definedName>
    <definedName name="Z_5A868EA0_ED63_11D4_A6F8_009027BEE0E0_.wvu.Rows" hidden="1">#REF!,#REF!</definedName>
    <definedName name="Z_5EB1C7C6_35F6_11D4_89F7_400000110415_.wvu.Cols" hidden="1">#REF!,#REF!,#REF!,#REF!,#REF!,#REF!</definedName>
    <definedName name="Z_5EB1C7C6_35F6_11D4_89F7_400000110415_.wvu.Rows" hidden="1">#REF!,#REF!</definedName>
    <definedName name="Z_6524309C_8017_11D5_9BB2_000629925FC9_.wvu.Cols" hidden="1">#REF!,#REF!</definedName>
    <definedName name="Z_65F15E59_D55C_11D3_B991_400000110280_.wvu.Cols" hidden="1">#REF!</definedName>
    <definedName name="Z_65F15E59_D55C_11D3_B991_400000110280_.wvu.Rows" hidden="1">#REF!</definedName>
    <definedName name="Z_65F15E5A_D55C_11D3_B991_400000110280_.wvu.Cols" hidden="1">#REF!</definedName>
    <definedName name="Z_65F15E5A_D55C_11D3_B991_400000110280_.wvu.Rows" hidden="1">#REF!</definedName>
    <definedName name="Z_65F15E5B_D55C_11D3_B991_400000110280_.wvu.Cols" hidden="1">#REF!</definedName>
    <definedName name="Z_65F15E5B_D55C_11D3_B991_400000110280_.wvu.Rows" hidden="1">#REF!</definedName>
    <definedName name="Z_6A03F929_76F7_11D1_A58D_00805F1A2049_.wvu.Cols" hidden="1">#REF!,#REF!</definedName>
    <definedName name="Z_6A03F929_76F7_11D1_A58D_00805F1A2049_.wvu.PrintTitles" hidden="1">#REF!</definedName>
    <definedName name="Z_6B3309F2_4081_11D5_A77A_0010C602F2D8_.wvu.PrintArea" hidden="1">#REF!</definedName>
    <definedName name="Z_6E40955B_C2F5_11D5_A6F7_009027BEE7F1_.wvu.Cols" hidden="1">#REF!,#REF!,#REF!</definedName>
    <definedName name="Z_6E40955B_C2F5_11D5_A6F7_009027BEE7F1_.wvu.FilterData" hidden="1">#REF!</definedName>
    <definedName name="Z_6E40955B_C2F5_11D5_A6F7_009027BEE7F1_.wvu.PrintArea" hidden="1">#REF!</definedName>
    <definedName name="Z_6E40955B_C2F5_11D5_A6F7_009027BEE7F1_.wvu.PrintTitles" hidden="1">#REF!</definedName>
    <definedName name="Z_6E40955B_C2F5_11D5_A6F7_009027BEE7F1_.wvu.Rows" hidden="1">#REF!,#REF!</definedName>
    <definedName name="Z_7A1324F3_6DA0_11D4_9AEB_000629925FC9_.wvu.Cols" hidden="1">#REF!</definedName>
    <definedName name="Z_900ED7B5_D4B9_11D3_B990_400000110280_.wvu.Cols" hidden="1">#REF!</definedName>
    <definedName name="Z_901DD601_3312_11D5_8F89_00010215A1CA_.wvu.Rows" hidden="1">#REF!,#REF!</definedName>
    <definedName name="Z_987076AB_11DE_11D4_89DD_400000110415_.wvu.Cols" hidden="1">#REF!,#REF!,#REF!,#REF!,#REF!,#REF!</definedName>
    <definedName name="Z_987076AB_11DE_11D4_89DD_400000110415_.wvu.Rows" hidden="1">#REF!,#REF!</definedName>
    <definedName name="Z_987076AF_11DE_11D4_89DD_400000110415_.wvu.Cols" hidden="1">#REF!,#REF!,#REF!,#REF!,#REF!,#REF!</definedName>
    <definedName name="Z_987076AF_11DE_11D4_89DD_400000110415_.wvu.Rows" hidden="1">#REF!,#REF!</definedName>
    <definedName name="Z_987076B0_11DE_11D4_89DD_400000110415_.wvu.Cols" hidden="1">#REF!</definedName>
    <definedName name="Z_987076B0_11DE_11D4_89DD_400000110415_.wvu.Rows" hidden="1">#REF!</definedName>
    <definedName name="Z_987076B1_11DE_11D4_89DD_400000110415_.wvu.Cols" hidden="1">#REF!,#REF!,#REF!,#REF!,#REF!,#REF!,#REF!,#REF!,#REF!</definedName>
    <definedName name="Z_987076B1_11DE_11D4_89DD_400000110415_.wvu.Rows" hidden="1">#REF!,#REF!</definedName>
    <definedName name="Z_9A428CE1_B4D9_11D0_A8AA_0000C071AEE7_.wvu.Cols" hidden="1">#REF!,#REF!</definedName>
    <definedName name="Z_9A428CE1_B4D9_11D0_A8AA_0000C071AEE7_.wvu.PrintArea" hidden="1">#REF!</definedName>
    <definedName name="Z_9A428CE1_B4D9_11D0_A8AA_0000C071AEE7_.wvu.Rows" hidden="1">#REF!,#REF!,#REF!,#REF!,#REF!,#REF!,#REF!,#REF!</definedName>
    <definedName name="Z_A158D6E1_ED44_11D4_A6F7_00508B654028_.wvu.Cols" hidden="1">#REF!,#REF!</definedName>
    <definedName name="Z_A158D6E1_ED44_11D4_A6F7_00508B654028_.wvu.FilterData" hidden="1">#REF!</definedName>
    <definedName name="Z_A158D6E1_ED44_11D4_A6F7_00508B654028_.wvu.PrintArea" hidden="1">#REF!</definedName>
    <definedName name="Z_A158D6E1_ED44_11D4_A6F7_00508B654028_.wvu.Rows" hidden="1">#REF!,#REF!</definedName>
    <definedName name="Z_A55FC05B_40F5_4DAE_8A66_F67C238AF998_.wvu.Cols" hidden="1">#REF!</definedName>
    <definedName name="Z_A55FC05B_40F5_4DAE_8A66_F67C238AF998_.wvu.Rows" hidden="1">#REF!,#REF!</definedName>
    <definedName name="Z_ADA92181_C3E4_11D5_A6F7_00508B6A7686_.wvu.Cols" hidden="1">#REF!,#REF!,#REF!</definedName>
    <definedName name="Z_ADA92181_C3E4_11D5_A6F7_00508B6A7686_.wvu.FilterData" hidden="1">#REF!</definedName>
    <definedName name="Z_ADA92181_C3E4_11D5_A6F7_00508B6A7686_.wvu.PrintArea" hidden="1">#REF!</definedName>
    <definedName name="Z_ADA92181_C3E4_11D5_A6F7_00508B6A7686_.wvu.PrintTitles" hidden="1">#REF!</definedName>
    <definedName name="Z_ADA92181_C3E4_11D5_A6F7_00508B6A7686_.wvu.Rows" hidden="1">#REF!,#REF!</definedName>
    <definedName name="Z_C8DFC113_80CC_11D5_A7CE_0010C602F2D8_.wvu.Cols" hidden="1">#REF!,#REF!</definedName>
    <definedName name="Z_CF76B2A1_DD38_11D3_B995_400000110280_.wvu.Cols" hidden="1">#REF!,#REF!,#REF!,#REF!,#REF!,#REF!,#REF!,#REF!,#REF!,#REF!</definedName>
    <definedName name="Z_CF76B2A1_DD38_11D3_B995_400000110280_.wvu.Rows" hidden="1">#REF!,#REF!</definedName>
    <definedName name="Z_CF76B2B2_DD38_11D3_B995_400000110280_.wvu.Cols" hidden="1">#REF!,#REF!,#REF!,#REF!,#REF!,#REF!,#REF!,#REF!,#REF!,#REF!</definedName>
    <definedName name="Z_CF76B2B2_DD38_11D3_B995_400000110280_.wvu.Rows" hidden="1">#REF!,#REF!</definedName>
    <definedName name="Z_CF76B2B5_DD38_11D3_B995_400000110280_.wvu.Cols" hidden="1">#REF!</definedName>
    <definedName name="Z_CF76B2B5_DD38_11D3_B995_400000110280_.wvu.Rows" hidden="1">#REF!</definedName>
    <definedName name="Z_D4FBBAF2_ED2F_11D4_A6F7_00508B6540C5_.wvu.FilterData" hidden="1">#REF!</definedName>
    <definedName name="Z_D9E68341_C2F0_11D5_A6F7_00508B6540C5_.wvu.Cols" hidden="1">#REF!,#REF!,#REF!</definedName>
    <definedName name="Z_D9E68341_C2F0_11D5_A6F7_00508B6540C5_.wvu.FilterData" hidden="1">#REF!</definedName>
    <definedName name="Z_D9E68341_C2F0_11D5_A6F7_00508B6540C5_.wvu.PrintArea" hidden="1">#REF!</definedName>
    <definedName name="Z_D9E68341_C2F0_11D5_A6F7_00508B6540C5_.wvu.PrintTitles" hidden="1">#REF!</definedName>
    <definedName name="Z_D9E68341_C2F0_11D5_A6F7_00508B6540C5_.wvu.Rows" hidden="1">#REF!</definedName>
    <definedName name="Z_FEFC1975_2CB6_11D4_888F_0050044940D5_.wvu.Cols" hidden="1">#REF!</definedName>
    <definedName name="Z_FEFC1975_2CB6_11D4_888F_0050044940D5_.wvu.Rows" hidden="1">#REF!</definedName>
    <definedName name="zaq" hidden="1">{#N/A,#N/A,FALSE,"Calc";#N/A,#N/A,FALSE,"Sensitivity";#N/A,#N/A,FALSE,"LT Earn.Dil.";#N/A,#N/A,FALSE,"Dil. AVP"}</definedName>
    <definedName name="ZD" hidden="1">#REF!</definedName>
    <definedName name="zedaqzd" hidden="1">{#N/A,#N/A,FALSE,"Operations";#N/A,#N/A,FALSE,"Financials"}</definedName>
    <definedName name="zefz" hidden="1">{"First Page",#N/A,FALSE,"Surfactants LBO";"Second Page",#N/A,FALSE,"Surfactants LBO"}</definedName>
    <definedName name="zeljka" hidden="1">{"det (May)",#N/A,FALSE,"June";"sum (MAY YTD)",#N/A,FALSE,"June YTD"}</definedName>
    <definedName name="zeljka1" hidden="1">{"det (May)",#N/A,FALSE,"June";"sum (MAY YTD)",#N/A,FALSE,"June YTD"}</definedName>
    <definedName name="zeljka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3" hidden="1">{"det (May)",#N/A,FALSE,"June";"sum (MAY YTD)",#N/A,FALSE,"June YTD"}</definedName>
    <definedName name="ZERTRET" hidden="1">#REF!</definedName>
    <definedName name="zezrzrzerz" hidden="1">{"equity comps",#N/A,FALSE,"CS Comps";"equity comps",#N/A,FALSE,"PS Comps";"equity comps",#N/A,FALSE,"GIC_Comps";"equity comps",#N/A,FALSE,"GIC2_Comps"}</definedName>
    <definedName name="ZZZA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zzzz" hidden="1">#REF!</definedName>
    <definedName name="zzzzzzzzzz" hidden="1">{#N/A,#N/A,FALSE,"RIEP"}</definedName>
    <definedName name="zzzzzzzzzzzzzz" hidden="1">{"QQQ",#N/A,FALSE,"RIEP"}</definedName>
    <definedName name="zzzzzzzzzzzzzzzzzz" hidden="1">{"QQQ",#N/A,FALSE,"RIEP"}</definedName>
    <definedName name="а02" hidden="1">{0,0,0,0;0,0,0,0}</definedName>
    <definedName name="а1" hidden="1">{"'Sheet1'!$A$1:$G$96","'Sheet1'!$A$1:$H$96"}</definedName>
    <definedName name="а2" hidden="1">{"'Sheet1'!$A$1:$G$96","'Sheet1'!$A$1:$H$96"}</definedName>
    <definedName name="ааа" hidden="1">{#N/A,#N/A,TRUE,"План продаж";#N/A,#N/A,TRUE,"Склад гот.прод";#N/A,#N/A,TRUE,"План отгрузки"}</definedName>
    <definedName name="ааааа11111" hidden="1">{"'Sheet1'!$A$1:$G$96","'Sheet1'!$A$1:$H$96"}</definedName>
    <definedName name="ав" hidden="1">{#N/A,#N/A,TRUE,"План продаж";#N/A,#N/A,TRUE,"Склад гот.прод";#N/A,#N/A,TRUE,"План отгрузки"}</definedName>
    <definedName name="авг.опер.Н" hidden="1">{"'Sheet1'!$A$1:$G$96","'Sheet1'!$A$1:$H$96"}</definedName>
    <definedName name="авпарпар" hidden="1">{"'Sheet1'!$A$1:$G$96","'Sheet1'!$A$1:$H$96"}</definedName>
    <definedName name="авпекго" hidden="1">{"'Sheet1'!$A$1:$G$96","'Sheet1'!$A$1:$H$96"}</definedName>
    <definedName name="ак4" hidden="1">{#N/A,#N/A,TRUE,"План продаж";#N/A,#N/A,TRUE,"Склад гот.прод";#N/A,#N/A,TRUE,"План отгрузки"}</definedName>
    <definedName name="акрароо" hidden="1">{"'Sheet1'!$A$1:$G$96","'Sheet1'!$A$1:$H$96"}</definedName>
    <definedName name="амит" hidden="1">{"'Sheet1'!$A$1:$G$96","'Sheet1'!$A$1:$H$96"}</definedName>
    <definedName name="анализ" hidden="1">{#N/A,#N/A,TRUE,"Лист2"}</definedName>
    <definedName name="Анализ2" hidden="1">{#N/A,#N/A,TRUE,"План продаж";#N/A,#N/A,TRUE,"Склад гот.прод";#N/A,#N/A,TRUE,"План отгрузки"}</definedName>
    <definedName name="апарпогрлролбодболюолюлбсрвкекн" hidden="1">{"'Sheet1'!$A$1:$G$96","'Sheet1'!$A$1:$H$96"}</definedName>
    <definedName name="апер" hidden="1">{"'Sheet1'!$A$1:$G$96","'Sheet1'!$A$1:$H$96"}</definedName>
    <definedName name="апоа" hidden="1">{"'Sheet1'!$A$1:$G$96","'Sheet1'!$A$1:$H$96"}</definedName>
    <definedName name="апр" hidden="1">{#N/A,#N/A,TRUE,"Лист2"}</definedName>
    <definedName name="аправ" hidden="1">{"'Sheet1'!$A$1:$G$96","'Sheet1'!$A$1:$H$96"}</definedName>
    <definedName name="апрпоонгеш" hidden="1">{"'Sheet1'!$A$1:$G$96","'Sheet1'!$A$1:$H$96"}</definedName>
    <definedName name="араго" hidden="1">{"'Sheet1'!$A$1:$G$96","'Sheet1'!$A$1:$H$96"}</definedName>
    <definedName name="арппр" hidden="1">{"'Sheet1'!$A$1:$G$96","'Sheet1'!$A$1:$H$96"}</definedName>
    <definedName name="блро" hidden="1">{"'Sheet1'!$A$1:$G$96","'Sheet1'!$A$1:$H$96"}</definedName>
    <definedName name="брикеты" hidden="1">{"'Sheet1'!$A$1:$G$96","'Sheet1'!$A$1:$H$96"}</definedName>
    <definedName name="бть" hidden="1">{"'Sheet1'!$A$1:$G$96","'Sheet1'!$A$1:$H$96"}</definedName>
    <definedName name="Буква01" hidden="1">{0,#N/A,FALSE,0;0,#N/A,FALSE,0}</definedName>
    <definedName name="в2" hidden="1">{"'Sheet1'!$A$1:$G$96","'Sheet1'!$A$1:$H$96"}</definedName>
    <definedName name="ва" hidden="1">{"'Sheet1'!$A$1:$G$96","'Sheet1'!$A$1:$H$96"}</definedName>
    <definedName name="вае" hidden="1">{"'Sheet1'!$A$1:$G$96","'Sheet1'!$A$1:$H$96"}</definedName>
    <definedName name="ВАОЛПМАУГШ" hidden="1">{#N/A,#N/A,TRUE,"План продаж";#N/A,#N/A,TRUE,"Склад гот.прод";#N/A,#N/A,TRUE,"План отгрузки"}</definedName>
    <definedName name="вап3" hidden="1">{"'Sheet1'!$A$1:$G$96","'Sheet1'!$A$1:$H$96"}</definedName>
    <definedName name="вапва" hidden="1">{#N/A,#N/A,TRUE,"Лист2"}</definedName>
    <definedName name="вапвап" hidden="1">{#N/A,#N/A,TRUE,"Лист2"}</definedName>
    <definedName name="ваыкпав" hidden="1">{#N/A,#N/A,TRUE,"Лист2"}</definedName>
    <definedName name="ввв" hidden="1">{"det (May)",#N/A,FALSE,"June";"sum (MAY YTD)",#N/A,FALSE,"June YTD"}</definedName>
    <definedName name="вввв" hidden="1">{"'Sheet1'!$A$1:$G$96","'Sheet1'!$A$1:$H$96"}</definedName>
    <definedName name="ввввввввввввввв" hidden="1">{"det (May)",#N/A,FALSE,"June";"sum (MAY YTD)",#N/A,FALSE,"June YTD"}</definedName>
    <definedName name="Век" hidden="1">{#N/A,#N/A,TRUE,"План продаж";#N/A,#N/A,TRUE,"Склад гот.прод";#N/A,#N/A,TRUE,"План отгрузки"}</definedName>
    <definedName name="векленко" hidden="1">{#N/A,#N/A,TRUE,"План продаж";#N/A,#N/A,TRUE,"Склад гот.прод";#N/A,#N/A,TRUE,"План отгрузки"}</definedName>
    <definedName name="ви" hidden="1">{"'Sheet1'!$A$1:$G$96","'Sheet1'!$A$1:$H$96"}</definedName>
    <definedName name="вп" hidden="1">{"'Sheet1'!$A$1:$G$96","'Sheet1'!$A$1:$H$96"}</definedName>
    <definedName name="впвене" hidden="1">{"'Sheet1'!$A$1:$G$96","'Sheet1'!$A$1:$H$96"}</definedName>
    <definedName name="впр" hidden="1">{#N/A,#N/A,TRUE,"Лист2"}</definedName>
    <definedName name="впрапр" hidden="1">{"'Sheet1'!$A$1:$G$96","'Sheet1'!$A$1:$H$96"}</definedName>
    <definedName name="ву" hidden="1">{#N/A,#N/A,TRUE,"Лист2"}</definedName>
    <definedName name="вы" hidden="1">{0,0}</definedName>
    <definedName name="выа" hidden="1">{#N/A,#N/A,TRUE,"План продаж";#N/A,#N/A,TRUE,"Склад гот.прод";#N/A,#N/A,TRUE,"План отгрузки"}</definedName>
    <definedName name="гзщхшщхщз" hidden="1">{"'Sheet1'!$A$1:$G$96","'Sheet1'!$A$1:$H$96"}</definedName>
    <definedName name="год" hidden="1">{#N/A,#N/A,TRUE,"Лист2"}</definedName>
    <definedName name="ГОК" hidden="1">{"'Sheet1'!$A$1:$G$96","'Sheet1'!$A$1:$H$96"}</definedName>
    <definedName name="график" hidden="1">{#N/A,#N/A,TRUE,"Лист2"}</definedName>
    <definedName name="д" hidden="1">{"'Sheet1'!$A$1:$G$96","'Sheet1'!$A$1:$H$96"}</definedName>
    <definedName name="да" hidden="1">{#N/A,#N/A,TRUE,"Лист2"}</definedName>
    <definedName name="двтро" hidden="1">{#N/A,#N/A,TRUE,"План продаж";#N/A,#N/A,TRUE,"Склад гот.прод";#N/A,#N/A,TRUE,"План отгрузки"}</definedName>
    <definedName name="джплрджрлдпаорлдпа" hidden="1">{#N/A,#N/A,TRUE,"Лист2"}</definedName>
    <definedName name="джррапр" hidden="1">{"'Sheet1'!$A$1:$G$96","'Sheet1'!$A$1:$H$96"}</definedName>
    <definedName name="ДК" hidden="1">{"'Sheet1'!$A$1:$G$96","'Sheet1'!$A$1:$H$96"}</definedName>
    <definedName name="документ10" hidden="1">{"'Sheet1'!$A$1:$G$96","'Sheet1'!$A$1:$H$96"}</definedName>
    <definedName name="ё" hidden="1">{"'Sheet1'!$A$1:$G$96","'Sheet1'!$A$1:$H$96"}</definedName>
    <definedName name="еее" hidden="1">{#N/A,#N/A,TRUE,"План продаж";#N/A,#N/A,TRUE,"Склад гот.прод";#N/A,#N/A,TRUE,"План отгрузки"}</definedName>
    <definedName name="екнкн" hidden="1">{#N/A,#N/A,TRUE,"Лист2"}</definedName>
    <definedName name="ен" hidden="1">{"'Sheet1'!$A$1:$G$96","'Sheet1'!$A$1:$H$96"}</definedName>
    <definedName name="енгене" hidden="1">{"A1_plan_print",#N/A,FALSE,"Atelier1";"A2_plan_print",#N/A,FALSE,"Atelier2";"A3_plan_print",#N/A,FALSE,"Atelier3";"A4_plan_print",#N/A,FALSE,"Atelier4";"Bs_plan_print",#N/A,FALSE,"Bolshevik"}</definedName>
    <definedName name="жд" hidden="1">{#N/A,#N/A,TRUE,"План продаж";#N/A,#N/A,TRUE,"Склад гот.прод";#N/A,#N/A,TRUE,"План отгрузки"}</definedName>
    <definedName name="жжж" hidden="1">{#N/A,#N/A,TRUE,"План продаж";#N/A,#N/A,TRUE,"Склад гот.прод";#N/A,#N/A,TRUE,"План отгрузки"}</definedName>
    <definedName name="жьлрджеьлрджаеьрлджеа" hidden="1">{#N/A,#N/A,TRUE,"Лист2"}</definedName>
    <definedName name="ЗДФТ" hidden="1">{"A1_plan_print",#N/A,FALSE,"Atelier1";"A2_plan_print",#N/A,FALSE,"Atelier2";"A3_plan_print",#N/A,FALSE,"Atelier3";"A4_plan_print",#N/A,FALSE,"Atelier4";"Bs_plan_print",#N/A,FALSE,"Bolshevik"}</definedName>
    <definedName name="ззз" hidden="1">{#N/A,#N/A,TRUE,"План продаж";#N/A,#N/A,TRUE,"Склад гот.прод";#N/A,#N/A,TRUE,"План отгрузки"}</definedName>
    <definedName name="зщ" hidden="1">{"'Sheet1'!$A$1:$G$96","'Sheet1'!$A$1:$H$96"}</definedName>
    <definedName name="и" hidden="1">{"'Sheet1'!$A$1:$G$96","'Sheet1'!$A$1:$H$96"}</definedName>
    <definedName name="й" hidden="1">{"'Sheet1'!$A$1:$G$96","'Sheet1'!$A$1:$H$96"}</definedName>
    <definedName name="ии" hidden="1">{"'Sheet1'!$A$1:$G$96","'Sheet1'!$A$1:$H$96"}</definedName>
    <definedName name="иии" hidden="1">{"'Sheet1'!$A$1:$G$96","'Sheet1'!$A$1:$H$96"}</definedName>
    <definedName name="ййй" hidden="1">{"'Sheet1'!$A$1:$G$96","'Sheet1'!$A$1:$H$96"}</definedName>
    <definedName name="иииии" hidden="1">{#N/A,#N/A,TRUE,"Лист2"}</definedName>
    <definedName name="им" hidden="1">{"'Sheet1'!$A$1:$G$96","'Sheet1'!$A$1:$H$96"}</definedName>
    <definedName name="имитм" hidden="1">{#N/A,#N/A,TRUE,"Лист2"}</definedName>
    <definedName name="ит6" hidden="1">{"'Sheet1'!$A$1:$G$96","'Sheet1'!$A$1:$H$96"}</definedName>
    <definedName name="ит7" hidden="1">{"'Sheet1'!$A$1:$G$96","'Sheet1'!$A$1:$H$96"}</definedName>
    <definedName name="июль" hidden="1">{#N/A,#N/A,TRUE,"Лист2"}</definedName>
    <definedName name="июль.06" hidden="1">{#N/A,#N/A,TRUE,"Лист2"}</definedName>
    <definedName name="ияч" hidden="1">{"'Sheet1'!$A$1:$G$96","'Sheet1'!$A$1:$H$96"}</definedName>
    <definedName name="к" hidden="1">{#N/A,#N/A,TRUE,"Лист2"}</definedName>
    <definedName name="как" hidden="1">{"'Sheet1'!$A$1:$G$96","'Sheet1'!$A$1:$H$96"}</definedName>
    <definedName name="кв" hidden="1">{#N/A,#N/A,TRUE,"План продаж";#N/A,#N/A,TRUE,"Склад гот.прод";#N/A,#N/A,TRUE,"План отгрузки"}</definedName>
    <definedName name="ке54" hidden="1">{"'Sheet1'!$A$1:$G$96","'Sheet1'!$A$1:$H$96"}</definedName>
    <definedName name="Кипр" hidden="1">#REF!</definedName>
    <definedName name="Кира" hidden="1">{"'Sheet1'!$A$1:$G$96","'Sheet1'!$A$1:$H$96"}</definedName>
    <definedName name="кк" hidden="1">{#N/A,#N/A,TRUE,"План продаж";#N/A,#N/A,TRUE,"Склад гот.прод";#N/A,#N/A,TRUE,"План отгрузки"}</definedName>
    <definedName name="ккк" hidden="1">{"'Sheet1'!$A$1:$G$96","'Sheet1'!$A$1:$H$96"}</definedName>
    <definedName name="кккк" hidden="1">{"'Sheet1'!$A$1:$G$96","'Sheet1'!$A$1:$H$96"}</definedName>
    <definedName name="ккккк" hidden="1">{#N/A,#N/A,TRUE,"Лист2"}</definedName>
    <definedName name="кккккк" hidden="1">{#N/A,#N/A,TRUE,"Лист2"}</definedName>
    <definedName name="кпвкпвар" hidden="1">{#N/A,#N/A,TRUE,"Лист2"}</definedName>
    <definedName name="купеукп" hidden="1">{#N/A,#N/A,TRUE,"Лист2"}</definedName>
    <definedName name="куцкцукцуа" hidden="1">{#N/A,#N/A,TRUE,"Лист2"}</definedName>
    <definedName name="л" hidden="1">{#N/A,#N/A,TRUE,"План продаж";#N/A,#N/A,TRUE,"Склад гот.прод";#N/A,#N/A,TRUE,"План отгрузки"}</definedName>
    <definedName name="Лг" hidden="1">{"'Sheet1'!$A$1:$G$96","'Sheet1'!$A$1:$H$96"}</definedName>
    <definedName name="ЛГОК" hidden="1">{"'Sheet1'!$A$1:$G$96","'Sheet1'!$A$1:$H$96"}</definedName>
    <definedName name="лдукоелджкулелджукл" hidden="1">{"'Sheet1'!$A$1:$G$96","'Sheet1'!$A$1:$H$96"}</definedName>
    <definedName name="ЛЕБЕД." hidden="1">{"'Sheet1'!$A$1:$G$96","'Sheet1'!$A$1:$H$96"}</definedName>
    <definedName name="лл" hidden="1">{"'Sheet1'!$A$1:$G$96","'Sheet1'!$A$1:$H$96"}</definedName>
    <definedName name="ллл" hidden="1">{#N/A,#N/A,TRUE,"План продаж";#N/A,#N/A,TRUE,"Склад гот.прод";#N/A,#N/A,TRUE,"План отгрузки"}</definedName>
    <definedName name="лллллл" hidden="1">{"A1_plan_print",#N/A,FALSE,"Atelier1";"A2_plan_print",#N/A,FALSE,"Atelier2";"A3_plan_print",#N/A,FALSE,"Atelier3";"A4_plan_print",#N/A,FALSE,"Atelier4";"Bs_plan_print",#N/A,FALSE,"Bolshevik"}</definedName>
    <definedName name="ллоорлоорплло" hidden="1">{"'Sheet1'!$A$1:$G$96","'Sheet1'!$A$1:$H$96"}</definedName>
    <definedName name="ло" hidden="1">{"'Sheet1'!$A$1:$G$96","'Sheet1'!$A$1:$H$96"}</definedName>
    <definedName name="лоло" hidden="1">{"'Sheet1'!$A$1:$G$96","'Sheet1'!$A$1:$H$96"}</definedName>
    <definedName name="лорплол" hidden="1">{"'Sheet1'!$A$1:$G$96","'Sheet1'!$A$1:$H$96"}</definedName>
    <definedName name="Ля" hidden="1">{"'Sheet1'!$A$1:$G$96","'Sheet1'!$A$1:$H$96"}</definedName>
    <definedName name="март2" hidden="1">{#N/A,#N/A,TRUE,"Лист2"}</definedName>
    <definedName name="ми" hidden="1">{#N/A,#N/A,TRUE,"План продаж";#N/A,#N/A,TRUE,"Склад гот.прод";#N/A,#N/A,TRUE,"План отгрузки"}</definedName>
    <definedName name="МО" hidden="1">{#N/A,#N/A,TRUE,"План продаж";#N/A,#N/A,TRUE,"Склад гот.прод";#N/A,#N/A,TRUE,"План отгрузки"}</definedName>
    <definedName name="н" hidden="1">{#N/A,#N/A,TRUE,"План продаж";#N/A,#N/A,TRUE,"Склад гот.прод";#N/A,#N/A,TRUE,"План отгрузки"}</definedName>
    <definedName name="налоги" hidden="1">{"'Sheet1'!$A$1:$G$96","'Sheet1'!$A$1:$H$96"}</definedName>
    <definedName name="налоги2" hidden="1">{"'Sheet1'!$A$1:$G$96","'Sheet1'!$A$1:$H$96"}</definedName>
    <definedName name="не" hidden="1">{"'Sheet1'!$A$1:$G$96","'Sheet1'!$A$1:$H$96"}</definedName>
    <definedName name="нет" hidden="1">{"'Sheet1'!$A$1:$G$96","'Sheet1'!$A$1:$H$96"}</definedName>
    <definedName name="ни" hidden="1">{#N/A,#N/A,TRUE,"Лист2"}</definedName>
    <definedName name="нкуекнуке" hidden="1">{"'Sheet1'!$A$1:$G$96","'Sheet1'!$A$1:$H$96"}</definedName>
    <definedName name="ннн" hidden="1">{#N/A,#N/A,TRUE,"План продаж";#N/A,#N/A,TRUE,"Склад гот.прод";#N/A,#N/A,TRUE,"План отгрузки"}</definedName>
    <definedName name="ннро" hidden="1">{"'Sheet1'!$A$1:$G$96","'Sheet1'!$A$1:$H$96"}</definedName>
    <definedName name="новое" hidden="1">{"'Sheet1'!$A$1:$G$96","'Sheet1'!$A$1:$H$96"}</definedName>
    <definedName name="нпа" hidden="1">{"'Sheet1'!$A$1:$G$96","'Sheet1'!$A$1:$H$96"}</definedName>
    <definedName name="нукекпецуц" hidden="1">{#N/A,#N/A,TRUE,"Лист2"}</definedName>
    <definedName name="о" hidden="1">{"'Sheet1'!$A$1:$G$96","'Sheet1'!$A$1:$H$96"}</definedName>
    <definedName name="о61005" hidden="1">{"print95",#N/A,FALSE,"1995E.XLS";"print96",#N/A,FALSE,"1996E.XLS"}</definedName>
    <definedName name="окт." hidden="1">{"'Sheet1'!$A$1:$G$96","'Sheet1'!$A$1:$H$96"}</definedName>
    <definedName name="октябрь" hidden="1">{#N/A,#N/A,TRUE,"План продаж";#N/A,#N/A,TRUE,"Склад гот.прод";#N/A,#N/A,TRUE,"План отгрузки"}</definedName>
    <definedName name="ол" hidden="1">{#N/A,#N/A,TRUE,"План продаж";#N/A,#N/A,TRUE,"Склад гот.прод";#N/A,#N/A,TRUE,"План отгрузки"}</definedName>
    <definedName name="олдыкоелдвкопрлпотрр" hidden="1">{"'Sheet1'!$A$1:$G$96","'Sheet1'!$A$1:$H$96"}</definedName>
    <definedName name="олл" hidden="1">{"'Sheet1'!$A$1:$G$96","'Sheet1'!$A$1:$H$96"}</definedName>
    <definedName name="ооо" hidden="1">{#N/A,#N/A,TRUE,"План продаж";#N/A,#N/A,TRUE,"Склад гот.прод";#N/A,#N/A,TRUE,"План отгрузки"}</definedName>
    <definedName name="оооо" hidden="1">{#N/A,#N/A,TRUE,"Лист2"}</definedName>
    <definedName name="опроло" hidden="1">{"'Sheet1'!$A$1:$G$96","'Sheet1'!$A$1:$H$96"}</definedName>
    <definedName name="ор" hidden="1">{#N/A,#N/A,TRUE,"План продаж";#N/A,#N/A,TRUE,"Склад гот.прод";#N/A,#N/A,TRUE,"План отгрузки"}</definedName>
    <definedName name="орлрл" hidden="1">{"'Sheet1'!$A$1:$G$96","'Sheet1'!$A$1:$H$96"}</definedName>
    <definedName name="оро" hidden="1">{#N/A,#N/A,TRUE,"Лист2"}</definedName>
    <definedName name="Отклонение2" hidden="1">{#N/A,#N/A,TRUE,"Лист2"}</definedName>
    <definedName name="П" hidden="1">{#N/A,#N/A,TRUE,"План продаж";#N/A,#N/A,TRUE,"Склад гот.прод";#N/A,#N/A,TRUE,"План отгрузки"}</definedName>
    <definedName name="палодпдашл" hidden="1">{"det (May)",#N/A,FALSE,"June";"sum (MAY YTD)",#N/A,FALSE,"June YTD"}</definedName>
    <definedName name="паорп" hidden="1">{"'Sheet1'!$A$1:$G$96","'Sheet1'!$A$1:$H$96"}</definedName>
    <definedName name="пап" hidden="1">{0,0}</definedName>
    <definedName name="парнр" hidden="1">{"'Sheet1'!$A$1:$G$96","'Sheet1'!$A$1:$H$96"}</definedName>
    <definedName name="паропар" hidden="1">{"'Sheet1'!$A$1:$G$96","'Sheet1'!$A$1:$H$96"}</definedName>
    <definedName name="пдд" hidden="1">{"'Sheet1'!$A$1:$G$96","'Sheet1'!$A$1:$H$96"}</definedName>
    <definedName name="пе" hidden="1">{#N/A,#N/A,TRUE,"План продаж";#N/A,#N/A,TRUE,"Склад гот.прод";#N/A,#N/A,TRUE,"План отгрузки"}</definedName>
    <definedName name="перл" hidden="1">{"'Sheet1'!$A$1:$G$96","'Sheet1'!$A$1:$H$96"}</definedName>
    <definedName name="пит" hidden="1">{"'Sheet1'!$A$1:$G$96","'Sheet1'!$A$1:$H$96"}</definedName>
    <definedName name="пн" hidden="1">{#N/A,#N/A,TRUE,"План продаж";#N/A,#N/A,TRUE,"Склад гот.прод";#N/A,#N/A,TRUE,"План отгрузки"}</definedName>
    <definedName name="поапо" hidden="1">{"'Sheet1'!$A$1:$G$96","'Sheet1'!$A$1:$H$96"}</definedName>
    <definedName name="ппарпротимр" hidden="1">{"'Sheet1'!$A$1:$G$96","'Sheet1'!$A$1:$H$96"}</definedName>
    <definedName name="ппп" hidden="1">{#N/A,#N/A,TRUE,"План продаж";#N/A,#N/A,TRUE,"Склад гот.прод";#N/A,#N/A,TRUE,"План отгрузки"}</definedName>
    <definedName name="пппп" hidden="1">{"'Sheet1'!$A$1:$G$96","'Sheet1'!$A$1:$H$96"}</definedName>
    <definedName name="пппппп" hidden="1">{"'Sheet1'!$A$1:$G$96","'Sheet1'!$A$1:$H$96"}</definedName>
    <definedName name="пр" hidden="1">{#N/A,#N/A,TRUE,"План продаж";#N/A,#N/A,TRUE,"Склад гот.прод";#N/A,#N/A,TRUE,"План отгрузки"}</definedName>
    <definedName name="прав" hidden="1">{#N/A,#N/A,TRUE,"План продаж";#N/A,#N/A,TRUE,"Склад гот.прод";#N/A,#N/A,TRUE,"План отгрузки"}</definedName>
    <definedName name="прть" hidden="1">{"'Sheet1'!$A$1:$G$96","'Sheet1'!$A$1:$H$96"}</definedName>
    <definedName name="прь" hidden="1">{"'Sheet1'!$A$1:$G$96","'Sheet1'!$A$1:$H$96"}</definedName>
    <definedName name="пыпыппывапа" hidden="1">#REF!,#REF!,#REF!</definedName>
    <definedName name="р" hidden="1">{#N/A,#N/A,TRUE,"Лист2"}</definedName>
    <definedName name="р1" hidden="1">{"'Sheet1'!$A$1:$G$96","'Sheet1'!$A$1:$H$96"}</definedName>
    <definedName name="раарпр" hidden="1">{"'Sheet1'!$A$1:$G$96","'Sheet1'!$A$1:$H$96"}</definedName>
    <definedName name="рлрглр" hidden="1">{"'Sheet1'!$A$1:$G$96","'Sheet1'!$A$1:$H$96"}</definedName>
    <definedName name="ро" hidden="1">{#N/A,#N/A,TRUE,"План продаж";#N/A,#N/A,TRUE,"Склад гот.прод";#N/A,#N/A,TRUE,"План отгрузки"}</definedName>
    <definedName name="рог" hidden="1">{"'Sheet1'!$A$1:$G$96","'Sheet1'!$A$1:$H$96"}</definedName>
    <definedName name="рололб" hidden="1">{"'Sheet1'!$A$1:$G$96","'Sheet1'!$A$1:$H$96"}</definedName>
    <definedName name="ролро" hidden="1">{"'Sheet1'!$A$1:$G$96","'Sheet1'!$A$1:$H$96"}</definedName>
    <definedName name="ролрод" hidden="1">{"'Sheet1'!$A$1:$G$96","'Sheet1'!$A$1:$H$96"}</definedName>
    <definedName name="ролролопл" hidden="1">{"'Sheet1'!$A$1:$G$96","'Sheet1'!$A$1:$H$96"}</definedName>
    <definedName name="роооо" hidden="1">{"'Sheet1'!$A$1:$G$96","'Sheet1'!$A$1:$H$96"}</definedName>
    <definedName name="рот" hidden="1">{#N/A,#N/A,TRUE,"Лист2"}</definedName>
    <definedName name="рпгшгп" hidden="1">{"'Sheet1'!$A$1:$G$96","'Sheet1'!$A$1:$H$96"}</definedName>
    <definedName name="рпопро" hidden="1">{#N/A,#N/A,TRUE,"Лист2"}</definedName>
    <definedName name="ррр" hidden="1">{#N/A,#N/A,TRUE,"План продаж";#N/A,#N/A,TRUE,"Склад гот.прод";#N/A,#N/A,TRUE,"План отгрузки"}</definedName>
    <definedName name="рррр" hidden="1">{#N/A,#N/A,TRUE,"Лист2"}</definedName>
    <definedName name="РТ" hidden="1">{#N/A,#N/A,TRUE,"План продаж";#N/A,#N/A,TRUE,"Склад гот.прод";#N/A,#N/A,TRUE,"План отгрузки"}</definedName>
    <definedName name="см" hidden="1">{"'Sheet1'!$A$1:$G$96","'Sheet1'!$A$1:$H$96"}</definedName>
    <definedName name="соп" hidden="1">{#N/A,#N/A,TRUE,"План продаж";#N/A,#N/A,TRUE,"Склад гот.прод";#N/A,#N/A,TRUE,"План отгрузки"}</definedName>
    <definedName name="сталь" hidden="1">{#N/A,#N/A,TRUE,"Лист2"}</definedName>
    <definedName name="т" hidden="1">{#N/A,#N/A,TRUE,"План продаж";#N/A,#N/A,TRUE,"Склад гот.прод";#N/A,#N/A,TRUE,"План отгрузки"}</definedName>
    <definedName name="т5" hidden="1">{"'Sheet1'!$A$1:$G$96","'Sheet1'!$A$1:$H$96"}</definedName>
    <definedName name="т7" hidden="1">{"'Sheet1'!$A$1:$G$96","'Sheet1'!$A$1:$H$96"}</definedName>
    <definedName name="тм" hidden="1">{#N/A,#N/A,TRUE,"План продаж";#N/A,#N/A,TRUE,"Склад гот.прод";#N/A,#N/A,TRUE,"План отгрузки"}</definedName>
    <definedName name="тро" hidden="1">{"'Sheet1'!$A$1:$G$96","'Sheet1'!$A$1:$H$96"}</definedName>
    <definedName name="тю" hidden="1">{"'Sheet1'!$A$1:$G$96","'Sheet1'!$A$1:$H$96"}</definedName>
    <definedName name="укекнкуе" hidden="1">{"'Sheet1'!$A$1:$G$96","'Sheet1'!$A$1:$H$96"}</definedName>
    <definedName name="укепкунерпр" hidden="1">{#N/A,#N/A,TRUE,"Лист2"}</definedName>
    <definedName name="укук" hidden="1">{"'Sheet1'!$A$1:$G$96","'Sheet1'!$A$1:$H$96"}</definedName>
    <definedName name="укууавампа" hidden="1">{#N/A,#N/A,TRUE,"Лист2"}</definedName>
    <definedName name="ууу" hidden="1">{"'Sheet1'!$A$1:$G$96","'Sheet1'!$A$1:$H$96"}</definedName>
    <definedName name="ф2" hidden="1">{#N/A,#N/A,TRUE,"Лист2"}</definedName>
    <definedName name="ф3" hidden="1">{#N/A,#N/A,TRUE,"Лист2"}</definedName>
    <definedName name="ф8" hidden="1">{#N/A,#N/A,TRUE,"Лист2"}</definedName>
    <definedName name="ф9" hidden="1">{"'Sheet1'!$A$1:$G$96","'Sheet1'!$A$1:$H$96"}</definedName>
    <definedName name="фв" hidden="1">{#N/A,#N/A,TRUE,"Лист2"}</definedName>
    <definedName name="фф" hidden="1">{"det (May)",#N/A,FALSE,"June";"sum (MAY YTD)",#N/A,FALSE,"June YTD"}</definedName>
    <definedName name="ффф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фы" hidden="1">{0,0}</definedName>
    <definedName name="фы3" hidden="1">{"'Sheet1'!$A$1:$G$96","'Sheet1'!$A$1:$H$96"}</definedName>
    <definedName name="фыава4" hidden="1">{"'Sheet1'!$A$1:$G$96","'Sheet1'!$A$1:$H$96"}</definedName>
    <definedName name="фыв3" hidden="1">{"'Sheet1'!$A$1:$G$96","'Sheet1'!$A$1:$H$96"}</definedName>
    <definedName name="Х2" hidden="1">{"'Sheet1'!$A$1:$G$96","'Sheet1'!$A$1:$H$96"}</definedName>
    <definedName name="ххх" hidden="1">{"print95",#N/A,FALSE,"1995E.XLS";"print96",#N/A,FALSE,"1996E.XLS"}</definedName>
    <definedName name="ц" hidden="1">{#N/A,#N/A,TRUE,"Лист2"}</definedName>
    <definedName name="цйуцйуй" hidden="1">{"'Sheet1'!$A$1:$G$96","'Sheet1'!$A$1:$H$96"}</definedName>
    <definedName name="цуке" hidden="1">{#N/A,#N/A,TRUE,"План продаж";#N/A,#N/A,TRUE,"Склад гот.прод";#N/A,#N/A,TRUE,"План отгрузки"}</definedName>
    <definedName name="цукй" hidden="1">{"'Sheet1'!$A$1:$G$96","'Sheet1'!$A$1:$H$96"}</definedName>
    <definedName name="Ч" hidden="1">{#N/A,#N/A,TRUE,"План продаж";#N/A,#N/A,TRUE,"Склад гот.прод";#N/A,#N/A,TRUE,"План отгрузки"}</definedName>
    <definedName name="чс" hidden="1">{"'Sheet1'!$A$1:$G$96","'Sheet1'!$A$1:$H$96"}</definedName>
    <definedName name="чса" hidden="1">{"'Sheet1'!$A$1:$G$96","'Sheet1'!$A$1:$H$96"}</definedName>
    <definedName name="ччччччч" hidden="1">{"det (May)",#N/A,FALSE,"June";"sum (MAY YTD)",#N/A,FALSE,"June YTD"}</definedName>
    <definedName name="ччччччччччч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шгщшхзщхзхэхщэщз" hidden="1">{#N/A,#N/A,TRUE,"Лист2"}</definedName>
    <definedName name="шль" hidden="1">{#N/A,#N/A,TRUE,"План продаж";#N/A,#N/A,TRUE,"Склад гот.прод";#N/A,#N/A,TRUE,"План отгрузки"}</definedName>
    <definedName name="шшш" hidden="1">{#N/A,#N/A,TRUE,"План продаж";#N/A,#N/A,TRUE,"Склад гот.прод";#N/A,#N/A,TRUE,"План отгрузки"}</definedName>
    <definedName name="щщщ" hidden="1">{#N/A,#N/A,TRUE,"План продаж";#N/A,#N/A,TRUE,"Склад гот.прод";#N/A,#N/A,TRUE,"План отгрузки"}</definedName>
    <definedName name="ы" hidden="1">{0,#N/A,FALSE,0;0,#N/A,FALSE,0}</definedName>
    <definedName name="ыапв" hidden="1">{#N/A,#N/A,TRUE,"Лист2"}</definedName>
    <definedName name="ыв" hidden="1">{0,TRUE}</definedName>
    <definedName name="ывавп" hidden="1">{#N/A,#N/A,TRUE,"Лист2"}</definedName>
    <definedName name="ывавьыиатьиыатьпива" hidden="1">{#N/A,#N/A,TRUE,"Лист2"}</definedName>
    <definedName name="ывапаыв" hidden="1">{#N/A,#N/A,TRUE,"Лист2"}</definedName>
    <definedName name="ывапр6" hidden="1">{"'Sheet1'!$A$1:$G$96","'Sheet1'!$A$1:$H$96"}</definedName>
    <definedName name="ырпропао" hidden="1">{"'Sheet1'!$A$1:$G$96","'Sheet1'!$A$1:$H$96"}</definedName>
    <definedName name="ыыы" hidden="1">{"det (May)",#N/A,FALSE,"June";"sum (MAY YTD)",#N/A,FALSE,"June YTD"}</definedName>
    <definedName name="ыыыыыыыыы" hidden="1">{"det (May)",#N/A,FALSE,"June";"sum (MAY YTD)",#N/A,FALSE,"June YTD"}</definedName>
    <definedName name="ыыыыыыыыыыыыыы" hidden="1">{"det (May)",#N/A,FALSE,"June";"sum (MAY YTD)",#N/A,FALSE,"June YTD"}</definedName>
    <definedName name="ью." hidden="1">{"'Sheet1'!$A$1:$G$96","'Sheet1'!$A$1:$H$96"}</definedName>
    <definedName name="Югра" hidden="1">{#N/A,#N/A,TRUE,"План продаж";#N/A,#N/A,TRUE,"Склад гот.прод";#N/A,#N/A,TRUE,"План отгрузки"}</definedName>
    <definedName name="я" hidden="1">{"'Sheet1'!$A$1:$G$96","'Sheet1'!$A$1:$H$96"}</definedName>
    <definedName name="яяя" hidden="1">{#N/A,#N/A,TRUE,"План продаж";#N/A,#N/A,TRUE,"Склад гот.прод";#N/A,#N/A,TRUE,"План отгрузки"}</definedName>
    <definedName name="其他业务支出" hidden="1">{"Volume",#N/A,FALSE,"Guangzhou";"capacity",#N/A,FALSE,"Guangzhou"}</definedName>
    <definedName name="新市场潜力指数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87" i="4" l="1"/>
  <c r="D587" i="4"/>
  <c r="M586" i="4"/>
  <c r="D586" i="4"/>
  <c r="N585" i="4"/>
  <c r="M585" i="4"/>
  <c r="D585" i="4"/>
  <c r="N584" i="4"/>
  <c r="M584" i="4"/>
  <c r="D584" i="4"/>
  <c r="N583" i="4"/>
  <c r="M583" i="4"/>
  <c r="D583" i="4"/>
  <c r="N582" i="4"/>
  <c r="M582" i="4"/>
  <c r="D582" i="4"/>
  <c r="N581" i="4"/>
  <c r="M581" i="4"/>
  <c r="D581" i="4"/>
  <c r="N580" i="4"/>
  <c r="M580" i="4"/>
  <c r="D580" i="4"/>
  <c r="N579" i="4"/>
  <c r="M579" i="4"/>
  <c r="D579" i="4"/>
  <c r="N578" i="4"/>
  <c r="M578" i="4"/>
  <c r="D578" i="4"/>
  <c r="N577" i="4"/>
  <c r="M577" i="4"/>
  <c r="D577" i="4"/>
  <c r="N576" i="4"/>
  <c r="M576" i="4"/>
  <c r="D576" i="4"/>
  <c r="N575" i="4"/>
  <c r="M575" i="4"/>
  <c r="D575" i="4"/>
  <c r="N574" i="4"/>
  <c r="M574" i="4"/>
  <c r="D574" i="4"/>
  <c r="N573" i="4"/>
  <c r="M573" i="4"/>
  <c r="D573" i="4"/>
  <c r="N572" i="4"/>
  <c r="M572" i="4"/>
  <c r="D572" i="4"/>
  <c r="N571" i="4"/>
  <c r="M571" i="4"/>
  <c r="D571" i="4"/>
  <c r="N570" i="4"/>
  <c r="M570" i="4"/>
  <c r="D570" i="4"/>
  <c r="N569" i="4"/>
  <c r="M569" i="4"/>
  <c r="D569" i="4"/>
  <c r="N568" i="4"/>
  <c r="M568" i="4"/>
  <c r="D568" i="4"/>
  <c r="N567" i="4"/>
  <c r="M567" i="4"/>
  <c r="D567" i="4"/>
  <c r="N566" i="4"/>
  <c r="M566" i="4"/>
  <c r="D566" i="4"/>
  <c r="N565" i="4"/>
  <c r="M565" i="4"/>
  <c r="D565" i="4"/>
  <c r="N564" i="4"/>
  <c r="M564" i="4"/>
  <c r="D564" i="4"/>
  <c r="N563" i="4"/>
  <c r="M563" i="4"/>
  <c r="D563" i="4"/>
  <c r="N562" i="4"/>
  <c r="M562" i="4"/>
  <c r="D562" i="4"/>
  <c r="N561" i="4"/>
  <c r="M561" i="4"/>
  <c r="D561" i="4"/>
  <c r="N560" i="4"/>
  <c r="M560" i="4"/>
  <c r="D560" i="4"/>
  <c r="N559" i="4"/>
  <c r="M559" i="4"/>
  <c r="D559" i="4"/>
  <c r="N558" i="4"/>
  <c r="M558" i="4"/>
  <c r="D558" i="4"/>
  <c r="N557" i="4"/>
  <c r="M557" i="4"/>
  <c r="E557" i="4"/>
  <c r="D557" i="4"/>
  <c r="N556" i="4"/>
  <c r="M556" i="4"/>
  <c r="E556" i="4"/>
  <c r="D556" i="4"/>
  <c r="N555" i="4"/>
  <c r="M555" i="4"/>
  <c r="D555" i="4"/>
  <c r="N554" i="4"/>
  <c r="M554" i="4"/>
  <c r="D554" i="4"/>
  <c r="N553" i="4"/>
  <c r="M553" i="4"/>
  <c r="D553" i="4"/>
  <c r="N552" i="4"/>
  <c r="M552" i="4"/>
  <c r="D552" i="4"/>
  <c r="N551" i="4"/>
  <c r="M551" i="4"/>
  <c r="D551" i="4"/>
  <c r="N550" i="4"/>
  <c r="M550" i="4"/>
  <c r="D550" i="4"/>
  <c r="N549" i="4"/>
  <c r="M549" i="4"/>
  <c r="D549" i="4"/>
  <c r="N548" i="4"/>
  <c r="M548" i="4"/>
  <c r="D548" i="4"/>
  <c r="N547" i="4"/>
  <c r="M547" i="4"/>
  <c r="D547" i="4"/>
  <c r="N546" i="4"/>
  <c r="M546" i="4"/>
  <c r="D546" i="4"/>
  <c r="N545" i="4"/>
  <c r="M545" i="4"/>
  <c r="D545" i="4"/>
  <c r="N544" i="4"/>
  <c r="M544" i="4"/>
  <c r="D544" i="4"/>
  <c r="N543" i="4"/>
  <c r="M543" i="4"/>
  <c r="D543" i="4"/>
  <c r="N542" i="4"/>
  <c r="M542" i="4"/>
  <c r="D542" i="4"/>
  <c r="N541" i="4"/>
  <c r="M541" i="4"/>
  <c r="D541" i="4"/>
  <c r="N540" i="4"/>
  <c r="M540" i="4"/>
  <c r="D540" i="4"/>
  <c r="N539" i="4"/>
  <c r="M539" i="4"/>
  <c r="D539" i="4"/>
  <c r="N538" i="4"/>
  <c r="M538" i="4"/>
  <c r="D538" i="4"/>
  <c r="N537" i="4"/>
  <c r="M537" i="4"/>
  <c r="D537" i="4"/>
  <c r="N536" i="4"/>
  <c r="M536" i="4"/>
  <c r="D536" i="4"/>
  <c r="N535" i="4"/>
  <c r="M535" i="4"/>
  <c r="D535" i="4"/>
  <c r="N534" i="4"/>
  <c r="M534" i="4"/>
  <c r="D534" i="4"/>
  <c r="N533" i="4"/>
  <c r="M533" i="4"/>
  <c r="D533" i="4"/>
  <c r="N532" i="4"/>
  <c r="M532" i="4"/>
  <c r="E532" i="4"/>
  <c r="D532" i="4"/>
  <c r="N531" i="4"/>
  <c r="M531" i="4"/>
  <c r="E531" i="4"/>
  <c r="D531" i="4"/>
  <c r="N530" i="4"/>
  <c r="M530" i="4"/>
  <c r="D530" i="4"/>
  <c r="N529" i="4"/>
  <c r="M529" i="4"/>
  <c r="D529" i="4"/>
  <c r="N528" i="4"/>
  <c r="M528" i="4"/>
  <c r="D528" i="4"/>
  <c r="N527" i="4"/>
  <c r="M527" i="4"/>
  <c r="D527" i="4"/>
  <c r="N526" i="4"/>
  <c r="M526" i="4"/>
  <c r="D526" i="4"/>
  <c r="N525" i="4"/>
  <c r="M525" i="4"/>
  <c r="D525" i="4"/>
  <c r="N524" i="4"/>
  <c r="M524" i="4"/>
  <c r="D524" i="4"/>
  <c r="N523" i="4"/>
  <c r="M523" i="4"/>
  <c r="D523" i="4"/>
  <c r="N522" i="4"/>
  <c r="M522" i="4"/>
  <c r="D522" i="4"/>
  <c r="N521" i="4"/>
  <c r="M521" i="4"/>
  <c r="D521" i="4"/>
  <c r="N520" i="4"/>
  <c r="M520" i="4"/>
  <c r="D520" i="4"/>
  <c r="N519" i="4"/>
  <c r="M519" i="4"/>
  <c r="D519" i="4"/>
  <c r="N518" i="4"/>
  <c r="M518" i="4"/>
  <c r="D518" i="4"/>
  <c r="N517" i="4"/>
  <c r="M517" i="4"/>
  <c r="D517" i="4"/>
  <c r="N516" i="4"/>
  <c r="M516" i="4"/>
  <c r="D516" i="4"/>
  <c r="N515" i="4"/>
  <c r="M515" i="4"/>
  <c r="D515" i="4"/>
  <c r="N514" i="4"/>
  <c r="M514" i="4"/>
  <c r="D514" i="4"/>
  <c r="N513" i="4"/>
  <c r="M513" i="4"/>
  <c r="D513" i="4"/>
  <c r="N512" i="4"/>
  <c r="M512" i="4"/>
  <c r="D512" i="4"/>
  <c r="N511" i="4"/>
  <c r="M511" i="4"/>
  <c r="D511" i="4"/>
  <c r="N510" i="4"/>
  <c r="D510" i="4"/>
  <c r="N509" i="4"/>
  <c r="E509" i="4"/>
  <c r="D509" i="4"/>
  <c r="N508" i="4"/>
  <c r="D508" i="4"/>
  <c r="N507" i="4"/>
  <c r="D507" i="4"/>
  <c r="N506" i="4"/>
  <c r="N505" i="4"/>
  <c r="D505" i="4"/>
  <c r="N504" i="4"/>
  <c r="D504" i="4"/>
  <c r="N503" i="4"/>
  <c r="D503" i="4"/>
  <c r="N502" i="4"/>
  <c r="D502" i="4"/>
  <c r="N501" i="4"/>
  <c r="D501" i="4"/>
  <c r="M500" i="4"/>
  <c r="D500" i="4"/>
  <c r="M499" i="4"/>
  <c r="D499" i="4"/>
  <c r="N498" i="4"/>
  <c r="M498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M479" i="4"/>
  <c r="D479" i="4"/>
  <c r="M478" i="4"/>
  <c r="D478" i="4"/>
  <c r="M477" i="4"/>
  <c r="D477" i="4"/>
  <c r="M476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M456" i="4"/>
  <c r="D456" i="4"/>
  <c r="M455" i="4"/>
  <c r="D455" i="4"/>
  <c r="N454" i="4"/>
  <c r="M454" i="4"/>
  <c r="D454" i="4"/>
  <c r="N453" i="4"/>
  <c r="M453" i="4"/>
  <c r="D453" i="4"/>
  <c r="N452" i="4"/>
  <c r="M452" i="4"/>
  <c r="D452" i="4"/>
  <c r="N451" i="4"/>
  <c r="M451" i="4"/>
  <c r="D451" i="4"/>
  <c r="N450" i="4"/>
  <c r="D450" i="4"/>
  <c r="N449" i="4"/>
  <c r="D449" i="4"/>
  <c r="N448" i="4"/>
  <c r="D448" i="4"/>
  <c r="N447" i="4"/>
  <c r="D447" i="4"/>
  <c r="N446" i="4"/>
  <c r="D446" i="4"/>
  <c r="N445" i="4"/>
  <c r="D445" i="4"/>
  <c r="N444" i="4"/>
  <c r="D444" i="4"/>
  <c r="N443" i="4"/>
  <c r="E443" i="4"/>
  <c r="D443" i="4"/>
  <c r="N442" i="4"/>
  <c r="D442" i="4"/>
  <c r="N441" i="4"/>
  <c r="D441" i="4"/>
  <c r="N440" i="4"/>
  <c r="D440" i="4"/>
  <c r="N439" i="4"/>
  <c r="D439" i="4"/>
  <c r="N438" i="4"/>
  <c r="E438" i="4"/>
  <c r="D438" i="4"/>
  <c r="N437" i="4"/>
  <c r="D437" i="4"/>
  <c r="N436" i="4"/>
  <c r="D436" i="4"/>
  <c r="N435" i="4"/>
  <c r="D435" i="4"/>
  <c r="N434" i="4"/>
  <c r="D434" i="4"/>
  <c r="N433" i="4"/>
  <c r="D433" i="4"/>
  <c r="N432" i="4"/>
  <c r="D432" i="4"/>
  <c r="N431" i="4"/>
  <c r="D431" i="4"/>
  <c r="N430" i="4"/>
  <c r="D430" i="4"/>
  <c r="N429" i="4"/>
  <c r="D429" i="4"/>
  <c r="N428" i="4"/>
  <c r="D428" i="4"/>
  <c r="N427" i="4"/>
  <c r="D427" i="4"/>
  <c r="N426" i="4"/>
  <c r="D426" i="4"/>
  <c r="N425" i="4"/>
  <c r="M425" i="4"/>
  <c r="E425" i="4"/>
  <c r="D425" i="4"/>
  <c r="N424" i="4"/>
  <c r="M424" i="4"/>
  <c r="E424" i="4"/>
  <c r="D424" i="4"/>
  <c r="N423" i="4"/>
  <c r="D423" i="4"/>
  <c r="N422" i="4"/>
  <c r="D422" i="4"/>
  <c r="N421" i="4"/>
  <c r="D421" i="4"/>
  <c r="N420" i="4"/>
  <c r="D420" i="4"/>
  <c r="N419" i="4"/>
  <c r="D419" i="4"/>
  <c r="N418" i="4"/>
  <c r="D418" i="4"/>
  <c r="N417" i="4"/>
  <c r="D417" i="4"/>
  <c r="N416" i="4"/>
  <c r="M416" i="4"/>
  <c r="D416" i="4"/>
  <c r="N415" i="4"/>
  <c r="M415" i="4"/>
  <c r="D415" i="4"/>
  <c r="N414" i="4"/>
  <c r="D414" i="4"/>
  <c r="N413" i="4"/>
  <c r="D413" i="4"/>
  <c r="N412" i="4"/>
  <c r="M412" i="4"/>
  <c r="E412" i="4"/>
  <c r="D412" i="4"/>
  <c r="N411" i="4"/>
  <c r="M411" i="4"/>
  <c r="E411" i="4"/>
  <c r="D411" i="4"/>
  <c r="N410" i="4"/>
  <c r="D410" i="4"/>
  <c r="N409" i="4"/>
  <c r="D409" i="4"/>
  <c r="N408" i="4"/>
  <c r="D408" i="4"/>
  <c r="N407" i="4"/>
  <c r="D407" i="4"/>
  <c r="N406" i="4"/>
  <c r="M406" i="4"/>
  <c r="E406" i="4"/>
  <c r="D406" i="4"/>
  <c r="N405" i="4"/>
  <c r="M405" i="4"/>
  <c r="D405" i="4"/>
  <c r="N404" i="4"/>
  <c r="D404" i="4"/>
  <c r="N403" i="4"/>
  <c r="M403" i="4"/>
  <c r="D403" i="4"/>
  <c r="N402" i="4"/>
  <c r="M402" i="4"/>
  <c r="D402" i="4"/>
  <c r="N401" i="4"/>
  <c r="M401" i="4"/>
  <c r="D401" i="4"/>
  <c r="N400" i="4"/>
  <c r="M400" i="4"/>
  <c r="D400" i="4"/>
  <c r="N399" i="4"/>
  <c r="M399" i="4"/>
  <c r="E399" i="4"/>
  <c r="D399" i="4"/>
  <c r="N398" i="4"/>
  <c r="M398" i="4"/>
  <c r="E398" i="4"/>
  <c r="D398" i="4"/>
  <c r="N397" i="4"/>
  <c r="M397" i="4"/>
  <c r="D397" i="4"/>
  <c r="N396" i="4"/>
  <c r="M396" i="4"/>
  <c r="D396" i="4"/>
  <c r="N395" i="4"/>
  <c r="M395" i="4"/>
  <c r="D395" i="4"/>
  <c r="N394" i="4"/>
  <c r="M394" i="4"/>
  <c r="D394" i="4"/>
  <c r="N393" i="4"/>
  <c r="D393" i="4"/>
  <c r="N392" i="4"/>
  <c r="D392" i="4"/>
  <c r="N391" i="4"/>
  <c r="D391" i="4"/>
  <c r="N390" i="4"/>
  <c r="D390" i="4"/>
  <c r="N389" i="4"/>
  <c r="D389" i="4"/>
  <c r="N388" i="4"/>
  <c r="D388" i="4"/>
  <c r="N387" i="4"/>
  <c r="D387" i="4"/>
  <c r="N386" i="4"/>
  <c r="D386" i="4"/>
  <c r="N385" i="4"/>
  <c r="D385" i="4"/>
  <c r="N384" i="4"/>
  <c r="D384" i="4"/>
  <c r="N383" i="4"/>
  <c r="D383" i="4"/>
  <c r="N382" i="4"/>
  <c r="D382" i="4"/>
  <c r="N381" i="4"/>
  <c r="D381" i="4"/>
  <c r="N380" i="4"/>
  <c r="D380" i="4"/>
  <c r="N379" i="4"/>
  <c r="D379" i="4"/>
  <c r="N378" i="4"/>
  <c r="D378" i="4"/>
  <c r="N377" i="4"/>
  <c r="D377" i="4"/>
  <c r="N376" i="4"/>
  <c r="D376" i="4"/>
  <c r="N375" i="4"/>
  <c r="D375" i="4"/>
  <c r="N374" i="4"/>
  <c r="D374" i="4"/>
  <c r="N373" i="4"/>
  <c r="D373" i="4"/>
  <c r="N372" i="4"/>
  <c r="D372" i="4"/>
  <c r="N371" i="4"/>
  <c r="D371" i="4"/>
  <c r="N370" i="4"/>
  <c r="D370" i="4"/>
  <c r="N369" i="4"/>
  <c r="D369" i="4"/>
  <c r="N368" i="4"/>
  <c r="M368" i="4"/>
  <c r="D368" i="4"/>
  <c r="N367" i="4"/>
  <c r="M367" i="4"/>
  <c r="D367" i="4"/>
  <c r="N366" i="4"/>
  <c r="M366" i="4"/>
  <c r="D366" i="4"/>
  <c r="N365" i="4"/>
  <c r="M365" i="4"/>
  <c r="D365" i="4"/>
  <c r="N364" i="4"/>
  <c r="M364" i="4"/>
  <c r="D364" i="4"/>
  <c r="N363" i="4"/>
  <c r="M363" i="4"/>
  <c r="D363" i="4"/>
  <c r="N362" i="4"/>
  <c r="M362" i="4"/>
  <c r="D362" i="4"/>
  <c r="N361" i="4"/>
  <c r="M361" i="4"/>
  <c r="D361" i="4"/>
  <c r="N360" i="4"/>
  <c r="M360" i="4"/>
  <c r="D360" i="4"/>
  <c r="N359" i="4"/>
  <c r="M359" i="4"/>
  <c r="D359" i="4"/>
  <c r="N358" i="4"/>
  <c r="M358" i="4"/>
  <c r="D358" i="4"/>
  <c r="N357" i="4"/>
  <c r="M357" i="4"/>
  <c r="D357" i="4"/>
  <c r="N356" i="4"/>
  <c r="M356" i="4"/>
  <c r="D356" i="4"/>
  <c r="N355" i="4"/>
  <c r="M355" i="4"/>
  <c r="D355" i="4"/>
  <c r="N354" i="4"/>
  <c r="M354" i="4"/>
  <c r="D354" i="4"/>
  <c r="N353" i="4"/>
  <c r="M353" i="4"/>
  <c r="D353" i="4"/>
  <c r="N352" i="4"/>
  <c r="M352" i="4"/>
  <c r="D352" i="4"/>
  <c r="N351" i="4"/>
  <c r="M351" i="4"/>
  <c r="D351" i="4"/>
  <c r="N350" i="4"/>
  <c r="M350" i="4"/>
  <c r="D350" i="4"/>
  <c r="N349" i="4"/>
  <c r="M349" i="4"/>
  <c r="D349" i="4"/>
  <c r="N348" i="4"/>
  <c r="M348" i="4"/>
  <c r="D348" i="4"/>
  <c r="N347" i="4"/>
  <c r="M347" i="4"/>
  <c r="D347" i="4"/>
  <c r="N346" i="4"/>
  <c r="M346" i="4"/>
  <c r="D346" i="4"/>
  <c r="N345" i="4"/>
  <c r="M345" i="4"/>
  <c r="D345" i="4"/>
  <c r="N344" i="4"/>
  <c r="M344" i="4"/>
  <c r="D344" i="4"/>
  <c r="N343" i="4"/>
  <c r="M343" i="4"/>
  <c r="D343" i="4"/>
  <c r="N342" i="4"/>
  <c r="M342" i="4"/>
  <c r="D342" i="4"/>
  <c r="N341" i="4"/>
  <c r="M341" i="4"/>
  <c r="D341" i="4"/>
  <c r="N340" i="4"/>
  <c r="M340" i="4"/>
  <c r="D340" i="4"/>
  <c r="N339" i="4"/>
  <c r="M339" i="4"/>
  <c r="D339" i="4"/>
  <c r="N338" i="4"/>
  <c r="M338" i="4"/>
  <c r="D338" i="4"/>
  <c r="N337" i="4"/>
  <c r="D337" i="4"/>
  <c r="N336" i="4"/>
  <c r="D336" i="4"/>
  <c r="N335" i="4"/>
  <c r="M335" i="4"/>
  <c r="D335" i="4"/>
  <c r="N334" i="4"/>
  <c r="M334" i="4"/>
  <c r="D334" i="4"/>
  <c r="N333" i="4"/>
  <c r="M333" i="4"/>
  <c r="D333" i="4"/>
  <c r="N332" i="4"/>
  <c r="M332" i="4"/>
  <c r="D332" i="4"/>
  <c r="N331" i="4"/>
  <c r="D331" i="4"/>
  <c r="N330" i="4"/>
  <c r="D330" i="4"/>
  <c r="N329" i="4"/>
  <c r="M329" i="4"/>
  <c r="D329" i="4"/>
  <c r="N328" i="4"/>
  <c r="M328" i="4"/>
  <c r="D328" i="4"/>
  <c r="N327" i="4"/>
  <c r="M327" i="4"/>
  <c r="D327" i="4"/>
  <c r="N326" i="4"/>
  <c r="D326" i="4"/>
  <c r="N325" i="4"/>
  <c r="D325" i="4"/>
  <c r="N324" i="4"/>
  <c r="D324" i="4"/>
  <c r="N323" i="4"/>
  <c r="D323" i="4"/>
  <c r="N322" i="4"/>
  <c r="D322" i="4"/>
  <c r="N321" i="4"/>
  <c r="D321" i="4"/>
  <c r="N320" i="4"/>
  <c r="M320" i="4"/>
  <c r="D320" i="4"/>
  <c r="N319" i="4"/>
  <c r="M319" i="4"/>
  <c r="D319" i="4"/>
  <c r="N318" i="4"/>
  <c r="M318" i="4"/>
  <c r="D318" i="4"/>
  <c r="N317" i="4"/>
  <c r="M317" i="4"/>
  <c r="D317" i="4"/>
  <c r="N316" i="4"/>
  <c r="D316" i="4"/>
  <c r="N315" i="4"/>
  <c r="D315" i="4"/>
  <c r="N314" i="4"/>
  <c r="D314" i="4"/>
  <c r="N313" i="4"/>
  <c r="D313" i="4"/>
  <c r="N312" i="4"/>
  <c r="M312" i="4"/>
  <c r="D312" i="4"/>
  <c r="N311" i="4"/>
  <c r="M311" i="4"/>
  <c r="D311" i="4"/>
  <c r="N310" i="4"/>
  <c r="M310" i="4"/>
  <c r="D310" i="4"/>
  <c r="N309" i="4"/>
  <c r="M309" i="4"/>
  <c r="D309" i="4"/>
  <c r="N308" i="4"/>
  <c r="M308" i="4"/>
  <c r="D308" i="4"/>
  <c r="N307" i="4"/>
  <c r="M307" i="4"/>
  <c r="D307" i="4"/>
  <c r="N306" i="4"/>
  <c r="M306" i="4"/>
  <c r="D306" i="4"/>
  <c r="N305" i="4"/>
  <c r="M305" i="4"/>
  <c r="D305" i="4"/>
  <c r="N304" i="4"/>
  <c r="M304" i="4"/>
  <c r="D304" i="4"/>
  <c r="N303" i="4"/>
  <c r="M303" i="4"/>
  <c r="D303" i="4"/>
  <c r="N302" i="4"/>
  <c r="M302" i="4"/>
  <c r="D302" i="4"/>
  <c r="N301" i="4"/>
  <c r="M301" i="4"/>
  <c r="D301" i="4"/>
  <c r="N300" i="4"/>
  <c r="M300" i="4"/>
  <c r="D300" i="4"/>
  <c r="N299" i="4"/>
  <c r="M299" i="4"/>
  <c r="D299" i="4"/>
  <c r="N298" i="4"/>
  <c r="M298" i="4"/>
  <c r="D298" i="4"/>
  <c r="N297" i="4"/>
  <c r="M297" i="4"/>
  <c r="D297" i="4"/>
  <c r="N296" i="4"/>
  <c r="M296" i="4"/>
  <c r="D296" i="4"/>
  <c r="N295" i="4"/>
  <c r="M295" i="4"/>
  <c r="D295" i="4"/>
  <c r="N294" i="4"/>
  <c r="M294" i="4"/>
  <c r="D294" i="4"/>
  <c r="N293" i="4"/>
  <c r="M293" i="4"/>
  <c r="D293" i="4"/>
  <c r="N292" i="4"/>
  <c r="M292" i="4"/>
  <c r="D292" i="4"/>
  <c r="N291" i="4"/>
  <c r="M291" i="4"/>
  <c r="D291" i="4"/>
  <c r="N290" i="4"/>
  <c r="M290" i="4"/>
  <c r="D290" i="4"/>
  <c r="N289" i="4"/>
  <c r="M289" i="4"/>
  <c r="D289" i="4"/>
  <c r="N288" i="4"/>
  <c r="M288" i="4"/>
  <c r="D288" i="4"/>
  <c r="N287" i="4"/>
  <c r="M287" i="4"/>
  <c r="D287" i="4"/>
  <c r="N286" i="4"/>
  <c r="M286" i="4"/>
  <c r="D286" i="4"/>
  <c r="N285" i="4"/>
  <c r="M285" i="4"/>
  <c r="D285" i="4"/>
  <c r="N284" i="4"/>
  <c r="M284" i="4"/>
  <c r="D284" i="4"/>
  <c r="N283" i="4"/>
  <c r="M283" i="4"/>
  <c r="D283" i="4"/>
  <c r="N282" i="4"/>
  <c r="M282" i="4"/>
  <c r="D282" i="4"/>
  <c r="N281" i="4"/>
  <c r="N280" i="4"/>
  <c r="N279" i="4"/>
  <c r="D279" i="4"/>
  <c r="N278" i="4"/>
  <c r="D278" i="4"/>
  <c r="N277" i="4"/>
  <c r="N276" i="4"/>
  <c r="D276" i="4"/>
  <c r="N275" i="4"/>
  <c r="D275" i="4"/>
  <c r="N274" i="4"/>
  <c r="D274" i="4"/>
  <c r="N273" i="4"/>
  <c r="D273" i="4"/>
  <c r="N272" i="4"/>
  <c r="N271" i="4"/>
  <c r="M271" i="4"/>
  <c r="D271" i="4"/>
  <c r="N270" i="4"/>
  <c r="M270" i="4"/>
  <c r="D270" i="4"/>
  <c r="N269" i="4"/>
  <c r="M269" i="4"/>
  <c r="D269" i="4"/>
  <c r="N268" i="4"/>
  <c r="M268" i="4"/>
  <c r="D268" i="4"/>
  <c r="N267" i="4"/>
  <c r="M267" i="4"/>
  <c r="D267" i="4"/>
  <c r="N266" i="4"/>
  <c r="M266" i="4"/>
  <c r="D266" i="4"/>
  <c r="N265" i="4"/>
  <c r="M265" i="4"/>
  <c r="D265" i="4"/>
  <c r="N264" i="4"/>
  <c r="M264" i="4"/>
  <c r="D264" i="4"/>
  <c r="N263" i="4"/>
  <c r="M263" i="4"/>
  <c r="D263" i="4"/>
  <c r="N262" i="4"/>
  <c r="M262" i="4"/>
  <c r="D262" i="4"/>
  <c r="N261" i="4"/>
  <c r="M261" i="4"/>
  <c r="D261" i="4"/>
  <c r="N260" i="4"/>
  <c r="M260" i="4"/>
  <c r="N259" i="4"/>
  <c r="D259" i="4"/>
  <c r="N258" i="4"/>
  <c r="D258" i="4"/>
  <c r="N257" i="4"/>
  <c r="D257" i="4"/>
  <c r="N256" i="4"/>
  <c r="D256" i="4"/>
  <c r="N255" i="4"/>
  <c r="D255" i="4"/>
  <c r="N254" i="4"/>
  <c r="D254" i="4"/>
  <c r="N253" i="4"/>
  <c r="D253" i="4"/>
  <c r="N252" i="4"/>
  <c r="D252" i="4"/>
  <c r="N251" i="4"/>
  <c r="D251" i="4"/>
  <c r="N250" i="4"/>
  <c r="D250" i="4"/>
  <c r="N249" i="4"/>
  <c r="D249" i="4"/>
  <c r="N248" i="4"/>
  <c r="D248" i="4"/>
  <c r="N247" i="4"/>
  <c r="D247" i="4"/>
  <c r="N246" i="4"/>
  <c r="D246" i="4"/>
  <c r="N245" i="4"/>
  <c r="D245" i="4"/>
  <c r="N244" i="4"/>
  <c r="D244" i="4"/>
  <c r="N243" i="4"/>
  <c r="D243" i="4"/>
  <c r="N242" i="4"/>
  <c r="D242" i="4"/>
  <c r="N241" i="4"/>
  <c r="D241" i="4"/>
  <c r="N240" i="4"/>
  <c r="D240" i="4"/>
  <c r="N239" i="4"/>
  <c r="D239" i="4"/>
  <c r="N238" i="4"/>
  <c r="D238" i="4"/>
  <c r="N237" i="4"/>
  <c r="D237" i="4"/>
  <c r="N236" i="4"/>
  <c r="D236" i="4"/>
  <c r="N235" i="4"/>
  <c r="D235" i="4"/>
  <c r="N234" i="4"/>
  <c r="D234" i="4"/>
  <c r="N233" i="4"/>
  <c r="D233" i="4"/>
  <c r="N232" i="4"/>
  <c r="D232" i="4"/>
  <c r="N231" i="4"/>
  <c r="D231" i="4"/>
  <c r="N230" i="4"/>
  <c r="D230" i="4"/>
  <c r="N229" i="4"/>
  <c r="D229" i="4"/>
  <c r="N228" i="4"/>
  <c r="D228" i="4"/>
  <c r="N227" i="4"/>
  <c r="D227" i="4"/>
  <c r="N226" i="4"/>
  <c r="D226" i="4"/>
  <c r="N225" i="4"/>
  <c r="D225" i="4"/>
  <c r="N224" i="4"/>
  <c r="D224" i="4"/>
  <c r="N223" i="4"/>
  <c r="D223" i="4"/>
  <c r="N222" i="4"/>
  <c r="D222" i="4"/>
  <c r="N221" i="4"/>
  <c r="D221" i="4"/>
  <c r="N220" i="4"/>
  <c r="D220" i="4"/>
  <c r="N219" i="4"/>
  <c r="D219" i="4"/>
  <c r="N218" i="4"/>
  <c r="D218" i="4"/>
  <c r="N217" i="4"/>
  <c r="D217" i="4"/>
  <c r="N216" i="4"/>
  <c r="D216" i="4"/>
  <c r="N215" i="4"/>
  <c r="D215" i="4"/>
  <c r="N214" i="4"/>
  <c r="M214" i="4"/>
  <c r="D214" i="4"/>
  <c r="N213" i="4"/>
  <c r="M213" i="4"/>
  <c r="D213" i="4"/>
  <c r="N212" i="4"/>
  <c r="D212" i="4"/>
  <c r="N211" i="4"/>
  <c r="M211" i="4"/>
  <c r="D211" i="4"/>
  <c r="N210" i="4"/>
  <c r="D210" i="4"/>
  <c r="N209" i="4"/>
  <c r="D209" i="4"/>
  <c r="N208" i="4"/>
  <c r="D208" i="4"/>
  <c r="N207" i="4"/>
  <c r="D207" i="4"/>
  <c r="N206" i="4"/>
  <c r="D206" i="4"/>
  <c r="N205" i="4"/>
  <c r="D205" i="4"/>
  <c r="N204" i="4"/>
  <c r="D204" i="4"/>
  <c r="N203" i="4"/>
  <c r="D203" i="4"/>
  <c r="N202" i="4"/>
  <c r="D202" i="4"/>
  <c r="N201" i="4"/>
  <c r="D201" i="4"/>
  <c r="N200" i="4"/>
  <c r="M200" i="4"/>
  <c r="D200" i="4"/>
  <c r="N199" i="4"/>
  <c r="M199" i="4"/>
  <c r="D199" i="4"/>
  <c r="N198" i="4"/>
  <c r="D198" i="4"/>
  <c r="N197" i="4"/>
  <c r="D197" i="4"/>
  <c r="N196" i="4"/>
  <c r="D196" i="4"/>
  <c r="N195" i="4"/>
  <c r="D195" i="4"/>
  <c r="N194" i="4"/>
  <c r="D194" i="4"/>
  <c r="N193" i="4"/>
  <c r="D193" i="4"/>
  <c r="N192" i="4"/>
  <c r="D192" i="4"/>
  <c r="N191" i="4"/>
  <c r="D191" i="4"/>
  <c r="N190" i="4"/>
  <c r="D190" i="4"/>
  <c r="N189" i="4"/>
  <c r="D189" i="4"/>
  <c r="N188" i="4"/>
  <c r="D188" i="4"/>
  <c r="N187" i="4"/>
  <c r="D187" i="4"/>
  <c r="N186" i="4"/>
  <c r="D186" i="4"/>
  <c r="N185" i="4"/>
  <c r="D185" i="4"/>
  <c r="N184" i="4"/>
  <c r="D184" i="4"/>
  <c r="N183" i="4"/>
  <c r="D183" i="4"/>
  <c r="N182" i="4"/>
  <c r="D182" i="4"/>
  <c r="N181" i="4"/>
  <c r="D181" i="4"/>
  <c r="N180" i="4"/>
  <c r="D180" i="4"/>
  <c r="N179" i="4"/>
  <c r="D179" i="4"/>
  <c r="N178" i="4"/>
  <c r="D178" i="4"/>
  <c r="N177" i="4"/>
  <c r="D177" i="4"/>
  <c r="N176" i="4"/>
  <c r="D176" i="4"/>
  <c r="N175" i="4"/>
  <c r="D175" i="4"/>
  <c r="N174" i="4"/>
  <c r="D174" i="4"/>
  <c r="N173" i="4"/>
  <c r="D173" i="4"/>
  <c r="N172" i="4"/>
  <c r="D172" i="4"/>
  <c r="N171" i="4"/>
  <c r="D171" i="4"/>
  <c r="N170" i="4"/>
  <c r="D170" i="4"/>
  <c r="N169" i="4"/>
  <c r="D169" i="4"/>
  <c r="N168" i="4"/>
  <c r="D168" i="4"/>
  <c r="N167" i="4"/>
  <c r="D167" i="4"/>
  <c r="N166" i="4"/>
  <c r="D166" i="4"/>
  <c r="N165" i="4"/>
  <c r="D165" i="4"/>
  <c r="N164" i="4"/>
  <c r="D164" i="4"/>
  <c r="N163" i="4"/>
  <c r="D163" i="4"/>
  <c r="N162" i="4"/>
  <c r="D162" i="4"/>
  <c r="N161" i="4"/>
  <c r="D161" i="4"/>
  <c r="N160" i="4"/>
  <c r="D160" i="4"/>
  <c r="N159" i="4"/>
  <c r="D159" i="4"/>
  <c r="N158" i="4"/>
  <c r="D158" i="4"/>
  <c r="N157" i="4"/>
  <c r="D157" i="4"/>
  <c r="N156" i="4"/>
  <c r="D156" i="4"/>
  <c r="N155" i="4"/>
  <c r="D155" i="4"/>
  <c r="N154" i="4"/>
  <c r="D154" i="4"/>
  <c r="N153" i="4"/>
  <c r="D153" i="4"/>
  <c r="N152" i="4"/>
  <c r="D152" i="4"/>
  <c r="N151" i="4"/>
  <c r="D151" i="4"/>
  <c r="N150" i="4"/>
  <c r="D150" i="4"/>
  <c r="N149" i="4"/>
  <c r="D149" i="4"/>
  <c r="N148" i="4"/>
  <c r="D148" i="4"/>
  <c r="N147" i="4"/>
  <c r="M147" i="4"/>
  <c r="D147" i="4"/>
  <c r="N146" i="4"/>
  <c r="N145" i="4"/>
  <c r="N144" i="4"/>
  <c r="D144" i="4"/>
  <c r="N143" i="4"/>
  <c r="N142" i="4"/>
  <c r="D142" i="4"/>
  <c r="N141" i="4"/>
  <c r="M141" i="4"/>
  <c r="D141" i="4"/>
  <c r="N140" i="4"/>
  <c r="D140" i="4"/>
  <c r="N139" i="4"/>
  <c r="D139" i="4"/>
  <c r="N138" i="4"/>
  <c r="M138" i="4"/>
  <c r="D138" i="4"/>
  <c r="N137" i="4"/>
  <c r="M137" i="4"/>
  <c r="D137" i="4"/>
  <c r="N136" i="4"/>
  <c r="M136" i="4"/>
  <c r="D136" i="4"/>
  <c r="N135" i="4"/>
  <c r="D135" i="4"/>
  <c r="N134" i="4"/>
  <c r="D134" i="4"/>
  <c r="N133" i="4"/>
  <c r="D133" i="4"/>
  <c r="N132" i="4"/>
  <c r="D132" i="4"/>
  <c r="N131" i="4"/>
  <c r="D131" i="4"/>
  <c r="N130" i="4"/>
  <c r="N129" i="4"/>
  <c r="N128" i="4"/>
  <c r="N127" i="4"/>
  <c r="D127" i="4"/>
  <c r="N126" i="4"/>
  <c r="D126" i="4"/>
  <c r="N125" i="4"/>
  <c r="D125" i="4"/>
  <c r="N124" i="4"/>
  <c r="D124" i="4"/>
  <c r="N123" i="4"/>
  <c r="D123" i="4"/>
  <c r="N122" i="4"/>
  <c r="D122" i="4"/>
  <c r="N121" i="4"/>
  <c r="D121" i="4"/>
  <c r="N120" i="4"/>
  <c r="D120" i="4"/>
  <c r="N119" i="4"/>
  <c r="D119" i="4"/>
  <c r="N118" i="4"/>
  <c r="D118" i="4"/>
  <c r="N117" i="4"/>
  <c r="D117" i="4"/>
  <c r="N116" i="4"/>
  <c r="D116" i="4"/>
  <c r="N115" i="4"/>
  <c r="D115" i="4"/>
  <c r="N114" i="4"/>
  <c r="D114" i="4"/>
  <c r="N113" i="4"/>
  <c r="D113" i="4"/>
  <c r="N112" i="4"/>
  <c r="D112" i="4"/>
  <c r="N111" i="4"/>
  <c r="D111" i="4"/>
  <c r="N110" i="4"/>
  <c r="D110" i="4"/>
  <c r="N109" i="4"/>
  <c r="D109" i="4"/>
  <c r="N108" i="4"/>
  <c r="D108" i="4"/>
  <c r="N107" i="4"/>
  <c r="D107" i="4"/>
  <c r="N106" i="4"/>
  <c r="D106" i="4"/>
  <c r="N105" i="4"/>
  <c r="D105" i="4"/>
  <c r="N104" i="4"/>
  <c r="D104" i="4"/>
  <c r="N103" i="4"/>
  <c r="D103" i="4"/>
  <c r="N102" i="4"/>
  <c r="D102" i="4"/>
  <c r="N101" i="4"/>
  <c r="D101" i="4"/>
  <c r="N100" i="4"/>
  <c r="D100" i="4"/>
  <c r="N99" i="4"/>
  <c r="D99" i="4"/>
  <c r="N98" i="4"/>
  <c r="D98" i="4"/>
  <c r="N97" i="4"/>
  <c r="D97" i="4"/>
  <c r="N96" i="4"/>
  <c r="D96" i="4"/>
  <c r="N95" i="4"/>
  <c r="D95" i="4"/>
  <c r="N94" i="4"/>
  <c r="D94" i="4"/>
  <c r="N93" i="4"/>
  <c r="D93" i="4"/>
  <c r="N92" i="4"/>
  <c r="D92" i="4"/>
  <c r="N91" i="4"/>
  <c r="D91" i="4"/>
  <c r="N90" i="4"/>
  <c r="D90" i="4"/>
  <c r="N89" i="4"/>
  <c r="D89" i="4"/>
  <c r="N88" i="4"/>
  <c r="D88" i="4"/>
  <c r="N87" i="4"/>
  <c r="D87" i="4"/>
  <c r="N86" i="4"/>
  <c r="D86" i="4"/>
  <c r="N85" i="4"/>
  <c r="D85" i="4"/>
  <c r="N84" i="4"/>
  <c r="D84" i="4"/>
  <c r="N83" i="4"/>
  <c r="D83" i="4"/>
  <c r="N82" i="4"/>
  <c r="D82" i="4"/>
  <c r="N81" i="4"/>
  <c r="D81" i="4"/>
  <c r="N80" i="4"/>
  <c r="D80" i="4"/>
  <c r="N79" i="4"/>
  <c r="D79" i="4"/>
  <c r="N78" i="4"/>
  <c r="D78" i="4"/>
  <c r="N77" i="4"/>
  <c r="D77" i="4"/>
  <c r="N76" i="4"/>
  <c r="D76" i="4"/>
  <c r="N75" i="4"/>
  <c r="M75" i="4"/>
  <c r="D75" i="4"/>
  <c r="N74" i="4"/>
  <c r="D74" i="4"/>
  <c r="N73" i="4"/>
  <c r="D73" i="4"/>
  <c r="N72" i="4"/>
  <c r="D72" i="4"/>
  <c r="N71" i="4"/>
  <c r="D71" i="4"/>
  <c r="N70" i="4"/>
  <c r="M70" i="4"/>
  <c r="D70" i="4"/>
  <c r="N69" i="4"/>
  <c r="D69" i="4"/>
  <c r="N68" i="4"/>
  <c r="D68" i="4"/>
  <c r="N67" i="4"/>
  <c r="D67" i="4"/>
  <c r="N66" i="4"/>
  <c r="D66" i="4"/>
  <c r="N65" i="4"/>
  <c r="D65" i="4"/>
  <c r="N64" i="4"/>
  <c r="D64" i="4"/>
  <c r="N63" i="4"/>
  <c r="D63" i="4"/>
  <c r="N62" i="4"/>
  <c r="D62" i="4"/>
  <c r="N61" i="4"/>
  <c r="D61" i="4"/>
  <c r="N60" i="4"/>
  <c r="D60" i="4"/>
  <c r="N59" i="4"/>
  <c r="D59" i="4"/>
  <c r="N58" i="4"/>
  <c r="D58" i="4"/>
  <c r="N57" i="4"/>
  <c r="D57" i="4"/>
  <c r="N56" i="4"/>
  <c r="D56" i="4"/>
  <c r="N55" i="4"/>
  <c r="D55" i="4"/>
  <c r="N54" i="4"/>
  <c r="D54" i="4"/>
  <c r="N53" i="4"/>
  <c r="D53" i="4"/>
  <c r="N52" i="4"/>
  <c r="D52" i="4"/>
  <c r="N51" i="4"/>
  <c r="D51" i="4"/>
  <c r="N50" i="4"/>
  <c r="D50" i="4"/>
  <c r="N49" i="4"/>
  <c r="D49" i="4"/>
  <c r="N48" i="4"/>
  <c r="D48" i="4"/>
  <c r="N47" i="4"/>
  <c r="D47" i="4"/>
  <c r="N46" i="4"/>
  <c r="D46" i="4"/>
  <c r="N45" i="4"/>
  <c r="D45" i="4"/>
  <c r="N44" i="4"/>
  <c r="D44" i="4"/>
  <c r="N43" i="4"/>
  <c r="D43" i="4"/>
  <c r="N42" i="4"/>
  <c r="D42" i="4"/>
  <c r="N41" i="4"/>
  <c r="D41" i="4"/>
  <c r="N40" i="4"/>
  <c r="D40" i="4"/>
  <c r="N39" i="4"/>
  <c r="D39" i="4"/>
  <c r="N38" i="4"/>
  <c r="D38" i="4"/>
  <c r="N37" i="4"/>
  <c r="D37" i="4"/>
  <c r="N36" i="4"/>
  <c r="D36" i="4"/>
  <c r="N35" i="4"/>
  <c r="D35" i="4"/>
  <c r="N34" i="4"/>
  <c r="D34" i="4"/>
  <c r="N33" i="4"/>
  <c r="D33" i="4"/>
  <c r="N32" i="4"/>
  <c r="D32" i="4"/>
  <c r="N31" i="4"/>
  <c r="D31" i="4"/>
  <c r="N30" i="4"/>
  <c r="D30" i="4"/>
  <c r="N29" i="4"/>
  <c r="D29" i="4"/>
  <c r="N28" i="4"/>
  <c r="D28" i="4"/>
  <c r="N27" i="4"/>
  <c r="D27" i="4"/>
  <c r="N26" i="4"/>
  <c r="D26" i="4"/>
  <c r="N25" i="4"/>
  <c r="D25" i="4"/>
  <c r="N24" i="4"/>
  <c r="D24" i="4"/>
  <c r="N23" i="4"/>
  <c r="D23" i="4"/>
  <c r="N22" i="4"/>
  <c r="D22" i="4"/>
  <c r="N21" i="4"/>
  <c r="D21" i="4"/>
  <c r="N20" i="4"/>
  <c r="D20" i="4"/>
  <c r="N19" i="4"/>
  <c r="D19" i="4"/>
  <c r="N18" i="4"/>
  <c r="D18" i="4"/>
  <c r="N17" i="4"/>
  <c r="D17" i="4"/>
  <c r="N16" i="4"/>
  <c r="D16" i="4"/>
  <c r="N15" i="4"/>
  <c r="D15" i="4"/>
  <c r="N14" i="4"/>
  <c r="D14" i="4"/>
  <c r="N13" i="4"/>
  <c r="D13" i="4"/>
  <c r="N12" i="4"/>
  <c r="D12" i="4"/>
  <c r="N11" i="4"/>
  <c r="D11" i="4"/>
  <c r="N10" i="4"/>
  <c r="D10" i="4"/>
  <c r="N9" i="4"/>
  <c r="D9" i="4"/>
  <c r="N8" i="4"/>
  <c r="D8" i="4"/>
  <c r="N7" i="4"/>
  <c r="D7" i="4"/>
  <c r="N6" i="4"/>
  <c r="D6" i="4"/>
  <c r="N5" i="4"/>
  <c r="D5" i="4"/>
  <c r="N4" i="4"/>
  <c r="D4" i="4"/>
  <c r="N3" i="4"/>
  <c r="D3" i="4"/>
  <c r="N2" i="4"/>
  <c r="D2" i="4"/>
</calcChain>
</file>

<file path=xl/sharedStrings.xml><?xml version="1.0" encoding="utf-8"?>
<sst xmlns="http://schemas.openxmlformats.org/spreadsheetml/2006/main" count="19116" uniqueCount="1676">
  <si>
    <t>sku_code</t>
  </si>
  <si>
    <t>description</t>
  </si>
  <si>
    <t>pcs_cb</t>
  </si>
  <si>
    <t>kg_cb</t>
  </si>
  <si>
    <t>size</t>
  </si>
  <si>
    <t>country</t>
  </si>
  <si>
    <t>brand</t>
  </si>
  <si>
    <t>sub_brand</t>
  </si>
  <si>
    <t>category</t>
  </si>
  <si>
    <t>big_category</t>
  </si>
  <si>
    <t>house</t>
  </si>
  <si>
    <t>region</t>
  </si>
  <si>
    <t>speed</t>
  </si>
  <si>
    <t>pack_format</t>
  </si>
  <si>
    <t>line</t>
  </si>
  <si>
    <t>output</t>
  </si>
  <si>
    <t>71576</t>
  </si>
  <si>
    <t>NB RYL PREMATURE PRO+ 12X400G CN (MD)</t>
  </si>
  <si>
    <t>Indonesia</t>
  </si>
  <si>
    <t>Nutrilon</t>
  </si>
  <si>
    <t>Nut Specialties</t>
  </si>
  <si>
    <t>Preterm</t>
  </si>
  <si>
    <t>TN</t>
  </si>
  <si>
    <t>Blue</t>
  </si>
  <si>
    <t>WEST</t>
  </si>
  <si>
    <t>POWDER</t>
  </si>
  <si>
    <t>91031</t>
  </si>
  <si>
    <t>DUMEX HI-Q LACTOSE FREE 24X400G CN (TH)</t>
  </si>
  <si>
    <t>Thailand</t>
  </si>
  <si>
    <t>Export</t>
  </si>
  <si>
    <t>Specialties</t>
  </si>
  <si>
    <t>96011</t>
  </si>
  <si>
    <t>NB RYL HA ALLERPRE 2 PRO+(12X400G CN)</t>
  </si>
  <si>
    <t>HA</t>
  </si>
  <si>
    <t>97083</t>
  </si>
  <si>
    <t>NUTRIBABY ROYAL ACTI DUOBIO 1 800GR</t>
  </si>
  <si>
    <t>Nutribaby 1</t>
  </si>
  <si>
    <t>NR IF</t>
  </si>
  <si>
    <t>IF</t>
  </si>
  <si>
    <t>97084</t>
  </si>
  <si>
    <t>NUTRIBABY ROYAL ACTI DUOBIO 2 800GR</t>
  </si>
  <si>
    <t>Nutribaby 2</t>
  </si>
  <si>
    <t>FO</t>
  </si>
  <si>
    <t>97420</t>
  </si>
  <si>
    <t>NUTRIBABY ROYAL ACTI DUOBIO 1 400GR</t>
  </si>
  <si>
    <t>97431</t>
  </si>
  <si>
    <t>NUTRIBABY ROYAL ACTI DUOBIO 2 400GR</t>
  </si>
  <si>
    <t>EAST</t>
  </si>
  <si>
    <t>99427</t>
  </si>
  <si>
    <t>DUGRO SOY 24X200 G FB</t>
  </si>
  <si>
    <t>Malaysia</t>
  </si>
  <si>
    <t>Soya GUM</t>
  </si>
  <si>
    <t>99428</t>
  </si>
  <si>
    <t>DUGRO SOY 24X400 G FB</t>
  </si>
  <si>
    <t>99429</t>
  </si>
  <si>
    <t>DUPRO SOY 24X400 G FB</t>
  </si>
  <si>
    <t>Soya IF</t>
  </si>
  <si>
    <t>99577</t>
  </si>
  <si>
    <t>COW &amp; GATE BLUE 24X400G CN (LK)</t>
  </si>
  <si>
    <t>SriLanka</t>
  </si>
  <si>
    <t>99578</t>
  </si>
  <si>
    <t>COW &amp; GATE FORMULA S N2 24X200G FB (LK)</t>
  </si>
  <si>
    <t>Soya FO</t>
  </si>
  <si>
    <t>99741</t>
  </si>
  <si>
    <t>COW &amp; GATE PREMIUM 1 24X200G FB (LK)</t>
  </si>
  <si>
    <t>99742</t>
  </si>
  <si>
    <t>COW &amp; GATE PREMIUM 1 24X400G CN (LK)</t>
  </si>
  <si>
    <t>99747</t>
  </si>
  <si>
    <t>COW &amp; GATE BLUE 24X200G FB (LK)</t>
  </si>
  <si>
    <t>104713</t>
  </si>
  <si>
    <t>KARICARE SOY 3X900G CN (AUS/NZ) ND</t>
  </si>
  <si>
    <t>Australia</t>
  </si>
  <si>
    <t>106546</t>
  </si>
  <si>
    <t>MAMEX FL 24X400 G CN(MAL) ND</t>
  </si>
  <si>
    <t>106550</t>
  </si>
  <si>
    <t>APTAMIL FL 24X400 G CN (MM)</t>
  </si>
  <si>
    <t>119419</t>
  </si>
  <si>
    <t>SGM BBLR PRESI+ 24X400G FB LUM 2.0</t>
  </si>
  <si>
    <t>126631</t>
  </si>
  <si>
    <t>BEBELOVE 1 HiQEQ 24X400G FB RS</t>
  </si>
  <si>
    <t>Bebelac</t>
  </si>
  <si>
    <t>Bebelove 1</t>
  </si>
  <si>
    <t>Bebelac IF</t>
  </si>
  <si>
    <t>Yellow</t>
  </si>
  <si>
    <t>126632</t>
  </si>
  <si>
    <t>BEBELOVE 1 HiQEQ 12X800G CN RS</t>
  </si>
  <si>
    <t>126633</t>
  </si>
  <si>
    <t>BEBELOVE 1 HiQEQ 24X200G FB RS</t>
  </si>
  <si>
    <t>126634</t>
  </si>
  <si>
    <t>BEBELOVE 1 HiQEQ 6X2X900G MP RS</t>
  </si>
  <si>
    <t>126636</t>
  </si>
  <si>
    <t>BEBELOVE 2 HiQEQ 24X200G FB RS</t>
  </si>
  <si>
    <t>Bebelove 2</t>
  </si>
  <si>
    <t>Bebelac FO</t>
  </si>
  <si>
    <t>126637</t>
  </si>
  <si>
    <t>BEBELOVE 2 HiQEQ 24X400G FB RS</t>
  </si>
  <si>
    <t>126638</t>
  </si>
  <si>
    <t>BEBELOVE 2 HiQEQ 12X800G CN RS</t>
  </si>
  <si>
    <t>128113</t>
  </si>
  <si>
    <t>DUMEX MAMIL GOLD SOY3 24X400 G CN (SG)</t>
  </si>
  <si>
    <t>Singapore</t>
  </si>
  <si>
    <t>128114</t>
  </si>
  <si>
    <t>DUMEX MAMIL GOLD SOY3 12X800 G CN (SG)</t>
  </si>
  <si>
    <t>128115</t>
  </si>
  <si>
    <t>DUMEX MAMIL GOLD SOY 1 3X900 G CN (SG)</t>
  </si>
  <si>
    <t>129860</t>
  </si>
  <si>
    <t>SGM LLM PRESINUTRI+ 24X400G FB GRD</t>
  </si>
  <si>
    <t>SGM</t>
  </si>
  <si>
    <t>LLM</t>
  </si>
  <si>
    <t>Low Lactose</t>
  </si>
  <si>
    <t>Red</t>
  </si>
  <si>
    <t>130061</t>
  </si>
  <si>
    <t>SGM LLM PRESINUTRI+ 24X200G FB GRD</t>
  </si>
  <si>
    <t>130065</t>
  </si>
  <si>
    <t>SGM SOYA ANANDA 6-12 24X400G FB GRD</t>
  </si>
  <si>
    <t>SGM Soya 2</t>
  </si>
  <si>
    <t>130066</t>
  </si>
  <si>
    <t>SGM SOYA ANANDA 6-12 10X700G FB GRD</t>
  </si>
  <si>
    <t>130067</t>
  </si>
  <si>
    <t>SGM SOYA ANANDA 0-6 24X200G FB GRD</t>
  </si>
  <si>
    <t>SGM Soya 1</t>
  </si>
  <si>
    <t>130068</t>
  </si>
  <si>
    <t>SGM SOYA EKSPLOR HNY 24X400G FB GRD</t>
  </si>
  <si>
    <t>SGM Soya 3</t>
  </si>
  <si>
    <t>130069</t>
  </si>
  <si>
    <t>SGM SOYA EKSPLOR HNY 10X700G FB GRD</t>
  </si>
  <si>
    <t>130070</t>
  </si>
  <si>
    <t>SGM SOYA EKSPLOR VAN 24X400G FB GRD</t>
  </si>
  <si>
    <t>130071</t>
  </si>
  <si>
    <t>SGM SOYA EKSPLOR VAN 10X700G FB GRD</t>
  </si>
  <si>
    <t>130074</t>
  </si>
  <si>
    <t>SGM BBLR PRESI+ 24X400G FB GRD</t>
  </si>
  <si>
    <t>BBLR</t>
  </si>
  <si>
    <t>130075</t>
  </si>
  <si>
    <t>SGM BBLR PRESI+ 24X200G FB GRD</t>
  </si>
  <si>
    <t>130383</t>
  </si>
  <si>
    <t>SG LACTOSE FREE 24X400G CN (MM)</t>
  </si>
  <si>
    <t>Myanmar</t>
  </si>
  <si>
    <t>130385</t>
  </si>
  <si>
    <t>COW&amp;GATE ALMIRON 24X400G CN (PK) NEW</t>
  </si>
  <si>
    <t>Pakistan</t>
  </si>
  <si>
    <t>130386</t>
  </si>
  <si>
    <t>COW&amp;GATE ALMIRON 24X200G FB (PK) NEW</t>
  </si>
  <si>
    <t>130824</t>
  </si>
  <si>
    <t>KARICARE SOY 3X900G CN (AUS/NZ)</t>
  </si>
  <si>
    <t>130861</t>
  </si>
  <si>
    <t>SG LACTOSE FREE 24X400G CN (KH)</t>
  </si>
  <si>
    <t>Cambodia</t>
  </si>
  <si>
    <t>133083</t>
  </si>
  <si>
    <t>COW &amp; GATE BLUE 24X200G FB (LK) NR</t>
  </si>
  <si>
    <t>133084</t>
  </si>
  <si>
    <t>COW &amp; GATE BLUE 24X400G CN (LK) NR</t>
  </si>
  <si>
    <t>133085</t>
  </si>
  <si>
    <t>COW &amp; GATE FORM S 24X200G FB (LK) NR</t>
  </si>
  <si>
    <t>133086</t>
  </si>
  <si>
    <t>COW &amp; GATE NX ST 4 24X400G CN (LK) NR</t>
  </si>
  <si>
    <t>GUM</t>
  </si>
  <si>
    <t>133087</t>
  </si>
  <si>
    <t>COW &amp; GATE PREM 1 24X200G FB (LK) NR</t>
  </si>
  <si>
    <t>133088</t>
  </si>
  <si>
    <t>COW &amp; GATE PREM 1 24X400G CN (LK) NR</t>
  </si>
  <si>
    <t>133090</t>
  </si>
  <si>
    <t>COW &amp; GATE ST UP 3 24X200G FB (LK) NR</t>
  </si>
  <si>
    <t>133261</t>
  </si>
  <si>
    <t>COW &amp; GATE ST UP 3 24X400G CN (LK) NR</t>
  </si>
  <si>
    <t>133983</t>
  </si>
  <si>
    <t>NL ROYAL 3 VAN 24X400G FB BS</t>
  </si>
  <si>
    <t>Nut Royal 3</t>
  </si>
  <si>
    <t>133984</t>
  </si>
  <si>
    <t>NL ROYAL 4 HNY 24X400G FB BS</t>
  </si>
  <si>
    <t>Nut Royal 4</t>
  </si>
  <si>
    <t>133985</t>
  </si>
  <si>
    <t>NL ROYAL 4 VAN 24X400G FB BS</t>
  </si>
  <si>
    <t>134025</t>
  </si>
  <si>
    <t>NL ROYAL 3 HNY 6X2X900G MP BS</t>
  </si>
  <si>
    <t>134026</t>
  </si>
  <si>
    <t>NL ROYAL 3 HNY 24X400G FB BS</t>
  </si>
  <si>
    <t>134027</t>
  </si>
  <si>
    <t>NL ROYAL 3 VAN 6X2X900G MP BS</t>
  </si>
  <si>
    <t>134031</t>
  </si>
  <si>
    <t>NL ROYAL 3 HNY 12X800G CN BS</t>
  </si>
  <si>
    <t>134032</t>
  </si>
  <si>
    <t>NL ROYAL 3 VAN 12X800G CN BS</t>
  </si>
  <si>
    <t>134033</t>
  </si>
  <si>
    <t>NL ROYAL 4 HNY 12X800G CN BS</t>
  </si>
  <si>
    <t>134034</t>
  </si>
  <si>
    <t>NL ROYAL 4 VAN 12X800G CN BS</t>
  </si>
  <si>
    <t>134388</t>
  </si>
  <si>
    <t>BEBELOVE GOLD 1 24X160G FB GL 2.0</t>
  </si>
  <si>
    <t>Bebelove Gold 1</t>
  </si>
  <si>
    <t>Bgold IF</t>
  </si>
  <si>
    <t>134389</t>
  </si>
  <si>
    <t>BEBELOVE GOLD 1 24X360G FB GL 2.0</t>
  </si>
  <si>
    <t>134418</t>
  </si>
  <si>
    <t>BEBELOVE GOLD 1 10X700G FB GL 2.0</t>
  </si>
  <si>
    <t>134420</t>
  </si>
  <si>
    <t>BEBELOVE GOLD 2 24X360G FB GL 2.0</t>
  </si>
  <si>
    <t>Bebelove Gold 2</t>
  </si>
  <si>
    <t>Bgold FO</t>
  </si>
  <si>
    <t>134593</t>
  </si>
  <si>
    <t>BEBELAC GOLD 3 HNY 24X360G FB GL 2.0</t>
  </si>
  <si>
    <t>Bebelac Gold 3</t>
  </si>
  <si>
    <t>Bgold GUM</t>
  </si>
  <si>
    <t>134594</t>
  </si>
  <si>
    <t>BEBELAC GOLD 3 HNY 10X700G FB GL 2.0</t>
  </si>
  <si>
    <t>AB</t>
  </si>
  <si>
    <t>134683</t>
  </si>
  <si>
    <t>BEBELAC GOLD 3 VAN 24X360G FB GL 2.0</t>
  </si>
  <si>
    <t>134684</t>
  </si>
  <si>
    <t>BEBELAC GOLD 3 VAN 10X700G FB GL 2.0</t>
  </si>
  <si>
    <t>136149</t>
  </si>
  <si>
    <t>DUGRO SOY 3 VAN 24X400 G FB (TH)</t>
  </si>
  <si>
    <t>136150</t>
  </si>
  <si>
    <t>DUGRO SOY 3 VAN 6X2X800 G FB (TH)</t>
  </si>
  <si>
    <t>137829</t>
  </si>
  <si>
    <t>NL ROYAL 4 VAN 6X2X900G MP BS</t>
  </si>
  <si>
    <t>GH</t>
  </si>
  <si>
    <t>137931</t>
  </si>
  <si>
    <t>NL ROYAL SOYA 3 VAN 6X2X700G MP BS</t>
  </si>
  <si>
    <t>NR Soya 3</t>
  </si>
  <si>
    <t>137932</t>
  </si>
  <si>
    <t>NL ROYAL SOYA 3 VAN 24X350G FB BS</t>
  </si>
  <si>
    <t>137933</t>
  </si>
  <si>
    <t>NL ROYAL SOYA 4 VAN 24X350G FB BS</t>
  </si>
  <si>
    <t>NR Soya 4</t>
  </si>
  <si>
    <t>137934</t>
  </si>
  <si>
    <t>NB ROYAL SOYA 2 24X350G FB BS</t>
  </si>
  <si>
    <t>NR Soya 2</t>
  </si>
  <si>
    <t>137935</t>
  </si>
  <si>
    <t>NB ROYAL SOYA 2 12X700G CN BS</t>
  </si>
  <si>
    <t>137936</t>
  </si>
  <si>
    <t>NL ROYAL SOYA 3 VAN 12X700G CN BS</t>
  </si>
  <si>
    <t>137937</t>
  </si>
  <si>
    <t>NB ROYAL SOYA 1 24X350G FB BS</t>
  </si>
  <si>
    <t>NR Soya 1</t>
  </si>
  <si>
    <t>140328</t>
  </si>
  <si>
    <t>BEBELAC 5 HNY HiQEQ 10X700G FB PDW</t>
  </si>
  <si>
    <t>Bebelac 5</t>
  </si>
  <si>
    <t>Bebelac GUM</t>
  </si>
  <si>
    <t>143632</t>
  </si>
  <si>
    <t>DUPRO 1 IF 24X350G CN (BN) MYC</t>
  </si>
  <si>
    <t>Brunei</t>
  </si>
  <si>
    <t>144064</t>
  </si>
  <si>
    <t>SG ST 1 24X400G CN (KH) MYC</t>
  </si>
  <si>
    <t>145377</t>
  </si>
  <si>
    <t>SG ST1 12X800G CN (KH) MYC</t>
  </si>
  <si>
    <t>145379</t>
  </si>
  <si>
    <t>SG ST2 12X800G CN (KH) MYC</t>
  </si>
  <si>
    <t>146171</t>
  </si>
  <si>
    <t>DUMEX MAMIL MAMA 12X850G SG NATURE MYC</t>
  </si>
  <si>
    <t>P&amp;BF</t>
  </si>
  <si>
    <t>146175</t>
  </si>
  <si>
    <t>DUGRO ST3 12X800G CN (KH) REJ MYC</t>
  </si>
  <si>
    <t>147029</t>
  </si>
  <si>
    <t xml:space="preserve">COW &amp; GATE BLUE 2 24X350G FB (LK) </t>
  </si>
  <si>
    <t>147031</t>
  </si>
  <si>
    <t>COW &amp; GATE PREM 1 24X350G FB (LK)</t>
  </si>
  <si>
    <t>147667</t>
  </si>
  <si>
    <t>NL ROYAL 3 HNY 6X2X900G MP BS2.0</t>
  </si>
  <si>
    <t>147668</t>
  </si>
  <si>
    <t>NL ROYAL 3 VAN 6X2X900G MP BS2.0</t>
  </si>
  <si>
    <t>147669</t>
  </si>
  <si>
    <t>NL ROYAL 3 VAN 24X400G FB BS2.0</t>
  </si>
  <si>
    <t>147670</t>
  </si>
  <si>
    <t>NL ROYAL 3 HNY 24X400G FB BS2.0</t>
  </si>
  <si>
    <t>147671</t>
  </si>
  <si>
    <t>NL ROYAL 3 VAN 12X800G CN BS2.0</t>
  </si>
  <si>
    <t>147672</t>
  </si>
  <si>
    <t>NL ROYAL 3 HNY 12X800G CN BS2.0</t>
  </si>
  <si>
    <t>149698</t>
  </si>
  <si>
    <t>SG MAMA 24X400G CN (KH) MYC</t>
  </si>
  <si>
    <t>149701</t>
  </si>
  <si>
    <t>DUMEX MAMIL MAMA 24X400G SG NTR MYC</t>
  </si>
  <si>
    <t>149881</t>
  </si>
  <si>
    <t>DUPRO IF 12X800G CN (KH) MYC</t>
  </si>
  <si>
    <t>149882</t>
  </si>
  <si>
    <t>DUMEX DUPRO IF 12X800G CN (MM) MYC</t>
  </si>
  <si>
    <t>149883</t>
  </si>
  <si>
    <t>DUPRO 1 IF 12X800G CN (BN) MYC</t>
  </si>
  <si>
    <t>149885</t>
  </si>
  <si>
    <t>DUMEX DULAC ST1 12X800G SG CAN MYC</t>
  </si>
  <si>
    <t>149886</t>
  </si>
  <si>
    <t>DUMEX SGDUL 1 12X800G CN (MM) MYC</t>
  </si>
  <si>
    <t>149887</t>
  </si>
  <si>
    <t>BEBELAC 1 IF 12X800G CN (MY) BH MYC</t>
  </si>
  <si>
    <t>149888</t>
  </si>
  <si>
    <t>DUPRO FO 12X800G CN (KH) MYC</t>
  </si>
  <si>
    <t>149889</t>
  </si>
  <si>
    <t>DUMEX DUPRO FO 12X800G CN (MM) MYC</t>
  </si>
  <si>
    <t>149890</t>
  </si>
  <si>
    <t>DUPRO 2 FO 12X800G CN (BN) MYC</t>
  </si>
  <si>
    <t>149891</t>
  </si>
  <si>
    <t>DUMEX DULAC ST 2 12X800G SG CAN MYC</t>
  </si>
  <si>
    <t>149894</t>
  </si>
  <si>
    <t>DUMEX SGDUP 2 12X800G CN (MM) MYC</t>
  </si>
  <si>
    <t>149895</t>
  </si>
  <si>
    <t>BEBELAC 2 FO 12X800G CN (MY) BH MYC</t>
  </si>
  <si>
    <t>149897</t>
  </si>
  <si>
    <t>DUMEX DUGRO2+ REG 12X800G CN(MM) MYC</t>
  </si>
  <si>
    <t>149901</t>
  </si>
  <si>
    <t>BEBEGRO ST3 12x800G (MY)MYC</t>
  </si>
  <si>
    <t>149902</t>
  </si>
  <si>
    <t>DUMEX SG DUGRO 3 12X800G CN (MY) MYC</t>
  </si>
  <si>
    <t>149907</t>
  </si>
  <si>
    <t>DUPRO IF 24X400G CN (KH) MYC</t>
  </si>
  <si>
    <t>149909</t>
  </si>
  <si>
    <t>DUMEX DUPRO IF 24X400G CN (MM) MYC</t>
  </si>
  <si>
    <t>149910</t>
  </si>
  <si>
    <t>BEBELAC 1 IF 24X400G CN (MY) BH MYC</t>
  </si>
  <si>
    <t>149911</t>
  </si>
  <si>
    <t>DUPRO FO 24X400G CN (KH) MYC</t>
  </si>
  <si>
    <t>149912</t>
  </si>
  <si>
    <t>DUMEX DUPRO FO 24X400G CN (MM) MYC</t>
  </si>
  <si>
    <t>149913</t>
  </si>
  <si>
    <t>DUMEX SG MAMA0 24X400G CN (MM) MYC</t>
  </si>
  <si>
    <t>150063</t>
  </si>
  <si>
    <t>DUMEX FL 24X400G CN (TH) NR</t>
  </si>
  <si>
    <t>150154</t>
  </si>
  <si>
    <t>DUGRO SOY 24X200 G FB (MY) SR</t>
  </si>
  <si>
    <t>150155</t>
  </si>
  <si>
    <t>DUPRO SOY 24X400 G FB (MY) SR</t>
  </si>
  <si>
    <t>150159</t>
  </si>
  <si>
    <t>DUGRO SOY 24X400 G FB (MY) SR</t>
  </si>
  <si>
    <t>150162</t>
  </si>
  <si>
    <t>DUGRO SOY 3 VAN 24X400 G FB (TH) SR</t>
  </si>
  <si>
    <t>150163</t>
  </si>
  <si>
    <t>DUGRO SOY 3 VAN 6X2X800 G FB (TH) SR</t>
  </si>
  <si>
    <t>150164</t>
  </si>
  <si>
    <t>DUGRO SOY 24X200 G FB (TH) SR</t>
  </si>
  <si>
    <t>153903</t>
  </si>
  <si>
    <t>MAMIL GOLD SOY3 12X800G CN (SG) NR</t>
  </si>
  <si>
    <t>153904</t>
  </si>
  <si>
    <t>MAMIL GOLD SOY3 24X400G CN (SG) NR</t>
  </si>
  <si>
    <t>153905</t>
  </si>
  <si>
    <t>MAMIL GOLD SOY 1 3X900G CN (SG) NR</t>
  </si>
  <si>
    <t>153976</t>
  </si>
  <si>
    <t>HI-Q SOY 400G FB (TH) NR SR</t>
  </si>
  <si>
    <t>153977</t>
  </si>
  <si>
    <t>HI-Q SOY 1+  24X400G FB (TH) SR</t>
  </si>
  <si>
    <t>154011</t>
  </si>
  <si>
    <t>BEBELOVE 2 HiQEQ 24X200G FB PH</t>
  </si>
  <si>
    <t>154099</t>
  </si>
  <si>
    <t>BEBELOVE 1 HiQEQ 24X200G FB PH</t>
  </si>
  <si>
    <t>155423</t>
  </si>
  <si>
    <t>DUPRO PRETERM 24X400G FB (MM/KH) SR</t>
  </si>
  <si>
    <t>155425</t>
  </si>
  <si>
    <t>COW &amp; GATE ST UP 3 24X350G FB (LK) NO</t>
  </si>
  <si>
    <t>155426</t>
  </si>
  <si>
    <t>COW &amp; GATE NX ST 4 24X350G FB (LK) NO</t>
  </si>
  <si>
    <t>155459</t>
  </si>
  <si>
    <t>COW &amp; GATE ST UP 3 24X200G FB (LK) NO</t>
  </si>
  <si>
    <t>XY</t>
  </si>
  <si>
    <t>156828</t>
  </si>
  <si>
    <t>APTAMIL PEPTI JUNIOR 6X400G CN</t>
  </si>
  <si>
    <t>MEA</t>
  </si>
  <si>
    <t>Pepti</t>
  </si>
  <si>
    <t>156886</t>
  </si>
  <si>
    <t>NB ROYAL PEPTI JUNIOR 6X400G CN</t>
  </si>
  <si>
    <t>157937</t>
  </si>
  <si>
    <t>SGM BUNDA CHOCO 21X300G FB GRD 2.0</t>
  </si>
  <si>
    <t>SGM Bunda</t>
  </si>
  <si>
    <t>SGM P&amp;BF</t>
  </si>
  <si>
    <t>TU</t>
  </si>
  <si>
    <t>158209</t>
  </si>
  <si>
    <t>SGM ANANDA 0-6 24X400G FB GRD 2.0</t>
  </si>
  <si>
    <t>SGM 1</t>
  </si>
  <si>
    <t>SGM IF</t>
  </si>
  <si>
    <t>158210</t>
  </si>
  <si>
    <t>SGM ANANDA 0-6 48X120G FB GRD 2.0</t>
  </si>
  <si>
    <t>158211</t>
  </si>
  <si>
    <t>SGM ANANDA 0-6 48X150G FB GRD 2.0</t>
  </si>
  <si>
    <t>158212</t>
  </si>
  <si>
    <t>SGM ANANDA 0-6 12X600G FB GRD 2.0</t>
  </si>
  <si>
    <t>158213</t>
  </si>
  <si>
    <t>SGM ANANDA 0-6 10X1000G FB GRD 2.0</t>
  </si>
  <si>
    <t>158328</t>
  </si>
  <si>
    <t>SGM BUNDA IHIM CHOCO 48X150G FB GRD2.0</t>
  </si>
  <si>
    <t>VW</t>
  </si>
  <si>
    <t>158494</t>
  </si>
  <si>
    <t>BEBELOVE GOLD SOY 2 24X360G FB BCS</t>
  </si>
  <si>
    <t>Bebelac Gold Soy 2</t>
  </si>
  <si>
    <t>Bgold Soy FO</t>
  </si>
  <si>
    <t>158503</t>
  </si>
  <si>
    <t>BEBELAC GOLD SOY 3 VAN 24X360G FB BCS</t>
  </si>
  <si>
    <t>Bebelac Gold Soy 3</t>
  </si>
  <si>
    <t>Bgold Soy GUM</t>
  </si>
  <si>
    <t>159081</t>
  </si>
  <si>
    <t>BEBELOVE GOLD SOY 1 24X170G FB BCS</t>
  </si>
  <si>
    <t>Bebelac Gold Soy 1</t>
  </si>
  <si>
    <t>Bgold Soy IF</t>
  </si>
  <si>
    <t>160828</t>
  </si>
  <si>
    <t>BEBELAC GOLD SOY 3 VAN 10X700G BCS</t>
  </si>
  <si>
    <t>161733</t>
  </si>
  <si>
    <t>SGM ANANDA GAIN 100 24X400G FB TW</t>
  </si>
  <si>
    <t>Gain</t>
  </si>
  <si>
    <t>161914</t>
  </si>
  <si>
    <t>NB RYL PREMATURE PRO+ 12X400G CN MIW</t>
  </si>
  <si>
    <t>162437</t>
  </si>
  <si>
    <t>162714</t>
  </si>
  <si>
    <t>SG MAMA 24X400G CN (KH) WHALE</t>
  </si>
  <si>
    <t>162715</t>
  </si>
  <si>
    <t>SG LF 24X400G CN (KH) WHALE</t>
  </si>
  <si>
    <t>162716</t>
  </si>
  <si>
    <t>DUPRO IF 24X400G CN (KH) GG</t>
  </si>
  <si>
    <t>162717</t>
  </si>
  <si>
    <t>DUPRO FO 24X400G CN (KH) GG</t>
  </si>
  <si>
    <t>162720</t>
  </si>
  <si>
    <t>DUMEX DUPRO IF 24X400G CN (MM) GG</t>
  </si>
  <si>
    <t>162721</t>
  </si>
  <si>
    <t>DUMEX DUPRO FO 24X400G CN (MM) GG</t>
  </si>
  <si>
    <t>162722</t>
  </si>
  <si>
    <t>DUMEX DUPRO IF 12X800G CN (MM) GG</t>
  </si>
  <si>
    <t>162724</t>
  </si>
  <si>
    <t>SG ST1 24X400G CN (KH) WHALE</t>
  </si>
  <si>
    <t>162764</t>
  </si>
  <si>
    <t>SG ST1 12X800G CN (KH) WHALE</t>
  </si>
  <si>
    <t>162765</t>
  </si>
  <si>
    <t>SG ST2 12X800G CN (KH) WHALE</t>
  </si>
  <si>
    <t>162766</t>
  </si>
  <si>
    <t>SG ST3 12X800G CN (KH) WHALE</t>
  </si>
  <si>
    <t>162767</t>
  </si>
  <si>
    <t>DUPRO IF 12X800G CN (KH) GG</t>
  </si>
  <si>
    <t>162768</t>
  </si>
  <si>
    <t>DUPRO FO 12X800G CN (KH) GG</t>
  </si>
  <si>
    <t>162769</t>
  </si>
  <si>
    <t>DUGRO STEP 3 12X800G CN (KH) GG</t>
  </si>
  <si>
    <t>162771</t>
  </si>
  <si>
    <t>BEBELAC 2 FO 12X800G CN (MY) BEBE</t>
  </si>
  <si>
    <t>162772</t>
  </si>
  <si>
    <t>BEBEGRO ST3 12X800G (MY) BEBE</t>
  </si>
  <si>
    <t>162773</t>
  </si>
  <si>
    <t>DUMEX DULAC ST1 12X800G CN (SG) GG</t>
  </si>
  <si>
    <t>162774</t>
  </si>
  <si>
    <t>DUMEX DUPRO FO 12X800G CN (MM) GG</t>
  </si>
  <si>
    <t>162775</t>
  </si>
  <si>
    <t>DUMEX DUGRO2+ 12X800G CN (MM) GG</t>
  </si>
  <si>
    <t>163363</t>
  </si>
  <si>
    <t>DUMEX DULAC ST2 12X800G CN (SG) GG</t>
  </si>
  <si>
    <t>164823</t>
  </si>
  <si>
    <t>SGM SOYA ANANDA 0-6 24X200G FB GRD 2.0</t>
  </si>
  <si>
    <t>164824</t>
  </si>
  <si>
    <t>SGM SOYA ANANDA 6-12 24X400G FB GRD 2.0</t>
  </si>
  <si>
    <t>164825</t>
  </si>
  <si>
    <t>SGM SOYA EKSPLOR HNY 24X400G FB GRD 2.0</t>
  </si>
  <si>
    <t>164826</t>
  </si>
  <si>
    <t>SGM SOYA EKSPLOR VAN 24X400G FB GRD 2.0</t>
  </si>
  <si>
    <t>164827</t>
  </si>
  <si>
    <t>SGM SOYA ANANDA 6-12 10X700G FB GRD 2.0</t>
  </si>
  <si>
    <t>164828</t>
  </si>
  <si>
    <t>SGM SOYA EKSPLOR VAN 10X700G FB GRD 2.0</t>
  </si>
  <si>
    <t>164829</t>
  </si>
  <si>
    <t>SGM SOYA EKSPLOR HNY 10X700G FB GRD 2.0</t>
  </si>
  <si>
    <t>166438</t>
  </si>
  <si>
    <t>PEPTICATE 6X400G CN (ME)</t>
  </si>
  <si>
    <t>166440</t>
  </si>
  <si>
    <t>PEPTICATE MCT 6X400G CN (ZA)</t>
  </si>
  <si>
    <t>166773</t>
  </si>
  <si>
    <t>BEBELOVE 1 HIQEQ 24X200G FB MIW</t>
  </si>
  <si>
    <t>166774</t>
  </si>
  <si>
    <t>BEBELOVE 2 HIQEQ 24X200G FB MIW</t>
  </si>
  <si>
    <t>166775</t>
  </si>
  <si>
    <t>BEBELOVE 1 HIQEQ 24X400G FB MIW</t>
  </si>
  <si>
    <t>166777</t>
  </si>
  <si>
    <t>BEBELOVE 2 HIQEQ 24X400G FB MIW</t>
  </si>
  <si>
    <t>166778</t>
  </si>
  <si>
    <t>BEBELOVE 1 HIQEQ 6X2X900G MP MIW</t>
  </si>
  <si>
    <t>166779</t>
  </si>
  <si>
    <t>BEBELOVE 2 HIQEQ 6X2X900G MP MIW</t>
  </si>
  <si>
    <t>166780</t>
  </si>
  <si>
    <t>BEBELOVE 1 HIQEQ 12X800G CN MIW</t>
  </si>
  <si>
    <t>166791</t>
  </si>
  <si>
    <t>BEBELOVE 2 HIQEQ 12X800G CN MIW</t>
  </si>
  <si>
    <t>166792</t>
  </si>
  <si>
    <t>BEBELOVE GOLD 1 24X160G FB MIW</t>
  </si>
  <si>
    <t>166794</t>
  </si>
  <si>
    <t>BEBELOVE GOLD 1 24X360G FB MIW</t>
  </si>
  <si>
    <t>166795</t>
  </si>
  <si>
    <t>BEBELOVE GOLD 1 10X700G FB MIW</t>
  </si>
  <si>
    <t>169569</t>
  </si>
  <si>
    <t>DUPRO PRETERM 12X400G FB (MY) T3.0</t>
  </si>
  <si>
    <t>169955</t>
  </si>
  <si>
    <t>PEPTICATE 6X400G CN (PK)</t>
  </si>
  <si>
    <t>170896</t>
  </si>
  <si>
    <t>HI-Q SOY 1+  24X400G FB (TH) SR BP</t>
  </si>
  <si>
    <t>170897</t>
  </si>
  <si>
    <t>HI-Q SOY 24X400G FB (TH) SR BP</t>
  </si>
  <si>
    <t>171705</t>
  </si>
  <si>
    <t>C&amp;G NEXT STEP 4 24X400G FB (PK)</t>
  </si>
  <si>
    <t>171706</t>
  </si>
  <si>
    <t>C&amp;G STEP UP 3 24X400G FB (PK)</t>
  </si>
  <si>
    <t>171707</t>
  </si>
  <si>
    <t>C&amp;G PREMIUM 1 24X400G FB (PK)</t>
  </si>
  <si>
    <t>171708</t>
  </si>
  <si>
    <t>C&amp;G BLUE 2 24X400G FB (PK)</t>
  </si>
  <si>
    <t>171709</t>
  </si>
  <si>
    <t>C&amp;G PREMIUM 1  24X200G FB (PK)</t>
  </si>
  <si>
    <t>171710</t>
  </si>
  <si>
    <t>C&amp;G BLUE 2  24X200G FB (PK)</t>
  </si>
  <si>
    <t>172199</t>
  </si>
  <si>
    <t>HI-Q LACTOSE FREE 24X400G CN (TH) SR BP</t>
  </si>
  <si>
    <t>172268</t>
  </si>
  <si>
    <t>NUTRILON SOY S2 24X400G CN (CH)</t>
  </si>
  <si>
    <t>China</t>
  </si>
  <si>
    <t>172269</t>
  </si>
  <si>
    <t>NUTRILON SOY S1 24X400G CN (CH)</t>
  </si>
  <si>
    <t>173752</t>
  </si>
  <si>
    <t>DUPRO PRETERM 24X400G CN (KH) T3.0</t>
  </si>
  <si>
    <t>173753</t>
  </si>
  <si>
    <t>NL ROYAL 3 VAN 12X800G CN NP21</t>
  </si>
  <si>
    <t>173754</t>
  </si>
  <si>
    <t>NL ROYAL 3 HNY 12X800G CN NP21</t>
  </si>
  <si>
    <t>173755</t>
  </si>
  <si>
    <t>NL ROYAL 3 VAN 24X400G FB NP21</t>
  </si>
  <si>
    <t>173756</t>
  </si>
  <si>
    <t>NL ROYAL 3 HNY 24X400G FB NP21</t>
  </si>
  <si>
    <t>173757</t>
  </si>
  <si>
    <t>NL ROYAL 3 VAN 6X1800G FB NP21</t>
  </si>
  <si>
    <t>173758</t>
  </si>
  <si>
    <t>NL ROYAL 3 HNY 6X1800G FB NP21</t>
  </si>
  <si>
    <t>178158</t>
  </si>
  <si>
    <t>NB ROYAL 2 10X800G FB TRBL</t>
  </si>
  <si>
    <t>178159</t>
  </si>
  <si>
    <t>NB ROYAL 1 24X400G FB TRBL</t>
  </si>
  <si>
    <t>178160</t>
  </si>
  <si>
    <t>NB ROYAL 1 10X800G FB TRBL</t>
  </si>
  <si>
    <t>178171</t>
  </si>
  <si>
    <t>NB ROYAL 2 24X400G FB TRBL</t>
  </si>
  <si>
    <t>178172</t>
  </si>
  <si>
    <t>NB ROYAL+ 1 CESABIO 24X400G FB LOTUS</t>
  </si>
  <si>
    <t>178403</t>
  </si>
  <si>
    <t>SGM ANANDA 6-12 24X400G FB GRD 2.0</t>
  </si>
  <si>
    <t>SGM 2</t>
  </si>
  <si>
    <t>SGM FO</t>
  </si>
  <si>
    <t>178405</t>
  </si>
  <si>
    <t>INFATRINI 12X400 CN TSA</t>
  </si>
  <si>
    <t>AMN</t>
  </si>
  <si>
    <t>Infatrini</t>
  </si>
  <si>
    <t>178477</t>
  </si>
  <si>
    <t>BEBELOVE 1 GREAT+ 24X400G FB PGS</t>
  </si>
  <si>
    <t>178478</t>
  </si>
  <si>
    <t>BEBELOVE 2 GREAT+ 24X400G FB PGS</t>
  </si>
  <si>
    <t>178493</t>
  </si>
  <si>
    <t>BEBELOVE 2 GREAT+ 12X800G CN PGS</t>
  </si>
  <si>
    <t>178494</t>
  </si>
  <si>
    <t>BEBELOVE 1 GREAT+ 6X2X900G MP PGS</t>
  </si>
  <si>
    <t>178495</t>
  </si>
  <si>
    <t>BEBELOVE 2 GREAT+ 6X2X900G MP PGS</t>
  </si>
  <si>
    <t>178500</t>
  </si>
  <si>
    <t>BEBELOVE 1 GREAT+ 12X800G CN PGS</t>
  </si>
  <si>
    <t>178502</t>
  </si>
  <si>
    <t>BEBELAC 3 VAN GREAT+ 12X800G CN PGS</t>
  </si>
  <si>
    <t>Bebelac 3</t>
  </si>
  <si>
    <t>178503</t>
  </si>
  <si>
    <t>BEBELAC 3 HNY GREAT+ 12X800G CN PGS</t>
  </si>
  <si>
    <t>178504</t>
  </si>
  <si>
    <t>BEBELAC 4 VAN GREAT+ 12X800G CN PGS</t>
  </si>
  <si>
    <t>Bebelac 4</t>
  </si>
  <si>
    <t>178505</t>
  </si>
  <si>
    <t>BEBELAC 4 HNY GREAT+ 12X800G CN PGS</t>
  </si>
  <si>
    <t>178513</t>
  </si>
  <si>
    <t>BEBELOVE 1 GREAT+ 24X200G FB PGS</t>
  </si>
  <si>
    <t>178514</t>
  </si>
  <si>
    <t>BEBELOVE 2 GREAT+ 24X200G FB PGS</t>
  </si>
  <si>
    <t>181300</t>
  </si>
  <si>
    <t>APTAMIL PEPTI JUNIOR 6X400G CN (KSA)</t>
  </si>
  <si>
    <t>183085</t>
  </si>
  <si>
    <t>HI-Q SOY 1+  24X400G FB (TH) FH</t>
  </si>
  <si>
    <t>183086</t>
  </si>
  <si>
    <t>HI-Q SOY 24X400G FB (TH) FH</t>
  </si>
  <si>
    <t>185786</t>
  </si>
  <si>
    <t>DUGRO SOY 12X400 G FB (MY) SR ND</t>
  </si>
  <si>
    <t>185787</t>
  </si>
  <si>
    <t>DUPRO SOY 24X400 G FB (MY) SR ND</t>
  </si>
  <si>
    <t>185869</t>
  </si>
  <si>
    <t>SGM ISOPRO SOY ANANDA 6-12 24X400G FB</t>
  </si>
  <si>
    <t>185871</t>
  </si>
  <si>
    <t>SGM ISOPRO SOY ANANDA 0-6 24X200G FB</t>
  </si>
  <si>
    <t>185874</t>
  </si>
  <si>
    <t>SGM ISOPRO SOY EKSPLOR HNY 24X400G FB</t>
  </si>
  <si>
    <t>185875</t>
  </si>
  <si>
    <t>SGM ISOPRO SOY EKSPLOR VAN 24X400G FB</t>
  </si>
  <si>
    <t>185876</t>
  </si>
  <si>
    <t>SGM ISOPRO SOY EKSPLOR VAN 10X700G FB</t>
  </si>
  <si>
    <t>185878</t>
  </si>
  <si>
    <t>SGM ISOPRO SOY EKSPLOR HNY 10X700G FB</t>
  </si>
  <si>
    <t>190441</t>
  </si>
  <si>
    <t>BEBEGRO ST3 12X800G CN (MY) CANON</t>
  </si>
  <si>
    <t>190442</t>
  </si>
  <si>
    <t>BEBELAC 1 IF 12X800G CN (MY) CANON</t>
  </si>
  <si>
    <t>190443</t>
  </si>
  <si>
    <t>BEBELAC 1 IF 24X400G CN (MY) CANON</t>
  </si>
  <si>
    <t>190444</t>
  </si>
  <si>
    <t>BEBELAC 2 FO 12X800G CN (MY) CANON</t>
  </si>
  <si>
    <t>194382</t>
  </si>
  <si>
    <t>DUPRO PRETERM 12X400G FB (MY) RAY</t>
  </si>
  <si>
    <t>195047</t>
  </si>
  <si>
    <t>BEBELAC 4 HNY GREAT+ 12X800G CN PGS ZBD</t>
  </si>
  <si>
    <t>195049</t>
  </si>
  <si>
    <t>BEBELAC 4 VAN GREAT+ 12X800G CN PGS ZBD</t>
  </si>
  <si>
    <t>195050</t>
  </si>
  <si>
    <t>BEBELAC 3 HNY GREAT+ 12X800G CN PGS ZBD</t>
  </si>
  <si>
    <t>195051</t>
  </si>
  <si>
    <t>BEBELAC 3 VAN GREAT+ 12X800G CN PGS ZBD</t>
  </si>
  <si>
    <t>195076</t>
  </si>
  <si>
    <t>SGM LLM PLUS 24X200G GRD AFH</t>
  </si>
  <si>
    <t>195077</t>
  </si>
  <si>
    <t>SGM ISOPRO SOY ANANDA 0-6 24X200G FB AFH</t>
  </si>
  <si>
    <t>195078</t>
  </si>
  <si>
    <t>SGM BBLR 24X200G FB GRD AFH</t>
  </si>
  <si>
    <t>195079</t>
  </si>
  <si>
    <t>COW &amp; GATE FORM S 24X200G FB (LK) AFH</t>
  </si>
  <si>
    <t>195080</t>
  </si>
  <si>
    <t>BEBELOVE GOLD SOY 1 24X170G FB BCS AFH</t>
  </si>
  <si>
    <t>196638</t>
  </si>
  <si>
    <t>NB ROYAL PEPTI JUNIOR 24X400G CN PTC</t>
  </si>
  <si>
    <t>196642</t>
  </si>
  <si>
    <t>SGM E1+ HONEY 48X150G FB GRD 2.1</t>
  </si>
  <si>
    <t>SGM 3</t>
  </si>
  <si>
    <t>SGM GUM</t>
  </si>
  <si>
    <t>196648</t>
  </si>
  <si>
    <t>SGM E1+ HONEY 21X400G FB GRD 2.1</t>
  </si>
  <si>
    <t>196653</t>
  </si>
  <si>
    <t>SGM E1+ HONEY 12X600G FB GRD 2.1</t>
  </si>
  <si>
    <t>JK</t>
  </si>
  <si>
    <t>196654</t>
  </si>
  <si>
    <t>SGM E1+ VANILLA 48X150G FB GRD 2.1</t>
  </si>
  <si>
    <t>196655</t>
  </si>
  <si>
    <t>SGM E1+ VANILLA 21X400G FB GRD 2.1</t>
  </si>
  <si>
    <t>196656</t>
  </si>
  <si>
    <t>SGM E1+ VANILLA 12X600G FB GRD 2.1</t>
  </si>
  <si>
    <t>196657</t>
  </si>
  <si>
    <t>SGM E3+ HONEY 48X150G FB GRD 2.1</t>
  </si>
  <si>
    <t>SGM 4</t>
  </si>
  <si>
    <t>196658</t>
  </si>
  <si>
    <t>SGM E3+ HONEY 21X400G FB GRD 2.1</t>
  </si>
  <si>
    <t>196659</t>
  </si>
  <si>
    <t>SGM E3+ HONEY 12X600G FB GRD 2.1</t>
  </si>
  <si>
    <t>196660</t>
  </si>
  <si>
    <t>SGM E3+ VANILLA 21X400G FB GRD 2.1</t>
  </si>
  <si>
    <t>196661</t>
  </si>
  <si>
    <t>SGM E3+ VANILLA 12X600G FB GRD 2.1</t>
  </si>
  <si>
    <t>196662</t>
  </si>
  <si>
    <t>SGM E3+ CHOCO 21X400G FB GRD 2.1</t>
  </si>
  <si>
    <t>196664</t>
  </si>
  <si>
    <t>SGM ANANDA 6-12 48X120G FB GRD 2.1</t>
  </si>
  <si>
    <t>196665</t>
  </si>
  <si>
    <t>SGM ANANDA 6-12 48X150G FB GRD 2.1</t>
  </si>
  <si>
    <t>196666</t>
  </si>
  <si>
    <t>SGM ANANDA 6-12 24X400G FB GRD 2.1</t>
  </si>
  <si>
    <t>196667</t>
  </si>
  <si>
    <t>SGM ANANDA 6-12 12X600G FB GRD 2.1</t>
  </si>
  <si>
    <t>196668</t>
  </si>
  <si>
    <t>SGM ANANDA 6-12 10X1000G FB GRD 2.1</t>
  </si>
  <si>
    <t>196669</t>
  </si>
  <si>
    <t>SGM ANANDA 0-6 48X120G FB GRD 2.1</t>
  </si>
  <si>
    <t>196670</t>
  </si>
  <si>
    <t>SGM ANANDA 0-6 48X150G FB GRD 2.1</t>
  </si>
  <si>
    <t>196671</t>
  </si>
  <si>
    <t>SGM ANANDA 0-6 24X400G FB GRD 2.1</t>
  </si>
  <si>
    <t>196672</t>
  </si>
  <si>
    <t>SGM ANANDA 0-6 12X600G FB GRD 2.1</t>
  </si>
  <si>
    <t>196673</t>
  </si>
  <si>
    <t>SGM ANANDA 0-6 10X1000G FB GRD 2.1</t>
  </si>
  <si>
    <t>196805</t>
  </si>
  <si>
    <t>SGM E1+ HONEY 10X900G FB GRD 2.1</t>
  </si>
  <si>
    <t>CD</t>
  </si>
  <si>
    <t>196877</t>
  </si>
  <si>
    <t>SGM E1+ VANILLA 10X900G FB GRD 2.1</t>
  </si>
  <si>
    <t>196878</t>
  </si>
  <si>
    <t>SGM E3+ HONEY 10X900G FB GRD 2.1</t>
  </si>
  <si>
    <t>196879</t>
  </si>
  <si>
    <t>SGM E3+ VANILLA 10X900G FB GRD 2.1</t>
  </si>
  <si>
    <t>196880</t>
  </si>
  <si>
    <t>SGM E3+ CHOCO 10X900G FB GRD 2.1</t>
  </si>
  <si>
    <t>196881</t>
  </si>
  <si>
    <t>SGM E5+ HONEY 10X900G FB GRD 2.1</t>
  </si>
  <si>
    <t>SGM 5</t>
  </si>
  <si>
    <t>196882</t>
  </si>
  <si>
    <t>SGM E5+ CHOCO 10X900G FB GRD 2.1</t>
  </si>
  <si>
    <t>197013</t>
  </si>
  <si>
    <t>BEBELOVE 2 HiQEQ 6X2X900G MP PGS SCH</t>
  </si>
  <si>
    <t>197014</t>
  </si>
  <si>
    <t>BEBELOVE 2 HiQEQ 12X800G CN PGS SCH</t>
  </si>
  <si>
    <t>197015</t>
  </si>
  <si>
    <t>BEBELOVE 2 HiQEQ 24X400G FB PGS SCH</t>
  </si>
  <si>
    <t>197016</t>
  </si>
  <si>
    <t>BEBELOVE 2 HiQEQ 24X200G FB PGS SCH</t>
  </si>
  <si>
    <t>196663</t>
  </si>
  <si>
    <t>SGM E5+ HONEY 21X400G FB GRD 2.1</t>
  </si>
  <si>
    <t>198865</t>
  </si>
  <si>
    <t>DEXOLAC 2 30X400 FB (IND)</t>
  </si>
  <si>
    <t>India</t>
  </si>
  <si>
    <t>198866</t>
  </si>
  <si>
    <t>DEXOLAC 3 30X400 FB (IND)</t>
  </si>
  <si>
    <t>198867</t>
  </si>
  <si>
    <t>DEXOLAC 4 30X400 FB (IND)</t>
  </si>
  <si>
    <t>200189</t>
  </si>
  <si>
    <t>NUTRINIDRINK 24X400G CN TSA</t>
  </si>
  <si>
    <t>Nutrinidrink</t>
  </si>
  <si>
    <t>200270</t>
  </si>
  <si>
    <t>INFATRINI24X400 CN COIN</t>
  </si>
  <si>
    <t>201490</t>
  </si>
  <si>
    <t>BEBELAC 3 VAN GREAT+ 12X800G CN PGS DPO</t>
  </si>
  <si>
    <t>201491</t>
  </si>
  <si>
    <t>BEBELAC 3 HNY GREAT+ 12X800G CN PGS DPO</t>
  </si>
  <si>
    <t>201492</t>
  </si>
  <si>
    <t>BEBELAC 4 VAN GREAT+ 12X800G CN PGS DPO</t>
  </si>
  <si>
    <t>201493</t>
  </si>
  <si>
    <t>BEBELAC 4 HNY GREAT+ 12X800G CN PGS DPO</t>
  </si>
  <si>
    <t>201897</t>
  </si>
  <si>
    <t>BEBELAC GOLD 3 VAN 24X360G FB LMR</t>
  </si>
  <si>
    <t>201899</t>
  </si>
  <si>
    <t>BEBELAC GOLD 3 HNY 10X700G FB LMR</t>
  </si>
  <si>
    <t>201900</t>
  </si>
  <si>
    <t>BEBELAC GOLD 3 VAN 10X700G FB LMR</t>
  </si>
  <si>
    <t>202304</t>
  </si>
  <si>
    <t>DUMEX DUPRO IF 24X400G (KH) SN</t>
  </si>
  <si>
    <t>202305</t>
  </si>
  <si>
    <t>DUMEX DUPRO FO 24X400G (KH) SN</t>
  </si>
  <si>
    <t>203833</t>
  </si>
  <si>
    <t>BEBELAC 3 PLAIN HIQ 10X4X105ML RTD AURORA</t>
  </si>
  <si>
    <t>BEBELAC-RTD</t>
  </si>
  <si>
    <t>Bebelac RTD</t>
  </si>
  <si>
    <t>RTD</t>
  </si>
  <si>
    <t>SAKATAMA</t>
  </si>
  <si>
    <t>A</t>
  </si>
  <si>
    <t>LIQUID</t>
  </si>
  <si>
    <t>203835</t>
  </si>
  <si>
    <t>BEBELAC 3 PLAIN HiQ 40x105ML RTD AURORA</t>
  </si>
  <si>
    <t>203836</t>
  </si>
  <si>
    <t>BEBELAC 3 PLAIN HIQ 6X4X165ML RTD AURORA</t>
  </si>
  <si>
    <t>203837</t>
  </si>
  <si>
    <t>BEBELAC 3 PLAIN HiQ 24X165ML RTD AURORA</t>
  </si>
  <si>
    <t>202722</t>
  </si>
  <si>
    <t>BEBELOVE 1 GREAT+ 12X620G FB OBPPC</t>
  </si>
  <si>
    <t>202724</t>
  </si>
  <si>
    <t>BEBELOVE 2 GREAT+ 12X620G FB OBPPC</t>
  </si>
  <si>
    <t>202412</t>
  </si>
  <si>
    <t>BEBELAC 1+ HNY GREAT+ 24X175G FB PGS2.0</t>
  </si>
  <si>
    <t>202413</t>
  </si>
  <si>
    <t>BEBELAC 1+ HNY GREAT+ 24X350G FB PGS2.0</t>
  </si>
  <si>
    <t>202415</t>
  </si>
  <si>
    <t>BEBELAC 1+ HNY GREAT+ 10X1000G FB PGS2.0</t>
  </si>
  <si>
    <t>202416</t>
  </si>
  <si>
    <t>BEBELAC 1+ HNY GREAT+ 6X2X900G MP PGS2.0</t>
  </si>
  <si>
    <t>202417</t>
  </si>
  <si>
    <t>BEBELAC 1+ HNY GREAT+ 12X600G FB PGS2.0</t>
  </si>
  <si>
    <t>202418</t>
  </si>
  <si>
    <t>BEBELAC 1+ HNY 4X3X1000G FB PGS2.0</t>
  </si>
  <si>
    <t>202419</t>
  </si>
  <si>
    <t>BEBELAC 1+ VAN GREAT+ 24X350G FB PGS2.0</t>
  </si>
  <si>
    <t>202420</t>
  </si>
  <si>
    <t>BEBELAC 1+ VAN GREAT+ 12X600G FB PGS2.0</t>
  </si>
  <si>
    <t>202421</t>
  </si>
  <si>
    <t>BEBELAC 1+ VAN GREAT+ 10X1000G FB PGS2.0</t>
  </si>
  <si>
    <t>202423</t>
  </si>
  <si>
    <t>BEBELAC 1+ VAN GREAT+ 6X2X900G MP PGS2.0</t>
  </si>
  <si>
    <t>202425</t>
  </si>
  <si>
    <t>BEBELAC 1+ VAN 4X3X1000G FB PGS2.0</t>
  </si>
  <si>
    <t>202426</t>
  </si>
  <si>
    <t>BEBELAC 3+ HNY GREAT+ 24X350G FB PGS2.0</t>
  </si>
  <si>
    <t>202428</t>
  </si>
  <si>
    <t>BEBELAC 3+ HNY GREAT+ 10X1000 FB PGS2.0</t>
  </si>
  <si>
    <t>202429</t>
  </si>
  <si>
    <t>BEBELAC 3+ HNY GREAT+ 6X2X900G MP PGS2.0</t>
  </si>
  <si>
    <t>202430</t>
  </si>
  <si>
    <t>BEBELAC 3+ HNY 4X3X1000G FB PGS2.0</t>
  </si>
  <si>
    <t>202431</t>
  </si>
  <si>
    <t>BEBELAC 3+ VAN GREAT+ 24X350G FB PGS2.0</t>
  </si>
  <si>
    <t>202432</t>
  </si>
  <si>
    <t>BEBELAC 3+ VAN GREAT+ 10X1000G FB PGS2.0</t>
  </si>
  <si>
    <t>202433</t>
  </si>
  <si>
    <t>BEBELAC 3+ VAN GREAT+ 6X2X900G MP PGS2.0</t>
  </si>
  <si>
    <t>202434</t>
  </si>
  <si>
    <t>BEBELAC 3+ VAN 4X3X1000G FB PGS2.0</t>
  </si>
  <si>
    <t>202723</t>
  </si>
  <si>
    <t>BEBELOVE 0-6 GREAT+ 12X620G FB PGS 2.0</t>
  </si>
  <si>
    <t>202727</t>
  </si>
  <si>
    <t>BEBELOVE 6-12 GREAT+ 12X620G FB PGS 2.0</t>
  </si>
  <si>
    <t>202882</t>
  </si>
  <si>
    <t>BEBELOVE 6-12 GREAT+ 24X175G FB PGS 2.0</t>
  </si>
  <si>
    <t>202883</t>
  </si>
  <si>
    <t>BEBELOVE 0-6 GREAT+ 24X175G FB PGS 2.0</t>
  </si>
  <si>
    <t>202894</t>
  </si>
  <si>
    <t>BEBELOVE 0-6 GREAT+ 24X350G FB PGS 2.0</t>
  </si>
  <si>
    <t>202895</t>
  </si>
  <si>
    <t>BEBELOVE 6-12 GREAT+ 24X350G FB PGS 2.0</t>
  </si>
  <si>
    <t>203497</t>
  </si>
  <si>
    <t>BEBELAC 1+ VAN GREAT+ 12X800G CN PGS 2.0</t>
  </si>
  <si>
    <t>203498</t>
  </si>
  <si>
    <t>BEBELAC 1+ HNY GREAT+ 12X800G CN PGS 2.0</t>
  </si>
  <si>
    <t>203499</t>
  </si>
  <si>
    <t>BEBELAC 3+ VAN GREAT+ 12X800G CN PGS 2.0</t>
  </si>
  <si>
    <t>203500</t>
  </si>
  <si>
    <t>BEBELAC 3+ HNY GREAT+ 12X800G CN PGS 2.0</t>
  </si>
  <si>
    <t>203904</t>
  </si>
  <si>
    <t>BEBELOVE 6-12 GREAT+ 12X800G CN PGS 2.0</t>
  </si>
  <si>
    <t>203905</t>
  </si>
  <si>
    <t>BEBELOVE 0-6 GREAT+ 12X800G CN PGS 2.0</t>
  </si>
  <si>
    <t>203906</t>
  </si>
  <si>
    <t>BEBELOVE 0-6 GREAT+ 6X2X900G MP PGS 2.0</t>
  </si>
  <si>
    <t>203907</t>
  </si>
  <si>
    <t>BEBELOVE 6-12 GREAT+ 6X2X900G MP PGS 2.0</t>
  </si>
  <si>
    <t>204166</t>
  </si>
  <si>
    <t>DUMEX SUPERGOLD IF 24X400G CN (KH) FLS</t>
  </si>
  <si>
    <t>204170</t>
  </si>
  <si>
    <t>COW &amp; GATE NX ST 4 24X300G FB (LK)</t>
  </si>
  <si>
    <t>204171</t>
  </si>
  <si>
    <t>DUMEX DUPRO PRETERM 24X400G CN (KH) SN</t>
  </si>
  <si>
    <t>204172</t>
  </si>
  <si>
    <t>COW &amp; GATE ST UP 3 24X300G FB (LK)</t>
  </si>
  <si>
    <t>204173</t>
  </si>
  <si>
    <t>COW &amp; GATE BLUE 2 24X300G FB (LK)</t>
  </si>
  <si>
    <t>204174</t>
  </si>
  <si>
    <t>COW &amp; GATE PREM 1 24X300G FB (LK)</t>
  </si>
  <si>
    <t>204330</t>
  </si>
  <si>
    <t>DUPRO SOY 24X400G FB (MY) BPJPH</t>
  </si>
  <si>
    <t>204333</t>
  </si>
  <si>
    <t>DUGRO SOY 12X400G FB (MY) BPJPH</t>
  </si>
  <si>
    <t>204401</t>
  </si>
  <si>
    <t>APTAMIL PEPTI JUNIOR 24X400G CN (KSA) QRM</t>
  </si>
  <si>
    <t>204405</t>
  </si>
  <si>
    <t>DUMEX SUPERGOLD LF 24X400G CN (KH) FLASH</t>
  </si>
  <si>
    <t>205310</t>
  </si>
  <si>
    <t>NUTRINIDRINK 12X800G CN HULK</t>
  </si>
  <si>
    <t>205725</t>
  </si>
  <si>
    <t>SGM E1+ HONEY 4X3X1000G FB BIRKIN​</t>
  </si>
  <si>
    <t>205728</t>
  </si>
  <si>
    <t>SGM E1+ VANILLA 4X3X1000G FB BIRKIN​</t>
  </si>
  <si>
    <t>205732</t>
  </si>
  <si>
    <t>SGM E3+ HONEY 4X3X1000G FB BIRKIN​</t>
  </si>
  <si>
    <t>205739</t>
  </si>
  <si>
    <t>SGM E3+ VANILLA 4X3X1000G FB BIRKIN​</t>
  </si>
  <si>
    <t>206029</t>
  </si>
  <si>
    <t>SGM E5+ CHOCO 12X575G FB ROBLOX</t>
  </si>
  <si>
    <t>206030</t>
  </si>
  <si>
    <t>SGM E5+ HONEY 12X575G FB ROBLOX</t>
  </si>
  <si>
    <t>207654</t>
  </si>
  <si>
    <t>BEBELAC CHOC 24X165ML SP RTD AURORA</t>
  </si>
  <si>
    <t>207657</t>
  </si>
  <si>
    <t>BEBELAC STRW 24X165ML SP RTD AURORA</t>
  </si>
  <si>
    <t>207666</t>
  </si>
  <si>
    <t>BEBELAC CHOC 40X105ML SP RTD AURORA</t>
  </si>
  <si>
    <t>207670</t>
  </si>
  <si>
    <t>BEBELAC STRW 40X105ML SP RTD AURORA</t>
  </si>
  <si>
    <t>208357</t>
  </si>
  <si>
    <t>SGM E1+ HONEY 48X150G FB GRD 3.0</t>
  </si>
  <si>
    <t>208362</t>
  </si>
  <si>
    <t>SGM E5+ VANILLA 12X575G FB FLASH</t>
  </si>
  <si>
    <t>208365</t>
  </si>
  <si>
    <t>SGM E5+ CHOCO 12X575G FB FLASH</t>
  </si>
  <si>
    <t>208366</t>
  </si>
  <si>
    <t>SGM E5+ HONEY 12X575G FB GRD 3.0</t>
  </si>
  <si>
    <t>208367</t>
  </si>
  <si>
    <t>SGM E5+ CHOCO 10X900G FB GRD 3.0</t>
  </si>
  <si>
    <t>208368</t>
  </si>
  <si>
    <t>SGM E5+ HONEY 10X900G FB GRD 3.0</t>
  </si>
  <si>
    <t>208369</t>
  </si>
  <si>
    <t>SGM E5+ HONEY 21X375G FB GRD 2.1</t>
  </si>
  <si>
    <t>208370</t>
  </si>
  <si>
    <t>SGM E3+ VANILLA 6X2X800G FB FLASH</t>
  </si>
  <si>
    <t>208371</t>
  </si>
  <si>
    <t>SGM E3+ HONEY 6X2X800G FB FLASH</t>
  </si>
  <si>
    <t>208372</t>
  </si>
  <si>
    <t>SGM E3+ VANILLA 4X3X1000G FB GRD 3.0</t>
  </si>
  <si>
    <t>208374</t>
  </si>
  <si>
    <t>SGM E3+ HONEY 4X3X1000G FB GRD 3.0</t>
  </si>
  <si>
    <t>208375</t>
  </si>
  <si>
    <t>SGM E3+ CHOCO 10X900G FB FLASH</t>
  </si>
  <si>
    <t>208376</t>
  </si>
  <si>
    <t>SGM E3+ CHOCO 21X400G FB FLASH</t>
  </si>
  <si>
    <t>208377</t>
  </si>
  <si>
    <t>SGM E3+ VANILLA 10X900G FB GRD 3.0</t>
  </si>
  <si>
    <t>208378</t>
  </si>
  <si>
    <t>SGM E3+ VANILLA 12X600G FB GRD 3.0</t>
  </si>
  <si>
    <t>208379</t>
  </si>
  <si>
    <t>SGM E3+ VANILLA 21X375G FB GRD 2.1</t>
  </si>
  <si>
    <t>208380</t>
  </si>
  <si>
    <t>SGM E3+ HONEY 21X375G FB GRD 2.1</t>
  </si>
  <si>
    <t>208385</t>
  </si>
  <si>
    <t>SGM E3+ HONEY 48X150G FB GRD 3.0</t>
  </si>
  <si>
    <t>208386</t>
  </si>
  <si>
    <t>SGM E3+ HONEY 10X900G FB GRD 3.0</t>
  </si>
  <si>
    <t>208389</t>
  </si>
  <si>
    <t>SGM E3+ HONEY 12X600G FB GRD 3.0</t>
  </si>
  <si>
    <t>208391</t>
  </si>
  <si>
    <t>SGM E1+ VANILLA 6X2X800G FB FLASH​</t>
  </si>
  <si>
    <t>208392</t>
  </si>
  <si>
    <t>SGM E1+ HONEY 6X2X800G FB FLASH​</t>
  </si>
  <si>
    <t>208393</t>
  </si>
  <si>
    <t>SGM E1+ VANILLA 4X3X1000G FB GRD 3.0</t>
  </si>
  <si>
    <t>208394</t>
  </si>
  <si>
    <t>SGM E1+ HONEY 4X3X1000G FB GRD 3.0</t>
  </si>
  <si>
    <t>208395</t>
  </si>
  <si>
    <t>SGM E1+ VANILLA 10X900G FB GRD 3.0</t>
  </si>
  <si>
    <t>208396</t>
  </si>
  <si>
    <t>SGM E1+ VANILLA 12X600G FB GRD 3.0</t>
  </si>
  <si>
    <t>208397</t>
  </si>
  <si>
    <t>SGM E1+ VANILLA 21X375G FB GRD 2.1</t>
  </si>
  <si>
    <t>208398</t>
  </si>
  <si>
    <t>SGM E1+ HONEY 10X900G FB GRD 3.0</t>
  </si>
  <si>
    <t>208399</t>
  </si>
  <si>
    <t>SGM E1+ HONEY 12X600G FB GRD 3.0</t>
  </si>
  <si>
    <t>208400</t>
  </si>
  <si>
    <t>SGM E1+ HONEY 21X3750G FB GRD 2.1</t>
  </si>
  <si>
    <t>208552</t>
  </si>
  <si>
    <t>SGM E1+ VANILLA 48X150G FB GRD 3.0</t>
  </si>
  <si>
    <t>208959</t>
  </si>
  <si>
    <t>SGM ANANDA 0-6 10X1000G FB GRD 3.0</t>
  </si>
  <si>
    <t>208960</t>
  </si>
  <si>
    <t>SGM ANANDA 0-6 24X375G FB GRD 2.1</t>
  </si>
  <si>
    <t>208961</t>
  </si>
  <si>
    <t>SGM ANANDA 0-6 48X150G FB GRD 3.0</t>
  </si>
  <si>
    <t>210729</t>
  </si>
  <si>
    <t>SGM ANANDA 0-6 12X550G FB GRD FLASH</t>
  </si>
  <si>
    <t>208963</t>
  </si>
  <si>
    <t>SGM ANANDA 0-6 48X120G FB GRD 3.0</t>
  </si>
  <si>
    <t>208964</t>
  </si>
  <si>
    <t>SGM ANANDA 6-12 24X375G FB GRD 2.1</t>
  </si>
  <si>
    <t>208965</t>
  </si>
  <si>
    <t>SGM ANANDA 6-12 48X150G FB GRD 3.0</t>
  </si>
  <si>
    <t>208966</t>
  </si>
  <si>
    <t>SGM ANANDA 6-12 10X1000G FB GRD 3.0</t>
  </si>
  <si>
    <t>210728</t>
  </si>
  <si>
    <t>SGM ANANDA 6-12 12X550G FB GRD FLASH</t>
  </si>
  <si>
    <t>208968</t>
  </si>
  <si>
    <t>SGM ANANDA 6-12 48X120G FB GRD 3.0</t>
  </si>
  <si>
    <t>209607</t>
  </si>
  <si>
    <t>10377130</t>
  </si>
  <si>
    <t>SFG BEBELAC 1 IF 24X400G CN (MY) BH MYC</t>
  </si>
  <si>
    <t>10431290</t>
  </si>
  <si>
    <t>SFG NUTRILON SOY S1 12X800G CN (CH)</t>
  </si>
  <si>
    <t>10431293</t>
  </si>
  <si>
    <t>SFG NUTRILON SOY S2 12X800G CN (CH)</t>
  </si>
  <si>
    <t>10431294</t>
  </si>
  <si>
    <t>SFG NUTRILON SOY S3 12X800G CN (CH)</t>
  </si>
  <si>
    <t>10463798</t>
  </si>
  <si>
    <t>SFG APTAMIL PEPTI JR 24X400G CN</t>
  </si>
  <si>
    <t>AURORACHO3</t>
  </si>
  <si>
    <t>BEBELAC 3 CHOCO HIQ 10X4X105ML RTD AURORA</t>
  </si>
  <si>
    <t>AURORACHO4</t>
  </si>
  <si>
    <t>BEBELAC 3 CHOCO HIQ 6X4X165ML RTD AURORA</t>
  </si>
  <si>
    <t>AURORASTRAW3</t>
  </si>
  <si>
    <t>BEBELAC 3 STRAWBERRY HIQ 10X4X105ML RTD AURORA</t>
  </si>
  <si>
    <t>AURORASTRAW4</t>
  </si>
  <si>
    <t>BEBELAC 3 STRAWBERRY HIQ 6X4X165ML RTD AURORA</t>
  </si>
  <si>
    <t>SGM EKS GAIN OPTIGROW VM 24X400G FB P2.0</t>
  </si>
  <si>
    <t>Bag in Box</t>
  </si>
  <si>
    <t>SGM EKS GAIN OPTIGROW VM 10X800G FB P2.0</t>
  </si>
  <si>
    <t>NB ROYAL 2 10X800G FB PNCR</t>
  </si>
  <si>
    <t>NB ROYAL 1 24X400G FB PNCR</t>
  </si>
  <si>
    <t>NB ROYAL 1 10X800G FB PNCR</t>
  </si>
  <si>
    <t>NB ROYAL 2 24X400G FB PNCR</t>
  </si>
  <si>
    <t>NUTRINIDRINK 24X400G CN CHRS</t>
  </si>
  <si>
    <t>Canning</t>
  </si>
  <si>
    <t>NUTRINIDRINK 12X800G CN CHRS</t>
  </si>
  <si>
    <t>DUMEX DUPRO IF 12X800G (KH) SN</t>
  </si>
  <si>
    <t>DUMEX DUPRO FO 12X800G (KH) SN</t>
  </si>
  <si>
    <t>DUMEX SUPERGOLD IF 12X800G (KH) FLASH</t>
  </si>
  <si>
    <t>DUMEX SUPERGOLD FO 12X800G (KH) FLASH</t>
  </si>
  <si>
    <t>BEBELAC 1 IF 12X800G CN (MY) BEBE PJ</t>
  </si>
  <si>
    <t>BEBELAC 2 FO 12X800G CN (MY) BEBE PJ</t>
  </si>
  <si>
    <t>DUMEX DUGRO GUM 12X800G (KH) SN</t>
  </si>
  <si>
    <t>DUMEX SUPERGOLD GUM 12X800 (KH) FLASH</t>
  </si>
  <si>
    <t>PEPTICATE 24X400G CN APHR</t>
  </si>
  <si>
    <r>
      <t>BEBELOVE 0-6 GREAT+ 12X</t>
    </r>
    <r>
      <rPr>
        <b/>
        <sz val="9"/>
        <color theme="1"/>
        <rFont val="Calibri"/>
        <family val="2"/>
        <scheme val="minor"/>
      </rPr>
      <t>600G</t>
    </r>
    <r>
      <rPr>
        <sz val="9"/>
        <color theme="1"/>
        <rFont val="Calibri"/>
        <family val="2"/>
        <scheme val="minor"/>
      </rPr>
      <t xml:space="preserve"> FB BLINK</t>
    </r>
  </si>
  <si>
    <r>
      <t>BEBELOVE 0-6 GREAT+ 10X</t>
    </r>
    <r>
      <rPr>
        <b/>
        <sz val="9"/>
        <color theme="1"/>
        <rFont val="Calibri"/>
        <family val="2"/>
        <scheme val="minor"/>
      </rPr>
      <t>775G</t>
    </r>
    <r>
      <rPr>
        <sz val="9"/>
        <color theme="1"/>
        <rFont val="Calibri"/>
        <family val="2"/>
        <scheme val="minor"/>
      </rPr>
      <t xml:space="preserve"> FB BLINK</t>
    </r>
  </si>
  <si>
    <r>
      <t>BEBELOVE 6-12 GREAT+ 12X</t>
    </r>
    <r>
      <rPr>
        <b/>
        <sz val="9"/>
        <color theme="1"/>
        <rFont val="Calibri"/>
        <family val="2"/>
        <scheme val="minor"/>
      </rPr>
      <t>600G</t>
    </r>
    <r>
      <rPr>
        <sz val="9"/>
        <color theme="1"/>
        <rFont val="Calibri"/>
        <family val="2"/>
        <scheme val="minor"/>
      </rPr>
      <t xml:space="preserve"> FB BLINK</t>
    </r>
  </si>
  <si>
    <r>
      <t>BEBELOVE 6-12 GREAT+ 10X</t>
    </r>
    <r>
      <rPr>
        <b/>
        <sz val="9"/>
        <color theme="1"/>
        <rFont val="Calibri"/>
        <family val="2"/>
        <scheme val="minor"/>
      </rPr>
      <t>775G</t>
    </r>
    <r>
      <rPr>
        <sz val="9"/>
        <color theme="1"/>
        <rFont val="Calibri"/>
        <family val="2"/>
        <scheme val="minor"/>
      </rPr>
      <t xml:space="preserve"> FB BLINK</t>
    </r>
  </si>
  <si>
    <t>BEBELAC 1+ VAN GREAT+ 10X775G FB BLINK</t>
  </si>
  <si>
    <t>BEBELAC 1+ HNY GREAT+ 10X775G FB BLINK</t>
  </si>
  <si>
    <t>BEBELAC 3+ VAN GREAT+ 10X775G FB BLINK</t>
  </si>
  <si>
    <t>BEBELAC 3+ HNY GREAT+ 10X775G FB BLINK</t>
  </si>
  <si>
    <t>NB ROYAL 1 24X400G FB TB YCF</t>
  </si>
  <si>
    <t>NB ROYAL 2 24X400G FB TB YCF</t>
  </si>
  <si>
    <t>NB ROYAL 1 10X800G FB TB YCF</t>
  </si>
  <si>
    <t>NB ROYAL 2 10X800G FB TB YCF</t>
  </si>
  <si>
    <t>NL ROYAL 3 HNY 12X800G CN TB YCF</t>
  </si>
  <si>
    <t>NL ROYAL 3 HNY 24X400G FB TB YCF</t>
  </si>
  <si>
    <t>NL ROYAL 3 HNY 6X2X900G FB TB YCF</t>
  </si>
  <si>
    <t>NL ROYAL 3 VAN 12X800G CN TB YCF</t>
  </si>
  <si>
    <t>NL ROYAL 3 VAN 24X400G FB TB YCF</t>
  </si>
  <si>
    <t>NL ROYAL 3 VAN 6X2X900G FB TB YCF</t>
  </si>
  <si>
    <t>NL ROYAL 4 HNY 12X800G CN TB YCF</t>
  </si>
  <si>
    <t>NL ROYAL 4 VAN 12X800G CN TB YCF</t>
  </si>
  <si>
    <t>NL ROYAL 4 VAN 24X400G FB TB YCF</t>
  </si>
  <si>
    <t>NL ROYAL 4 VAN 6X2X900G MP TB YCF</t>
  </si>
  <si>
    <t>NB ROYAL+ 1 CESABIO 24X400G FB MLN</t>
  </si>
  <si>
    <t>NB ROYAL+ 1 CESABIO 10X800G FB MLN</t>
  </si>
  <si>
    <t>NL ROYAL+ 3 VAN CESABIO 12X800G CN MLN</t>
  </si>
  <si>
    <t>NL ROYAL+ 3 VAN CESABIO 24X400G FB MLN</t>
  </si>
  <si>
    <t>203837E</t>
  </si>
  <si>
    <t>BEBELAC 3 PLAIN HiQ 24X165ML RTD AURORA (EXPORT)</t>
  </si>
  <si>
    <t>DUMEX SG KID PLAIN 24X165 ML SP RTD FC</t>
  </si>
  <si>
    <t>HIQ SG PLAIN 24X165ML SP RTD FC</t>
  </si>
  <si>
    <t>196669A</t>
  </si>
  <si>
    <t>SGM ANANDA 0-6 48X120G FB GRD 2.1 BOLT</t>
  </si>
  <si>
    <t>196670A</t>
  </si>
  <si>
    <t>SGM ANANDA 0-6 48X150G FB GRD 2.1 BOLT</t>
  </si>
  <si>
    <t>196671A</t>
  </si>
  <si>
    <t>SGM ANANDA 0-6 24X400G FB GRD 2.1 BOLT</t>
  </si>
  <si>
    <t>210729A</t>
  </si>
  <si>
    <t>SGM ANANDA 0-6 12X550G FB GRD FLASH BOLT</t>
  </si>
  <si>
    <t>196673A</t>
  </si>
  <si>
    <t>SGM ANANDA 0-6 10X1000G FB GRD 2.1 BOLT</t>
  </si>
  <si>
    <t>196664A</t>
  </si>
  <si>
    <t>SGM ANANDA 6-12 48X120G FB GRD 2.1 BOLT</t>
  </si>
  <si>
    <t>196665A</t>
  </si>
  <si>
    <t>SGM ANANDA 6-12 48X150G FB GRD 2.1 BOLT</t>
  </si>
  <si>
    <t>196666A</t>
  </si>
  <si>
    <t>SGM ANANDA 6-12 24X400G FB GRD 2.1 BOLT</t>
  </si>
  <si>
    <t>210728A</t>
  </si>
  <si>
    <t>SGM ANANDA 6-12 12X550G FB GRD FLASH BOLT</t>
  </si>
  <si>
    <t>196668A</t>
  </si>
  <si>
    <t>SGM ANANDA 6-12 10X1000G FB GRD 2.1 BOLT</t>
  </si>
  <si>
    <t>196642A</t>
  </si>
  <si>
    <t>SGM E1+ HONEY 48X150G FB GRD 2.1 BOLT</t>
  </si>
  <si>
    <t>196654A</t>
  </si>
  <si>
    <t>SGM E1+ VANILLA 48X150G FB GRD 2.1 BOLT</t>
  </si>
  <si>
    <t>196655A</t>
  </si>
  <si>
    <t>SGM E1+ VANILLA 21X400G FB GRD 2.1 BOLT</t>
  </si>
  <si>
    <t>196648A</t>
  </si>
  <si>
    <t>SGM E1+ HONEY 21X400G FB GRD 2.1 BOLT</t>
  </si>
  <si>
    <t>196653A</t>
  </si>
  <si>
    <t>SGM E1+ HONEY 12X600G FB GRD 2.1 BOLT</t>
  </si>
  <si>
    <t>196656A</t>
  </si>
  <si>
    <t>SGM E1+ VANILLA 12X600G FB GRD 2.1 BOLT</t>
  </si>
  <si>
    <t>196805A</t>
  </si>
  <si>
    <t>SGM E1+ HONEY 10X900G FB GRD 2.1 BOLT</t>
  </si>
  <si>
    <t>196877A</t>
  </si>
  <si>
    <t>SGM E1+ VANILLA 10X900G FB GRD 2.1 BOLT</t>
  </si>
  <si>
    <t>208391A</t>
  </si>
  <si>
    <t>SGM E1+ VANILLA 6X2X800G FB FLASH​ BOLT</t>
  </si>
  <si>
    <t>208392A</t>
  </si>
  <si>
    <t>SGM E1+ HONEY 6X2X800G FB FLASH​ BOLT</t>
  </si>
  <si>
    <t>205725A</t>
  </si>
  <si>
    <t>SGM E1+ HONEY 4X3X1000G FB BIRKIN​ BOLT</t>
  </si>
  <si>
    <t>205728A</t>
  </si>
  <si>
    <t>SGM E1+ VANILLA 4X3X1000G FB BIRKIN​ BOLT</t>
  </si>
  <si>
    <t>196657A</t>
  </si>
  <si>
    <t>SGM E3+ HONEY 48X150G FB GRD 2.1 BOLT</t>
  </si>
  <si>
    <t>208376A</t>
  </si>
  <si>
    <t>SGM E3+ CHOCO 21X400G FB FLASH BOLT</t>
  </si>
  <si>
    <t>196658A</t>
  </si>
  <si>
    <t>SGM E3+ HONEY 21X400G FB GRD 2.1 BOLT</t>
  </si>
  <si>
    <t>196660A</t>
  </si>
  <si>
    <t>SGM E3+ VANILLA 21X400G FB GRD 2.1 BOLT</t>
  </si>
  <si>
    <t>196659A</t>
  </si>
  <si>
    <t>SGM E3+ HONEY 12X600G FB GRD 2.1 BOLT</t>
  </si>
  <si>
    <t>196661A</t>
  </si>
  <si>
    <t>SGM E3+ VANILLA 12X600G FB GRD 2.1 BOLT</t>
  </si>
  <si>
    <t>196879A</t>
  </si>
  <si>
    <t>SGM E3+ VANILLA 10X900G FB GRD 2.1 BOLT</t>
  </si>
  <si>
    <t>196878A</t>
  </si>
  <si>
    <t>SGM E3+ HONEY 10X900G FB GRD 2.1 BOLT</t>
  </si>
  <si>
    <t>208375A</t>
  </si>
  <si>
    <t>SGM E3+ CHOCO 10X900G FB FLASH BOLT</t>
  </si>
  <si>
    <t>208370A</t>
  </si>
  <si>
    <t>SGM E3+ VANILLA 6X2X800G FB FLASH BOLT</t>
  </si>
  <si>
    <t>208371A</t>
  </si>
  <si>
    <t>SGM E3+ HONEY 6X2X800G FB FLASH BOLT</t>
  </si>
  <si>
    <t>205732A</t>
  </si>
  <si>
    <t>SGM E3+ HONEY 4X3X1000G FB BIRKIN​ BOLT</t>
  </si>
  <si>
    <t>205739A</t>
  </si>
  <si>
    <t>SGM E3+ VANILLA 4X3X1000G FB BIRKIN​ BOLT</t>
  </si>
  <si>
    <t>196663A</t>
  </si>
  <si>
    <t>SGM E5+ HONEY 21X400G FB GRD 2.1 BOLT</t>
  </si>
  <si>
    <t>206030A</t>
  </si>
  <si>
    <t>SGM E5+ HONEY 12X575G FB ROBLOX BOLT</t>
  </si>
  <si>
    <t>208362A</t>
  </si>
  <si>
    <t>SGM E5+ VANILLA 12X575G FB GRD 3.0 BOLT</t>
  </si>
  <si>
    <t>196881A</t>
  </si>
  <si>
    <t>SGM E5+ HONEY 10X900G FB GRD 2.1 BOLT</t>
  </si>
  <si>
    <t>196882A</t>
  </si>
  <si>
    <t>SGM E5+ CHOCO 10X900G FB GRD 2.1 BOLT</t>
  </si>
  <si>
    <t>1V1050</t>
  </si>
  <si>
    <t>SGM E1+ VANILLA 10X1050G FB BOLT VAL PCK</t>
  </si>
  <si>
    <t>3H1050</t>
  </si>
  <si>
    <t>SGM E3+ HONEY 10X1050G FB BOLT VAL PCK</t>
  </si>
  <si>
    <t>3V1050</t>
  </si>
  <si>
    <t>SGM E3+ VANILLA 10X1050G FB BOLT VAL PCK</t>
  </si>
  <si>
    <t>1V1500</t>
  </si>
  <si>
    <t>SGM E1+ VANILLA 6X2X750G FB BOLT</t>
  </si>
  <si>
    <t>3H1500</t>
  </si>
  <si>
    <t>SGM E3+ HONEY 6X2X750G FB BOLT</t>
  </si>
  <si>
    <t>3V1500</t>
  </si>
  <si>
    <t>SGM E3+ VANILLA 6X2X750G FB BOLT</t>
  </si>
  <si>
    <t>1H1050</t>
  </si>
  <si>
    <t>SGM E1+ HONEY 10X1050G FB BOLT VAL PCK</t>
  </si>
  <si>
    <t>1H1500</t>
  </si>
  <si>
    <t>SGM E1+ HONEY 6X2X750G FB BOLT</t>
  </si>
  <si>
    <t>B</t>
  </si>
  <si>
    <t>material</t>
  </si>
  <si>
    <t>material_description</t>
  </si>
  <si>
    <t>size_format</t>
  </si>
  <si>
    <t>insource_or_outsource</t>
  </si>
  <si>
    <t>machine_1</t>
  </si>
  <si>
    <t>created_at</t>
  </si>
  <si>
    <t>updated_at</t>
  </si>
  <si>
    <t>SGM E1+ HONEY 10X1500G FB BOLT</t>
  </si>
  <si>
    <t>1500.0</t>
  </si>
  <si>
    <t>10.0</t>
  </si>
  <si>
    <t>15.0</t>
  </si>
  <si>
    <t>Big</t>
  </si>
  <si>
    <t>Insource</t>
  </si>
  <si>
    <t>2026-01-14 07:35:15.367044+00</t>
  </si>
  <si>
    <t>1050.0</t>
  </si>
  <si>
    <t>10.5</t>
  </si>
  <si>
    <t>SGM E3+ VANILLA 10X1500G FB BOLT</t>
  </si>
  <si>
    <t>SGM E3+ HONEY 10X1500G FB BOLT</t>
  </si>
  <si>
    <t>SGM E1+ VANILLA 10X1500G FB BOLT</t>
  </si>
  <si>
    <t>900.0</t>
  </si>
  <si>
    <t>9.0</t>
  </si>
  <si>
    <t>575.0</t>
  </si>
  <si>
    <t>12.0</t>
  </si>
  <si>
    <t>6.9</t>
  </si>
  <si>
    <t>400.0</t>
  </si>
  <si>
    <t>21.0</t>
  </si>
  <si>
    <t>8.4</t>
  </si>
  <si>
    <t>Medium</t>
  </si>
  <si>
    <t>3000.0</t>
  </si>
  <si>
    <t>4.0</t>
  </si>
  <si>
    <t>1600.0</t>
  </si>
  <si>
    <t>6.0</t>
  </si>
  <si>
    <t>9.6</t>
  </si>
  <si>
    <t>600.0</t>
  </si>
  <si>
    <t>7.2</t>
  </si>
  <si>
    <t>150.0</t>
  </si>
  <si>
    <t>48.0</t>
  </si>
  <si>
    <t>Small</t>
  </si>
  <si>
    <t>1000.0</t>
  </si>
  <si>
    <t>L2</t>
  </si>
  <si>
    <t>550.0</t>
  </si>
  <si>
    <t>6.6</t>
  </si>
  <si>
    <t>L4</t>
  </si>
  <si>
    <t>24.0</t>
  </si>
  <si>
    <t>L3</t>
  </si>
  <si>
    <t>120.0</t>
  </si>
  <si>
    <t>5.76</t>
  </si>
  <si>
    <t>213540</t>
  </si>
  <si>
    <t>165.0</t>
  </si>
  <si>
    <t>4.1184</t>
  </si>
  <si>
    <t>Outsource</t>
  </si>
  <si>
    <t>3rd Party</t>
  </si>
  <si>
    <t>213541</t>
  </si>
  <si>
    <t>205308</t>
  </si>
  <si>
    <t>SGZ</t>
  </si>
  <si>
    <t>213735</t>
  </si>
  <si>
    <t>800.0</t>
  </si>
  <si>
    <t>CANL SGZ</t>
  </si>
  <si>
    <t>213734</t>
  </si>
  <si>
    <t>8.0</t>
  </si>
  <si>
    <t>213733</t>
  </si>
  <si>
    <t>193907</t>
  </si>
  <si>
    <t>1800.0</t>
  </si>
  <si>
    <t>10.8</t>
  </si>
  <si>
    <t>193899</t>
  </si>
  <si>
    <t>193898</t>
  </si>
  <si>
    <t>193837</t>
  </si>
  <si>
    <t>193903</t>
  </si>
  <si>
    <t>193906</t>
  </si>
  <si>
    <t>193904</t>
  </si>
  <si>
    <t>193897</t>
  </si>
  <si>
    <t>193902</t>
  </si>
  <si>
    <t>193901</t>
  </si>
  <si>
    <t>213732</t>
  </si>
  <si>
    <t>213731</t>
  </si>
  <si>
    <t>209066</t>
  </si>
  <si>
    <t>209065</t>
  </si>
  <si>
    <t>213941</t>
  </si>
  <si>
    <t>775.0</t>
  </si>
  <si>
    <t>7.75</t>
  </si>
  <si>
    <t>213942</t>
  </si>
  <si>
    <t>213929</t>
  </si>
  <si>
    <t>213930</t>
  </si>
  <si>
    <t>213157</t>
  </si>
  <si>
    <t>BEBELOVE 6-12 GREAT+ 10X775G FB BLINK</t>
  </si>
  <si>
    <t>213160</t>
  </si>
  <si>
    <t>BEBELOVE 6-12 GREAT+ 12X600G FB BLINK</t>
  </si>
  <si>
    <t>213158</t>
  </si>
  <si>
    <t>BEBELOVE 0-6 GREAT+ 10X775G FB BLINK</t>
  </si>
  <si>
    <t>213164</t>
  </si>
  <si>
    <t>BEBELOVE 0-6 GREAT+ 12X600G FB BLINK</t>
  </si>
  <si>
    <t>205309</t>
  </si>
  <si>
    <t>211320</t>
  </si>
  <si>
    <t>211314</t>
  </si>
  <si>
    <t>211450</t>
  </si>
  <si>
    <t>211451</t>
  </si>
  <si>
    <t>211319</t>
  </si>
  <si>
    <t>211321</t>
  </si>
  <si>
    <t>211315</t>
  </si>
  <si>
    <t>211316</t>
  </si>
  <si>
    <t>209069</t>
  </si>
  <si>
    <t>209068</t>
  </si>
  <si>
    <t>208972</t>
  </si>
  <si>
    <t>208969</t>
  </si>
  <si>
    <t>208970</t>
  </si>
  <si>
    <t>208971</t>
  </si>
  <si>
    <t>209061</t>
  </si>
  <si>
    <t>209062</t>
  </si>
  <si>
    <t>105.0</t>
  </si>
  <si>
    <t>40.0</t>
  </si>
  <si>
    <t>4.368</t>
  </si>
  <si>
    <t>CANL</t>
  </si>
  <si>
    <t>2026-01-29 03:08:10.18307+00</t>
  </si>
  <si>
    <t>2026-01-29 02:41:19.085935+00</t>
  </si>
  <si>
    <t>375.0</t>
  </si>
  <si>
    <t>7.875</t>
  </si>
  <si>
    <t>205168</t>
  </si>
  <si>
    <t>SGM EKS GAIN OPTIGROW VAN 10X800G FB HULK</t>
  </si>
  <si>
    <t>4.8</t>
  </si>
  <si>
    <t>300.0</t>
  </si>
  <si>
    <t>350.0</t>
  </si>
  <si>
    <t>175.0</t>
  </si>
  <si>
    <t>4.2</t>
  </si>
  <si>
    <t>620.0</t>
  </si>
  <si>
    <t>7.44</t>
  </si>
  <si>
    <t>700.0</t>
  </si>
  <si>
    <t>7.0</t>
  </si>
  <si>
    <t>360.0</t>
  </si>
  <si>
    <t>8.64</t>
  </si>
  <si>
    <t>201489</t>
  </si>
  <si>
    <t>BEBELAC 4 VAN 4X3X1000G FB PGS DPO</t>
  </si>
  <si>
    <t>201488</t>
  </si>
  <si>
    <t>BEBELAC 4 VAN GREAT+ 6X2X900G MP PGS DPO</t>
  </si>
  <si>
    <t>201487</t>
  </si>
  <si>
    <t>BEBELAC 4 VAN GREAT+ 10X1000G FB PGS DPO</t>
  </si>
  <si>
    <t>201486</t>
  </si>
  <si>
    <t>BEBELAC 4 VAN GREAT+ 24X400G FB PGS DPO</t>
  </si>
  <si>
    <t>201485</t>
  </si>
  <si>
    <t>BEBELAC 4 HNY 4X3X1000G FB PGS DPO</t>
  </si>
  <si>
    <t>201483</t>
  </si>
  <si>
    <t>BEBELAC 4 HNY GREAT+ 6X2X900G MP PGS DPO</t>
  </si>
  <si>
    <t>201480</t>
  </si>
  <si>
    <t>BEBELAC 4 HNY GREAT+ 10X1000G FB PGS DPO</t>
  </si>
  <si>
    <t>201479</t>
  </si>
  <si>
    <t>BEBELAC 4 HNY GREAT+ 24X400G FB PGS DPO</t>
  </si>
  <si>
    <t>201478</t>
  </si>
  <si>
    <t>BEBELAC 3 VAN 4X3X1000G FB PGS DPO</t>
  </si>
  <si>
    <t>201477</t>
  </si>
  <si>
    <t>BEBELAC 3 VAN GREAT+ 6X2X900G MP PGS DPO</t>
  </si>
  <si>
    <t>201476</t>
  </si>
  <si>
    <t>BEBELAC 3 VAN GREAT+ 10X1000G FB PGS DPO</t>
  </si>
  <si>
    <t>201475</t>
  </si>
  <si>
    <t>BEBELAC 3 VAN GREAT+ 12X620G FB PGS DPO</t>
  </si>
  <si>
    <t>201474</t>
  </si>
  <si>
    <t>BEBELAC 3 VAN GREAT+ 24X400G FB PGS DPO</t>
  </si>
  <si>
    <t>201473</t>
  </si>
  <si>
    <t>BEBELAC 3 HNY 4X3X1000G FB PGS DPO</t>
  </si>
  <si>
    <t>201472</t>
  </si>
  <si>
    <t>BEBELAC 3 HNY GREAT+ 6X2X900G MP PGS DPO</t>
  </si>
  <si>
    <t>201471</t>
  </si>
  <si>
    <t>BEBELAC 3 HNY GREAT+ 10X1000G FB PGS DPO</t>
  </si>
  <si>
    <t>201470</t>
  </si>
  <si>
    <t>BEBELAC 3 HNY GREAT+ 12X620G FB PGS DPO</t>
  </si>
  <si>
    <t>201469</t>
  </si>
  <si>
    <t>BEBELAC 3 HNY GREAT+ 24X200G FB PGS DPO</t>
  </si>
  <si>
    <t>200.0</t>
  </si>
  <si>
    <t>201468</t>
  </si>
  <si>
    <t>BEBELAC 3 HNY GREAT+ 24X400G FB PGS DPO</t>
  </si>
  <si>
    <t>30.0</t>
  </si>
  <si>
    <t>197019</t>
  </si>
  <si>
    <t>SGM E5+ HONEY 10X900G FB ZBD GRD 2.0</t>
  </si>
  <si>
    <t>197017</t>
  </si>
  <si>
    <t>SGM E5+ HONEY 21X400G FB ZBD GRD 2.0</t>
  </si>
  <si>
    <t>ROV1</t>
  </si>
  <si>
    <t>196410</t>
  </si>
  <si>
    <t>SGM EKS GAIN OPTIGROW VAN 24X400G FB PRS</t>
  </si>
  <si>
    <t>170.0</t>
  </si>
  <si>
    <t>4.08</t>
  </si>
  <si>
    <t>195075</t>
  </si>
  <si>
    <t>BEBELAC 3 HNY GREAT+ 24X200G FB PGS ZBD</t>
  </si>
  <si>
    <t>195074</t>
  </si>
  <si>
    <t>BEBELAC 3 HNY GREAT+ 24X400G FB PGS ZBD</t>
  </si>
  <si>
    <t>195073</t>
  </si>
  <si>
    <t>BEBELAC 3 HNY GREAT+ 12X620G FB PGS ZBD</t>
  </si>
  <si>
    <t>195072</t>
  </si>
  <si>
    <t>BEBELAC 3 HNY GREAT+ 10X1000G FB PGS ZBD</t>
  </si>
  <si>
    <t>195071</t>
  </si>
  <si>
    <t>BEBELAC 3 HNY GREAT+ 6X2X900G MP PGS ZBD</t>
  </si>
  <si>
    <t>195070</t>
  </si>
  <si>
    <t>BEBELAC 3 HNY 4X3X1000G FB UPSIZE ZBD</t>
  </si>
  <si>
    <t>195069</t>
  </si>
  <si>
    <t>BEBELAC 3 VAN GREAT+ 24X400G FB PGS ZBD</t>
  </si>
  <si>
    <t>195068</t>
  </si>
  <si>
    <t>BEBELAC 3 VAN GREAT+ 12X620G FB PGS ZBD</t>
  </si>
  <si>
    <t>195067</t>
  </si>
  <si>
    <t>BEBELAC 3 VAN GREAT+ 10X1000G FB PGS ZBD</t>
  </si>
  <si>
    <t>195065</t>
  </si>
  <si>
    <t>BEBELAC 3 VAN GREAT+ 6X2X900G MP PGS ZBD</t>
  </si>
  <si>
    <t>195063</t>
  </si>
  <si>
    <t>BEBELAC 3 VAN 4X3X1000G FB UPSIZE ZBD</t>
  </si>
  <si>
    <t>195062</t>
  </si>
  <si>
    <t>BEBELAC 4 HNY 4X3X1000G FB UPSIZE ZBD</t>
  </si>
  <si>
    <t>195061</t>
  </si>
  <si>
    <t>BEBELAC 4 HNY GREAT+ 6X2X900G MP PGS ZBD</t>
  </si>
  <si>
    <t>195060</t>
  </si>
  <si>
    <t>BEBELAC 4 HNY GREAT+ 10X1000G FB PGS ZBD</t>
  </si>
  <si>
    <t>195059</t>
  </si>
  <si>
    <t>BEBELAC 4 HNY GREAT+ 24X400G FB PGS ZBD</t>
  </si>
  <si>
    <t>195058</t>
  </si>
  <si>
    <t>BEBELAC 4 VAN GREAT+ 24X400G FB PGS ZBD</t>
  </si>
  <si>
    <t>195057</t>
  </si>
  <si>
    <t>BEBELAC 4 VAN GREAT+ 10X1000G FB PGS ZBD</t>
  </si>
  <si>
    <t>195055</t>
  </si>
  <si>
    <t>BEBELAC 4 VAN GREAT+ 6X2X900G MP PGS ZBD</t>
  </si>
  <si>
    <t>195053</t>
  </si>
  <si>
    <t>BEBELAC 4 VAN 4X3X1000G FB UPSIZE ZBD</t>
  </si>
  <si>
    <t>2.4</t>
  </si>
  <si>
    <t>178515</t>
  </si>
  <si>
    <t>BEBELAC 3 HNY GREAT+ 24X200G FB PGS</t>
  </si>
  <si>
    <t>178512</t>
  </si>
  <si>
    <t>BEBELAC 3 HNY GREAT+ 12X620G FB PGS</t>
  </si>
  <si>
    <t>178511</t>
  </si>
  <si>
    <t>BEBELAC 3 VAN GREAT+ 12X620G FB PGS</t>
  </si>
  <si>
    <t>178510</t>
  </si>
  <si>
    <t>BEBELAC 5 HNY GREAT+ 10X700G FB PGS</t>
  </si>
  <si>
    <t>178509</t>
  </si>
  <si>
    <t>BEBELAC 4 HNY GREAT+ 10X1000G FB PGS</t>
  </si>
  <si>
    <t>178508</t>
  </si>
  <si>
    <t>BEBELAC 4 VAN GREAT+ 10X1000G FB PGS</t>
  </si>
  <si>
    <t>178507</t>
  </si>
  <si>
    <t>BEBELAC 3 HNY GREAT+ 10X1000G FB PGS</t>
  </si>
  <si>
    <t>178506</t>
  </si>
  <si>
    <t>BEBELAC 3 VAN GREAT+ 10X1000G FB PGS</t>
  </si>
  <si>
    <t>178499</t>
  </si>
  <si>
    <t>BEBELAC 4 HNY GREAT+ 6X2X900G MP PGS</t>
  </si>
  <si>
    <t>178498</t>
  </si>
  <si>
    <t>BEBELAC 4 VAN GREAT+ 6X2X900G MP PGS</t>
  </si>
  <si>
    <t>178497</t>
  </si>
  <si>
    <t>BEBELAC 3 HNY GREAT+ 6X2X900G MP PGS</t>
  </si>
  <si>
    <t>178496</t>
  </si>
  <si>
    <t>BEBELAC 3 VAN GREAT+ 6X2X900G MP PGS</t>
  </si>
  <si>
    <t>178483</t>
  </si>
  <si>
    <t>BEBELAC 4 CHO GREAT+ 24X400G FB PGS</t>
  </si>
  <si>
    <t>178482</t>
  </si>
  <si>
    <t>BEBELAC 4 HNY GREAT+ 24X400G FB PGS</t>
  </si>
  <si>
    <t>178481</t>
  </si>
  <si>
    <t>BEBELAC 4 VAN GREAT+ 24X400G FB PGS</t>
  </si>
  <si>
    <t>178480</t>
  </si>
  <si>
    <t>BEBELAC 3 HNY GREAT+ 24X400G FB PGS</t>
  </si>
  <si>
    <t>178479</t>
  </si>
  <si>
    <t>BEBELAC 3 VAN GREAT+ 24X400G FB PGS</t>
  </si>
  <si>
    <t>178210</t>
  </si>
  <si>
    <t>BEBELAC 4 VANILLA 4X3X1000G FB UPSIZE</t>
  </si>
  <si>
    <t>178209</t>
  </si>
  <si>
    <t>BEBELAC 4 HONEY 4X3X1000G FB UPSIZE</t>
  </si>
  <si>
    <t>178208</t>
  </si>
  <si>
    <t>BEBELAC 3 VANILLA 4X3X1000G FB UPSIZE</t>
  </si>
  <si>
    <t>177926</t>
  </si>
  <si>
    <t>BEBELAC 3 HONEY 4X3X1000G FB UPSIZE</t>
  </si>
  <si>
    <t>177925</t>
  </si>
  <si>
    <t>SGM YUMMINUTRI VAN 21X330G FB TRS</t>
  </si>
  <si>
    <t>Vital</t>
  </si>
  <si>
    <t>330.0</t>
  </si>
  <si>
    <t>6.93</t>
  </si>
  <si>
    <t>173764</t>
  </si>
  <si>
    <t>C&amp;G Happy Tummy 3+ Choc 21x400g FB (LK)</t>
  </si>
  <si>
    <t>173763</t>
  </si>
  <si>
    <t>C&amp;G Happy Tummy 3+ Hon 21x400g FB (LK)</t>
  </si>
  <si>
    <t>173762</t>
  </si>
  <si>
    <t>C&amp;G Happy Tummy 3+ Van 21x400g FB (LK)</t>
  </si>
  <si>
    <t>173761</t>
  </si>
  <si>
    <t>C&amp;G Happy Tummy 1+ Hon 21x400g FB (LK)</t>
  </si>
  <si>
    <t>173760</t>
  </si>
  <si>
    <t>C&amp;G Happy Tummy 1+ Van 21x400g FB (LK)</t>
  </si>
  <si>
    <t>173049</t>
  </si>
  <si>
    <t>FORTIFIT VANILLA 21X210G FB (MY/SG) FIT</t>
  </si>
  <si>
    <t>210.0</t>
  </si>
  <si>
    <t>4.41</t>
  </si>
  <si>
    <t>170474</t>
  </si>
  <si>
    <t>SGM YUMMINUTRI CHO 12X690G FB TRS</t>
  </si>
  <si>
    <t>690.0</t>
  </si>
  <si>
    <t>8.28</t>
  </si>
  <si>
    <t>170473</t>
  </si>
  <si>
    <t>SGM YUMMINUTRI CHO 21X330G FB TRS</t>
  </si>
  <si>
    <t>170472</t>
  </si>
  <si>
    <t>SGM YUMMINUTRI CHO 48X100G FB TRS</t>
  </si>
  <si>
    <t>100.0</t>
  </si>
  <si>
    <t>170116</t>
  </si>
  <si>
    <t>SGM YUMMINUTRI VAN 12X690G FB TRS</t>
  </si>
  <si>
    <t>170114</t>
  </si>
  <si>
    <t>SGM YUMMINUTRI VAN 48X100G FB TRS</t>
  </si>
  <si>
    <t>169789</t>
  </si>
  <si>
    <t>FORTIFIT VANILLA 12X510G FB GD TRS</t>
  </si>
  <si>
    <t>Fortifit</t>
  </si>
  <si>
    <t>510.0</t>
  </si>
  <si>
    <t>6.12</t>
  </si>
  <si>
    <t>168919</t>
  </si>
  <si>
    <t>SGM EKS OPTIGROW VAN 24X400G FB TW</t>
  </si>
  <si>
    <t>168182</t>
  </si>
  <si>
    <t>SGM E3+ CHOCO 10X1000G FB GRD 2.0</t>
  </si>
  <si>
    <t>168180</t>
  </si>
  <si>
    <t>SGM E3+ VANILLA 10X1000G FB GRD 2.0</t>
  </si>
  <si>
    <t>168179</t>
  </si>
  <si>
    <t>SGM E3+ HONEY 10X1000G FB GRD 2.0</t>
  </si>
  <si>
    <t>168178</t>
  </si>
  <si>
    <t>SGM E1+ VANILLA 10X1000G FB GRD 2.0</t>
  </si>
  <si>
    <t>168177</t>
  </si>
  <si>
    <t>SGM E1+ HONEY 10X1000G FB GRD 2.0</t>
  </si>
  <si>
    <t>160.0</t>
  </si>
  <si>
    <t>3.84</t>
  </si>
  <si>
    <t>3.0</t>
  </si>
  <si>
    <t>2.7</t>
  </si>
  <si>
    <t>160155</t>
  </si>
  <si>
    <t>SGM E3+ HONEY 12X600G FB GRD 2.0</t>
  </si>
  <si>
    <t>159174</t>
  </si>
  <si>
    <t>SGM E1+ VANILLA 48X150G FB GRD 2.0</t>
  </si>
  <si>
    <t>EF</t>
  </si>
  <si>
    <t>159172</t>
  </si>
  <si>
    <t>SGM E1+ HONEY 48X150G FB GRD 2.0</t>
  </si>
  <si>
    <t>158329</t>
  </si>
  <si>
    <t>SGM BUNDA IHIM STRAW 48X150G FB GRD2.0</t>
  </si>
  <si>
    <t>158326</t>
  </si>
  <si>
    <t>SGM E3+ HONEY 48X150G FB GRD 2.0</t>
  </si>
  <si>
    <t>158325</t>
  </si>
  <si>
    <t>SGM ANANDA 6-12 48X150G FB GRD 2.0</t>
  </si>
  <si>
    <t>158324</t>
  </si>
  <si>
    <t>SGM ANANDA 6-12 48X120G FB GRD 2.0</t>
  </si>
  <si>
    <t>158200</t>
  </si>
  <si>
    <t>SGM E3+ VANILLA 12X600G FB GRD 2.0</t>
  </si>
  <si>
    <t>158198</t>
  </si>
  <si>
    <t>SGM E1+ VANILLA 12X600G FB GRD 2.0</t>
  </si>
  <si>
    <t>158197</t>
  </si>
  <si>
    <t>SGM E1+ HONEY 12X600G FB GRD 2.0</t>
  </si>
  <si>
    <t>158196</t>
  </si>
  <si>
    <t>SGM ANANDA 6-12 12X600G FB GRD 2.0</t>
  </si>
  <si>
    <t>158195</t>
  </si>
  <si>
    <t>SGM E3+ VANILLA 10X900G FB GRD 2.0</t>
  </si>
  <si>
    <t>158193</t>
  </si>
  <si>
    <t>SGM E5+ CHOCO 10X900G FB GRD 2.0</t>
  </si>
  <si>
    <t>158191</t>
  </si>
  <si>
    <t>SGM E5+ HONEY 10X900G FB GRD 2.0</t>
  </si>
  <si>
    <t>158190</t>
  </si>
  <si>
    <t>SGM E3+ HONEY 10X900G FB GRD 2.0</t>
  </si>
  <si>
    <t>158189</t>
  </si>
  <si>
    <t>SGM E3+ CHOCO 10X900G FB GRD 2.0</t>
  </si>
  <si>
    <t>158188</t>
  </si>
  <si>
    <t>SGM E1+ VANILLA 10X900G FB GRD 2.0</t>
  </si>
  <si>
    <t>158187</t>
  </si>
  <si>
    <t>SGM E1+ HONEY 10X900G FB GRD 2.0</t>
  </si>
  <si>
    <t>158066</t>
  </si>
  <si>
    <t>SGM ANANDA 6-12 21X400G FB GRD 2.0</t>
  </si>
  <si>
    <t>158064</t>
  </si>
  <si>
    <t>SGM ANANDA 6-12 10X1000G FB GRD 2.0</t>
  </si>
  <si>
    <t>157951</t>
  </si>
  <si>
    <t>SGM E1+ HONEY 21X400G FB GRD 2.0</t>
  </si>
  <si>
    <t>6.3</t>
  </si>
  <si>
    <t>157936</t>
  </si>
  <si>
    <t>SGM E5+ CHOCO 12X400G FB ROBLOX</t>
  </si>
  <si>
    <t>157934</t>
  </si>
  <si>
    <t>157931</t>
  </si>
  <si>
    <t>SGM E3+ VANILLA 21X400G FB GRD 2.0</t>
  </si>
  <si>
    <t>157930</t>
  </si>
  <si>
    <t>SGM E3+ HONEY 21X400G FB GRD 2.0</t>
  </si>
  <si>
    <t>157924</t>
  </si>
  <si>
    <t>SGM E3+ CHOCO 21X400G FB GRD 2.0</t>
  </si>
  <si>
    <t>157910</t>
  </si>
  <si>
    <t>SGM E1+ VANILLA 21X400G FB GRD 2.0</t>
  </si>
  <si>
    <t>153997</t>
  </si>
  <si>
    <t>SGM ANANDA 6-12 48X120G FB PH</t>
  </si>
  <si>
    <t>153992</t>
  </si>
  <si>
    <t>SGM ANANDA 0-6 48X120G FB PH</t>
  </si>
  <si>
    <t>147461</t>
  </si>
  <si>
    <t>NB ROYAL 1 24X400G FB PHP SYNEO</t>
  </si>
  <si>
    <t>import</t>
  </si>
  <si>
    <t>147450</t>
  </si>
  <si>
    <t>NB ROYAL 2 24X400G FB PHP SYNEO</t>
  </si>
  <si>
    <t>COW &amp; GATE BLUE 2 24X350G FB (LK)</t>
  </si>
  <si>
    <t>850.0</t>
  </si>
  <si>
    <t>10.2</t>
  </si>
  <si>
    <t>143492</t>
  </si>
  <si>
    <t>MILUPA LACTAMIL 21X200G FB BS</t>
  </si>
  <si>
    <t>Turkey</t>
  </si>
  <si>
    <t>140708</t>
  </si>
  <si>
    <t>SGM AKTIF STRAW 10X4X110ML RTD MP</t>
  </si>
  <si>
    <t>SGM RTD</t>
  </si>
  <si>
    <t>4.597999226616531</t>
  </si>
  <si>
    <t>140705</t>
  </si>
  <si>
    <t>SGM AKTIF CHOCO 10X4X110ML RTD MP</t>
  </si>
  <si>
    <t>4.5935996457416</t>
  </si>
  <si>
    <t>140702</t>
  </si>
  <si>
    <t>LACTAMIL INISIS CHOCO 18X400G BS</t>
  </si>
  <si>
    <t>Lactamil</t>
  </si>
  <si>
    <t>18.0</t>
  </si>
  <si>
    <t>140701</t>
  </si>
  <si>
    <t>LACTAMIL LACT CHOCO 18X400G BS</t>
  </si>
  <si>
    <t>140440</t>
  </si>
  <si>
    <t>LACTAMIL PREG VANILA 18X400G BS</t>
  </si>
  <si>
    <t>140439</t>
  </si>
  <si>
    <t>LACTAMIL PREG CHOCO 18X400G BS</t>
  </si>
  <si>
    <t>140438</t>
  </si>
  <si>
    <t>LACTAMIL LACT VAN 18X400G BS</t>
  </si>
  <si>
    <t>140437</t>
  </si>
  <si>
    <t>LACTAMIL LACT CHOCO 21X200G BS</t>
  </si>
  <si>
    <t>140436</t>
  </si>
  <si>
    <t>LACTAMIL PREG VANILA 21X200G BS</t>
  </si>
  <si>
    <t>140435</t>
  </si>
  <si>
    <t>LACTAMIL PREG CHOCO 21X200G BS</t>
  </si>
  <si>
    <t>140434</t>
  </si>
  <si>
    <t>LACTAMIL PREG STRAW 21X200G BS</t>
  </si>
  <si>
    <t>140433</t>
  </si>
  <si>
    <t>LACTAMIL INISIS CHOCO 21X200G BS</t>
  </si>
  <si>
    <t>138818</t>
  </si>
  <si>
    <t>BEBELAC GO CHOCO 10X4X112ML RTD MP</t>
  </si>
  <si>
    <t>4.721992680911344</t>
  </si>
  <si>
    <t>138815</t>
  </si>
  <si>
    <t>BEBELAC GO VANILLA 10X4X112ML RTD MP</t>
  </si>
  <si>
    <t>4.6953867824862074</t>
  </si>
  <si>
    <t>1400.0</t>
  </si>
  <si>
    <t>137639</t>
  </si>
  <si>
    <t>SGM AKTIF STRAW 40X110ML RTD</t>
  </si>
  <si>
    <t>137636</t>
  </si>
  <si>
    <t>SGM AKTIF CHOCO 40X110ML RTD</t>
  </si>
  <si>
    <t>137628</t>
  </si>
  <si>
    <t>SGM E3+ HONEY 48X150G FB GRD</t>
  </si>
  <si>
    <t>137626</t>
  </si>
  <si>
    <t>SGM E1+ VANILLA 48X150G FB GRD</t>
  </si>
  <si>
    <t>137625</t>
  </si>
  <si>
    <t>SGM E1+ HONEY 48X150G FB GRD</t>
  </si>
  <si>
    <t>137622</t>
  </si>
  <si>
    <t>SGM E3+ VANILLA 21X400G FB GRD</t>
  </si>
  <si>
    <t>137611</t>
  </si>
  <si>
    <t>SGM ANANDA 6-12 48X150G FB GRD</t>
  </si>
  <si>
    <t>137610</t>
  </si>
  <si>
    <t>SGM ANANDA 0-6 48X150G FB GRD</t>
  </si>
  <si>
    <t>137609</t>
  </si>
  <si>
    <t>SGM ANANDA 6-12 48X120G FB GRD</t>
  </si>
  <si>
    <t>137608</t>
  </si>
  <si>
    <t>SGM ANANDA 0-6 48X120G FB GRD</t>
  </si>
  <si>
    <t>137605</t>
  </si>
  <si>
    <t>SGM Eksplor 1+ Plain 400g LUMINA</t>
  </si>
  <si>
    <t>137596</t>
  </si>
  <si>
    <t>SGM BUNDA IHIM CHOCO 21X300G FB GRD</t>
  </si>
  <si>
    <t>137595</t>
  </si>
  <si>
    <t>SGM BUNDA IHIM CHOCO 48X150G FB GRD</t>
  </si>
  <si>
    <t>137594</t>
  </si>
  <si>
    <t>SGM BUNDA IHIM STRAW 48X150G FB GRD</t>
  </si>
  <si>
    <t>137593</t>
  </si>
  <si>
    <t>SGM BUNDA IHIM ORANGE 48X150G FB GRD</t>
  </si>
  <si>
    <t>163659</t>
  </si>
  <si>
    <t>BEBELAC 3 VAN HIQEQ 24X400G FB RS NMD</t>
  </si>
  <si>
    <t>163853</t>
  </si>
  <si>
    <t>BEBELAC 3 VAN HIQEQ 10X1000G FB RS NMD</t>
  </si>
  <si>
    <t>164030</t>
  </si>
  <si>
    <t>BEBELAC 3 HNY HIQEQ 24X200G FB RS NMD</t>
  </si>
  <si>
    <t>163660</t>
  </si>
  <si>
    <t>BEBELAC 3 HNY HIQEQ 24X400G FB RS NMD</t>
  </si>
  <si>
    <t>163854</t>
  </si>
  <si>
    <t>BEBELAC 3 HNY HIQEQ 10X1000G FB RS NMD</t>
  </si>
  <si>
    <t>126550</t>
  </si>
  <si>
    <t>BEBELAC 4 VAN HiQEQ 24X400G FB RS</t>
  </si>
  <si>
    <t>130267</t>
  </si>
  <si>
    <t>BEBELAC 4 VAN HiQEQ 10X1000G FB RS</t>
  </si>
  <si>
    <t>126549</t>
  </si>
  <si>
    <t>BEBELAC 4 HNY HiQEQ 24X400G FB RS</t>
  </si>
  <si>
    <t>127644</t>
  </si>
  <si>
    <t>BEBELAC 4 HNY HiQEQ 10X1000G FB RS</t>
  </si>
  <si>
    <t>168790</t>
  </si>
  <si>
    <t>BEBELAC 3 VAN HIQEQ 24X400G FB RS2.0</t>
  </si>
  <si>
    <t>168799</t>
  </si>
  <si>
    <t>BEBELAC 3 VAN HIQEQ 10X1000G FB RS2.0</t>
  </si>
  <si>
    <t>168807</t>
  </si>
  <si>
    <t>BEBELAC 3 HNY HIQEQ 24X200G FB RS2.0</t>
  </si>
  <si>
    <t>168791</t>
  </si>
  <si>
    <t>BEBELAC 3 HNY HIQEQ 24X400G FB RS2.0</t>
  </si>
  <si>
    <t>168798</t>
  </si>
  <si>
    <t>BEBELAC 3 HNY HIQEQ 10X1000G FB RS2.0</t>
  </si>
  <si>
    <t>168792</t>
  </si>
  <si>
    <t>BEBELAC 4 VAN HIQEQ 24X400G FB RS2.0</t>
  </si>
  <si>
    <t>168801</t>
  </si>
  <si>
    <t>BEBELAC 4 VAN HIQEQ 10X1000G FB RS2.0</t>
  </si>
  <si>
    <t>168793</t>
  </si>
  <si>
    <t>BEBELAC 4 HNY HIQEQ 24X400G FB RS2.0</t>
  </si>
  <si>
    <t>168800</t>
  </si>
  <si>
    <t>BEBELAC 4 HNY HIQEQ 10X1000G FB RS2.0</t>
  </si>
  <si>
    <t>NaN</t>
  </si>
  <si>
    <t>SGM E1+ HONEY 10X900G FB GRD 2.5</t>
  </si>
  <si>
    <t>SGM E1+ VANILLA 10X900G FB GRD 2.5</t>
  </si>
  <si>
    <t>BEBELAC 3 VAN GREAT+ 24X350G FB PGS2.0</t>
  </si>
  <si>
    <t>BEBELAC 3 VAN GREAT+ 12X600G FB PGS2.0</t>
  </si>
  <si>
    <t>BEBELAC 3 VAN GREAT+ 10X1000G FB PGS2.0</t>
  </si>
  <si>
    <t>BEBELAC 3 HNY GREAT+ 24X175G FB PGS2.0</t>
  </si>
  <si>
    <t>BEBELAC 3 HNY GREAT+ 24X350G FB PGS2.0</t>
  </si>
  <si>
    <t>BEBELAC 3 HNY GREAT+ 12X600G FB PGS2.0</t>
  </si>
  <si>
    <t>BEBELAC 3 HNY GREAT+ 10X1000G FB PGS2.0</t>
  </si>
  <si>
    <t>BEBELAC 4 VAN GREAT+ 24X350G FB PGS2.0</t>
  </si>
  <si>
    <t>BEBELAC 4 VAN GREAT+ 10X1000G FB PGS2.0</t>
  </si>
  <si>
    <t>BEBELAC 4 HNY GREAT+ 24X350G FB PGS2.0</t>
  </si>
  <si>
    <t>BEBELAC 4 HNY GREAT+ 10X1000G FB PGS2.0</t>
  </si>
  <si>
    <t>205168A</t>
  </si>
  <si>
    <t>SGM EKS GAIN OPTIGROW VAN 10X800G FB PARIS 2.0</t>
  </si>
  <si>
    <t>BEBELAC 3 VAN 4X3X1000G FB PGS2.0</t>
  </si>
  <si>
    <t>BEBELAC 3 HNY 4X3X1000G FB PGS2.0</t>
  </si>
  <si>
    <t>BEBELAC 4 VAN 4X3X1000G FB PGS2.0</t>
  </si>
  <si>
    <t>BEBELAC 4 HNY 4X3X1000G FB PGS2.0</t>
  </si>
  <si>
    <t>SGM E1+ HONEY 48X150G FB GRD 2.5</t>
  </si>
  <si>
    <t>SGM E1+ VANILLA 48X150G FB GRD 2.5</t>
  </si>
  <si>
    <t>SGM E3+ HONEY 48X150G FB GRD 2.5</t>
  </si>
  <si>
    <t>NUTRICIA LACTAMIL 21X200G FB (TR)</t>
  </si>
  <si>
    <t>SGM E1+ HONEY 21X375G FB GRD 2.5</t>
  </si>
  <si>
    <t>SGM E1+ VANILLA 21X375G FB GRD 2.5</t>
  </si>
  <si>
    <t>SGM E3+ HONEY 21X375G FB GRD 2.5</t>
  </si>
  <si>
    <t>SGM E3+ HONEY 10X900G FB GRD 2.5</t>
  </si>
  <si>
    <t>SGM E3+ VANILLA 21X375G FB GRD 2.5</t>
  </si>
  <si>
    <t>SGM E3+ VANILLA 10X900G FB GRD 2.5</t>
  </si>
  <si>
    <t>SGM E5+ HONEY 21X400G FB GRD 2.5</t>
  </si>
  <si>
    <t>140432</t>
  </si>
  <si>
    <t>SUSU COKLAT DISTRIBUSI KEMASAN 1 KG</t>
  </si>
  <si>
    <t>SGM E1+ HONEY 12X600G FB GRD 2.5</t>
  </si>
  <si>
    <t>SGM E1+ VANILLA 12X600G FB GRD 2.5</t>
  </si>
  <si>
    <t>SGM E3+ HONEY 12X600G FB GRD 2.5</t>
  </si>
  <si>
    <t>SGM E3+ VANILLA 12X600G FB GRD 2.5</t>
  </si>
  <si>
    <t>SGM E3+ CHOCO 10X900G FB FLASH</t>
  </si>
  <si>
    <t>SGM E5+ CHOCO 10X900G FB GRD 2.5</t>
  </si>
  <si>
    <t>SGM E5+ HONEY 12X575G FB GRD 2.5</t>
  </si>
  <si>
    <t>SGM E5+ HONEY 10X900G FB GRD 2.5</t>
  </si>
  <si>
    <t>SGM E5+ VANILLA 12X575G FB GRD 2.5</t>
  </si>
  <si>
    <t>NEW 1+ HNY 1050G</t>
  </si>
  <si>
    <t>NEW 1+ VAN 1050G</t>
  </si>
  <si>
    <t>NEW 3+ HNY 1050G</t>
  </si>
  <si>
    <t>NEW 3+ VAN 1050G</t>
  </si>
  <si>
    <t>BEBELAC 3 VAN GREAT+ 6X2X900G MP PGS2.0</t>
  </si>
  <si>
    <t>BEBELAC 3 HNY GREAT+ 6X2X900G MP PGS2.0</t>
  </si>
  <si>
    <t>BEBELAC 4 VAN GREAT+ 6X2X900G MP PGS2.0</t>
  </si>
  <si>
    <t>BEBELAC 4 HNY GREAT+ 6X2X900G MP PGS2.0</t>
  </si>
  <si>
    <t>NL ROYAL 4 VAN 6X2X900 MP BS</t>
  </si>
  <si>
    <t>SGM E1+ HONEY 6X2X800G FB FLASH</t>
  </si>
  <si>
    <t>NEW 1+ HNY 1500G</t>
  </si>
  <si>
    <t>NEW 1+ VAN 1500G</t>
  </si>
  <si>
    <t>NEW 3+ HNY 1500G</t>
  </si>
  <si>
    <t>NEW 3+ VAN 1500G</t>
  </si>
  <si>
    <t>126714</t>
  </si>
  <si>
    <t>BEBELAC 4 HNY HiQEQ 6X2X900G MP RS</t>
  </si>
  <si>
    <t>126715</t>
  </si>
  <si>
    <t>BEBELAC 4 VAN HiQEQ 6X2X900G MP RS</t>
  </si>
  <si>
    <t>163912</t>
  </si>
  <si>
    <t>BEBELAC 3 HNY HIQEQ 6X2X900G FB RS NMD</t>
  </si>
  <si>
    <t>163911</t>
  </si>
  <si>
    <t>BEBELAC 3 VAN HIQEQ 6X2X900G FB RS NMD</t>
  </si>
  <si>
    <t>SGM E5+ HONEY 21X400G FB GRD 2.0</t>
  </si>
  <si>
    <t>168795</t>
  </si>
  <si>
    <t>BEBELAC 3 VAN HIQEQ 6X2X900G MP RS2.0</t>
  </si>
  <si>
    <t>168794</t>
  </si>
  <si>
    <t>BEBELAC 3 HNY HIQEQ 6X2X900G MP RS2.0</t>
  </si>
  <si>
    <t>168797</t>
  </si>
  <si>
    <t>BEBELAC 4 VAN HIQEQ 6X2X900G MP RS2.0</t>
  </si>
  <si>
    <t>168796</t>
  </si>
  <si>
    <t>BEBELAC 4 HNY HIQEQ 6X2X900G MP RS2.0</t>
  </si>
  <si>
    <t>SGM E1+ VANILLA 6X2X900G FB GRD 2.5​</t>
  </si>
  <si>
    <t>SGM E1+ HONEY 6X2X900G FB GRD 2.5​</t>
  </si>
  <si>
    <t>SGM E3+ VANILLA 6X2X900G FB GRD 2.5​</t>
  </si>
  <si>
    <t>SGM E3+ HONEY 6X2X900G FB GRD 2.5​</t>
  </si>
  <si>
    <t>126548</t>
  </si>
  <si>
    <t>BEBELAC 4 CHO HiQEQ 24X400G FB RS</t>
  </si>
  <si>
    <t>10453144</t>
  </si>
  <si>
    <t>SFG BEBELAC 3 VAN 10X1000G FB UPSIZE</t>
  </si>
  <si>
    <t>10453009</t>
  </si>
  <si>
    <t>SFG BEBELAC 3 HNY 10X1000G FB UPSIZE</t>
  </si>
  <si>
    <t>10453146</t>
  </si>
  <si>
    <t>SFG BEBELAC 4 VAN 10X1000G FB UPSIZE</t>
  </si>
  <si>
    <t>10453145</t>
  </si>
  <si>
    <t>SFG BEBELAC 4 HNY 10X1000G FB UPSIZE</t>
  </si>
  <si>
    <t>BEBELAC 3 HNY GREAT+ 24X400G FB PGS2.0</t>
  </si>
  <si>
    <t>SGM E1+ HONEY 4X3X1000G FB GRD 2.5​</t>
  </si>
  <si>
    <t>SGM E1+ VANILLA 4X3X1000G FB GRD 2.5​</t>
  </si>
  <si>
    <t>SGM E3+ HONEY 4X3X1000G FB GRD 2.5​</t>
  </si>
  <si>
    <t>SGM E3+ VANILLA 4X3X1000G FB GRD 2.5​</t>
  </si>
  <si>
    <t>TRS</t>
  </si>
  <si>
    <t>SGM E5+ CHOCO 21X400G FB GRD 2.0</t>
  </si>
  <si>
    <t>175404</t>
  </si>
  <si>
    <t>VITAL VANILLA 900G</t>
  </si>
  <si>
    <t>181980</t>
  </si>
  <si>
    <t>SGM YMNUTRI VAN 48X100G SAMPLE FB TRS</t>
  </si>
  <si>
    <t>181981</t>
  </si>
  <si>
    <t>SGM YMNUTRI CHO 48X100G SAMPLE FB TRS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</si>
</sst>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8" fillId="0" borderId="0"/>
    <xf numFmtId="0" fontId="8" fillId="0" borderId="0"/>
  </cellStyleXfs>
  <cellXfs count="16">
    <xf numFmtId="0" fontId="0" fillId="0" borderId="0" xfId="0" applyAlignment="1">
      <alignment wrapText="1"/>
    </xf>
    <xf numFmtId="0" fontId="2" fillId="0" borderId="1" xfId="0" applyFont="1" applyBorder="1"/>
    <xf numFmtId="0" fontId="1" fillId="0" borderId="0" xfId="1"/>
    <xf numFmtId="0" fontId="1" fillId="2" borderId="0" xfId="1" applyFill="1"/>
    <xf numFmtId="0" fontId="1" fillId="0" borderId="0" xfId="1" applyAlignment="1">
      <alignment vertical="center"/>
    </xf>
    <xf numFmtId="2" fontId="1" fillId="0" borderId="0" xfId="1" applyNumberFormat="1"/>
    <xf numFmtId="0" fontId="3" fillId="3" borderId="2" xfId="2" applyFont="1" applyFill="1" applyBorder="1" applyAlignment="1" applyProtection="1">
      <alignment horizontal="center" vertical="center" wrapText="1"/>
      <protection hidden="1"/>
    </xf>
    <xf numFmtId="0" fontId="3" fillId="3" borderId="3" xfId="2" applyFont="1" applyFill="1" applyBorder="1" applyAlignment="1" applyProtection="1">
      <alignment horizontal="center" vertical="center" wrapText="1"/>
      <protection hidden="1"/>
    </xf>
    <xf numFmtId="0" fontId="3" fillId="3" borderId="3" xfId="3" applyFont="1" applyFill="1" applyBorder="1" applyAlignment="1" applyProtection="1">
      <alignment horizontal="center" vertical="center" wrapText="1"/>
      <protection hidden="1"/>
    </xf>
    <xf numFmtId="49" fontId="2" fillId="0" borderId="1" xfId="0" applyNumberFormat="1" applyFont="1" applyBorder="1"/>
    <xf numFmtId="49" fontId="0" fillId="0" borderId="0" xfId="0" applyNumberFormat="1" applyAlignment="1">
      <alignment wrapText="1"/>
    </xf>
    <xf numFmtId="49" fontId="1" fillId="0" borderId="0" xfId="1" applyNumberFormat="1" applyAlignment="1">
      <alignment horizontal="center" vertical="center"/>
    </xf>
    <xf numFmtId="49" fontId="7" fillId="0" borderId="0" xfId="1" applyNumberFormat="1" applyFont="1" applyAlignment="1">
      <alignment horizontal="center" vertical="center"/>
    </xf>
    <xf numFmtId="49" fontId="4" fillId="3" borderId="3" xfId="2" applyNumberFormat="1" applyFont="1" applyFill="1" applyBorder="1" applyAlignment="1" applyProtection="1">
      <alignment horizontal="center" vertical="center" wrapText="1"/>
      <protection hidden="1"/>
    </xf>
    <xf numFmtId="49" fontId="9" fillId="0" borderId="0" xfId="1" applyNumberFormat="1" applyFont="1" applyAlignment="1">
      <alignment horizontal="center" vertical="center"/>
    </xf>
    <xf numFmtId="0" fontId="9" fillId="0" borderId="0" xfId="1" applyFont="1"/>
  </cellXfs>
  <cellStyles count="4">
    <cellStyle name="Normal" xfId="0" builtinId="0"/>
    <cellStyle name="Normal 2" xfId="1" xr:uid="{FC04BD04-D829-499A-B1F4-A5AE5F46B102}"/>
    <cellStyle name="Normal 2 2" xfId="2" xr:uid="{F4DC8289-AE7E-4C8C-8B3D-9A137873FDFB}"/>
    <cellStyle name="Normal 2_20110401_Plan wk1 - 52 _ 2011_v02.2" xfId="3" xr:uid="{7D34CA32-E1B8-4616-99F3-74CA010AC3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6BE82-9C53-4625-927B-3CD624CF601C}">
  <dimension ref="A1:P587"/>
  <sheetViews>
    <sheetView tabSelected="1" topLeftCell="A191" workbookViewId="0">
      <selection activeCell="G286" sqref="G286"/>
    </sheetView>
  </sheetViews>
  <sheetFormatPr defaultRowHeight="18.75"/>
  <cols>
    <col min="2" max="2" width="36.5" bestFit="1" customWidth="1"/>
  </cols>
  <sheetData>
    <row r="1" spans="1:16">
      <c r="A1" s="13" t="s">
        <v>0</v>
      </c>
      <c r="B1" s="7" t="s">
        <v>1</v>
      </c>
      <c r="C1" s="8" t="s">
        <v>2</v>
      </c>
      <c r="D1" s="7" t="s">
        <v>3</v>
      </c>
      <c r="E1" s="8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pans="1:16">
      <c r="A2" s="11" t="s">
        <v>16</v>
      </c>
      <c r="B2" s="2" t="s">
        <v>17</v>
      </c>
      <c r="C2" s="2">
        <v>12</v>
      </c>
      <c r="D2" s="2">
        <f>E2*C2/1000</f>
        <v>4.8</v>
      </c>
      <c r="E2" s="2">
        <v>400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>
        <v>0</v>
      </c>
      <c r="N2" s="2" t="str">
        <f>VLOOKUP(A2, zcorin_converter!A:L, 12, FALSE)</f>
        <v>Canning</v>
      </c>
      <c r="O2" s="2">
        <v>0</v>
      </c>
      <c r="P2" s="2" t="s">
        <v>25</v>
      </c>
    </row>
    <row r="3" spans="1:16">
      <c r="A3" s="11" t="s">
        <v>26</v>
      </c>
      <c r="B3" s="2" t="s">
        <v>27</v>
      </c>
      <c r="C3" s="2">
        <v>24</v>
      </c>
      <c r="D3" s="2">
        <f>C3*E3/1000</f>
        <v>9.6</v>
      </c>
      <c r="E3" s="2">
        <v>400</v>
      </c>
      <c r="F3" s="2" t="s">
        <v>28</v>
      </c>
      <c r="G3" s="2" t="s">
        <v>29</v>
      </c>
      <c r="H3" s="2" t="s">
        <v>29</v>
      </c>
      <c r="I3" s="2" t="s">
        <v>30</v>
      </c>
      <c r="J3" s="2" t="s">
        <v>22</v>
      </c>
      <c r="K3" s="2" t="s">
        <v>29</v>
      </c>
      <c r="L3" s="2" t="s">
        <v>24</v>
      </c>
      <c r="M3" s="2">
        <v>0</v>
      </c>
      <c r="N3" s="2" t="str">
        <f>VLOOKUP(A3, zcorin_converter!A:L, 12, FALSE)</f>
        <v>Canning</v>
      </c>
      <c r="O3" s="2">
        <v>0</v>
      </c>
      <c r="P3" s="2" t="s">
        <v>25</v>
      </c>
    </row>
    <row r="4" spans="1:16">
      <c r="A4" s="11" t="s">
        <v>31</v>
      </c>
      <c r="B4" s="2" t="s">
        <v>32</v>
      </c>
      <c r="C4" s="2">
        <v>12</v>
      </c>
      <c r="D4" s="2">
        <f>E4*C4/1000</f>
        <v>4.8</v>
      </c>
      <c r="E4" s="2">
        <v>400</v>
      </c>
      <c r="F4" s="2" t="s">
        <v>18</v>
      </c>
      <c r="G4" s="2" t="s">
        <v>19</v>
      </c>
      <c r="H4" s="2" t="s">
        <v>20</v>
      </c>
      <c r="I4" s="2" t="s">
        <v>33</v>
      </c>
      <c r="J4" s="2" t="s">
        <v>22</v>
      </c>
      <c r="K4" s="2" t="s">
        <v>23</v>
      </c>
      <c r="L4" s="2" t="s">
        <v>24</v>
      </c>
      <c r="M4" s="2">
        <v>0</v>
      </c>
      <c r="N4" s="2" t="str">
        <f>VLOOKUP(A4, zcorin_converter!A:L, 12, FALSE)</f>
        <v>Canning</v>
      </c>
      <c r="O4" s="2">
        <v>0</v>
      </c>
      <c r="P4" s="2" t="s">
        <v>25</v>
      </c>
    </row>
    <row r="5" spans="1:16">
      <c r="A5" s="11" t="s">
        <v>34</v>
      </c>
      <c r="B5" s="2" t="s">
        <v>35</v>
      </c>
      <c r="C5" s="2">
        <v>10</v>
      </c>
      <c r="D5" s="2">
        <f>E5*C5/1000</f>
        <v>8</v>
      </c>
      <c r="E5" s="2">
        <v>800</v>
      </c>
      <c r="F5" s="2" t="s">
        <v>18</v>
      </c>
      <c r="G5" s="2" t="s">
        <v>19</v>
      </c>
      <c r="H5" s="2" t="s">
        <v>36</v>
      </c>
      <c r="I5" s="2" t="s">
        <v>37</v>
      </c>
      <c r="J5" s="2" t="s">
        <v>38</v>
      </c>
      <c r="K5" s="2" t="s">
        <v>23</v>
      </c>
      <c r="L5" s="2" t="s">
        <v>24</v>
      </c>
      <c r="M5" s="2">
        <v>0</v>
      </c>
      <c r="N5" s="2" t="str">
        <f>VLOOKUP(A5, zcorin_converter!A:L, 12, FALSE)</f>
        <v>Bag in Box</v>
      </c>
      <c r="O5" s="2">
        <v>0</v>
      </c>
      <c r="P5" s="2" t="s">
        <v>25</v>
      </c>
    </row>
    <row r="6" spans="1:16">
      <c r="A6" s="11" t="s">
        <v>39</v>
      </c>
      <c r="B6" s="2" t="s">
        <v>40</v>
      </c>
      <c r="C6" s="2">
        <v>10</v>
      </c>
      <c r="D6" s="2">
        <f>E6*C6/1000</f>
        <v>8</v>
      </c>
      <c r="E6" s="2">
        <v>800</v>
      </c>
      <c r="F6" s="2" t="s">
        <v>18</v>
      </c>
      <c r="G6" s="2" t="s">
        <v>19</v>
      </c>
      <c r="H6" s="2" t="s">
        <v>41</v>
      </c>
      <c r="I6" s="2" t="s">
        <v>42</v>
      </c>
      <c r="J6" s="2" t="s">
        <v>42</v>
      </c>
      <c r="K6" s="2" t="s">
        <v>23</v>
      </c>
      <c r="L6" s="2" t="s">
        <v>24</v>
      </c>
      <c r="M6" s="2">
        <v>0</v>
      </c>
      <c r="N6" s="2" t="str">
        <f>VLOOKUP(A6, zcorin_converter!A:L, 12, FALSE)</f>
        <v>Bag in Box</v>
      </c>
      <c r="O6" s="2">
        <v>0</v>
      </c>
      <c r="P6" s="2" t="s">
        <v>25</v>
      </c>
    </row>
    <row r="7" spans="1:16">
      <c r="A7" s="11" t="s">
        <v>43</v>
      </c>
      <c r="B7" s="2" t="s">
        <v>44</v>
      </c>
      <c r="C7" s="2">
        <v>24</v>
      </c>
      <c r="D7" s="2">
        <f>E7*C7/1000</f>
        <v>9.6</v>
      </c>
      <c r="E7" s="2">
        <v>400</v>
      </c>
      <c r="F7" s="2" t="s">
        <v>18</v>
      </c>
      <c r="G7" s="2" t="s">
        <v>19</v>
      </c>
      <c r="H7" s="2" t="s">
        <v>36</v>
      </c>
      <c r="I7" s="2" t="s">
        <v>37</v>
      </c>
      <c r="J7" s="2" t="s">
        <v>38</v>
      </c>
      <c r="K7" s="2" t="s">
        <v>23</v>
      </c>
      <c r="L7" s="2" t="s">
        <v>24</v>
      </c>
      <c r="M7" s="2">
        <v>0</v>
      </c>
      <c r="N7" s="2" t="str">
        <f>VLOOKUP(A7, zcorin_converter!A:L, 12, FALSE)</f>
        <v>Bag in Box</v>
      </c>
      <c r="O7" s="2">
        <v>0</v>
      </c>
      <c r="P7" s="2" t="s">
        <v>25</v>
      </c>
    </row>
    <row r="8" spans="1:16">
      <c r="A8" s="11" t="s">
        <v>45</v>
      </c>
      <c r="B8" s="2" t="s">
        <v>46</v>
      </c>
      <c r="C8" s="2">
        <v>24</v>
      </c>
      <c r="D8" s="2">
        <f>E8*C8/1000</f>
        <v>9.6</v>
      </c>
      <c r="E8" s="2">
        <v>400</v>
      </c>
      <c r="F8" s="2" t="s">
        <v>18</v>
      </c>
      <c r="G8" s="2" t="s">
        <v>19</v>
      </c>
      <c r="H8" s="2" t="s">
        <v>41</v>
      </c>
      <c r="I8" s="2" t="s">
        <v>42</v>
      </c>
      <c r="J8" s="2" t="s">
        <v>42</v>
      </c>
      <c r="K8" s="2" t="s">
        <v>23</v>
      </c>
      <c r="L8" s="2" t="s">
        <v>47</v>
      </c>
      <c r="M8" s="2">
        <v>0</v>
      </c>
      <c r="N8" s="2" t="str">
        <f>VLOOKUP(A8, zcorin_converter!A:L, 12, FALSE)</f>
        <v>Bag in Box</v>
      </c>
      <c r="O8" s="3">
        <v>0</v>
      </c>
      <c r="P8" s="2" t="s">
        <v>25</v>
      </c>
    </row>
    <row r="9" spans="1:16">
      <c r="A9" s="11" t="s">
        <v>48</v>
      </c>
      <c r="B9" s="2" t="s">
        <v>49</v>
      </c>
      <c r="C9" s="2">
        <v>24</v>
      </c>
      <c r="D9" s="2">
        <f t="shared" ref="D9:D20" si="0">C9*E9/1000</f>
        <v>4.8</v>
      </c>
      <c r="E9" s="2">
        <v>200</v>
      </c>
      <c r="F9" s="2" t="s">
        <v>50</v>
      </c>
      <c r="G9" s="2" t="s">
        <v>29</v>
      </c>
      <c r="H9" s="2" t="s">
        <v>29</v>
      </c>
      <c r="I9" s="2" t="s">
        <v>51</v>
      </c>
      <c r="J9" s="2" t="s">
        <v>22</v>
      </c>
      <c r="K9" s="2" t="s">
        <v>29</v>
      </c>
      <c r="L9" s="2" t="s">
        <v>24</v>
      </c>
      <c r="M9" s="2">
        <v>0</v>
      </c>
      <c r="N9" s="2" t="str">
        <f>VLOOKUP(A9, zcorin_converter!A:L, 12, FALSE)</f>
        <v>Bag in Box</v>
      </c>
      <c r="O9" s="2">
        <v>0</v>
      </c>
      <c r="P9" s="2" t="s">
        <v>25</v>
      </c>
    </row>
    <row r="10" spans="1:16">
      <c r="A10" s="11" t="s">
        <v>52</v>
      </c>
      <c r="B10" s="2" t="s">
        <v>53</v>
      </c>
      <c r="C10" s="2">
        <v>24</v>
      </c>
      <c r="D10" s="2">
        <f t="shared" si="0"/>
        <v>9.6</v>
      </c>
      <c r="E10" s="2">
        <v>400</v>
      </c>
      <c r="F10" s="2" t="s">
        <v>50</v>
      </c>
      <c r="G10" s="2" t="s">
        <v>29</v>
      </c>
      <c r="H10" s="2" t="s">
        <v>29</v>
      </c>
      <c r="I10" s="2" t="s">
        <v>51</v>
      </c>
      <c r="J10" s="2" t="s">
        <v>22</v>
      </c>
      <c r="K10" s="2" t="s">
        <v>29</v>
      </c>
      <c r="L10" s="2" t="s">
        <v>24</v>
      </c>
      <c r="M10" s="2">
        <v>0</v>
      </c>
      <c r="N10" s="2" t="str">
        <f>VLOOKUP(A10, zcorin_converter!A:L, 12, FALSE)</f>
        <v>Bag in Box</v>
      </c>
      <c r="O10" s="2">
        <v>0</v>
      </c>
      <c r="P10" s="2" t="s">
        <v>25</v>
      </c>
    </row>
    <row r="11" spans="1:16">
      <c r="A11" s="11" t="s">
        <v>54</v>
      </c>
      <c r="B11" s="2" t="s">
        <v>55</v>
      </c>
      <c r="C11" s="2">
        <v>24</v>
      </c>
      <c r="D11" s="2">
        <f t="shared" si="0"/>
        <v>9.6</v>
      </c>
      <c r="E11" s="2">
        <v>400</v>
      </c>
      <c r="F11" s="2" t="s">
        <v>50</v>
      </c>
      <c r="G11" s="2" t="s">
        <v>29</v>
      </c>
      <c r="H11" s="2" t="s">
        <v>29</v>
      </c>
      <c r="I11" s="2" t="s">
        <v>56</v>
      </c>
      <c r="J11" s="2" t="s">
        <v>22</v>
      </c>
      <c r="K11" s="2" t="s">
        <v>29</v>
      </c>
      <c r="L11" s="2" t="s">
        <v>24</v>
      </c>
      <c r="M11" s="2">
        <v>0</v>
      </c>
      <c r="N11" s="2" t="str">
        <f>VLOOKUP(A11, zcorin_converter!A:L, 12, FALSE)</f>
        <v>Bag in Box</v>
      </c>
      <c r="O11" s="2">
        <v>0</v>
      </c>
      <c r="P11" s="2" t="s">
        <v>25</v>
      </c>
    </row>
    <row r="12" spans="1:16">
      <c r="A12" s="11" t="s">
        <v>57</v>
      </c>
      <c r="B12" s="2" t="s">
        <v>58</v>
      </c>
      <c r="C12" s="2">
        <v>24</v>
      </c>
      <c r="D12" s="2">
        <f t="shared" si="0"/>
        <v>9.6</v>
      </c>
      <c r="E12" s="2">
        <v>400</v>
      </c>
      <c r="F12" s="2" t="s">
        <v>59</v>
      </c>
      <c r="G12" s="2" t="s">
        <v>29</v>
      </c>
      <c r="H12" s="2" t="s">
        <v>29</v>
      </c>
      <c r="I12" s="2" t="s">
        <v>42</v>
      </c>
      <c r="J12" s="2" t="s">
        <v>42</v>
      </c>
      <c r="K12" s="2" t="s">
        <v>29</v>
      </c>
      <c r="L12" s="2" t="s">
        <v>24</v>
      </c>
      <c r="M12" s="2">
        <v>0</v>
      </c>
      <c r="N12" s="2" t="str">
        <f>VLOOKUP(A12, zcorin_converter!A:L, 12, FALSE)</f>
        <v>Canning</v>
      </c>
      <c r="O12" s="2">
        <v>0</v>
      </c>
      <c r="P12" s="2" t="s">
        <v>25</v>
      </c>
    </row>
    <row r="13" spans="1:16">
      <c r="A13" s="11" t="s">
        <v>60</v>
      </c>
      <c r="B13" s="2" t="s">
        <v>61</v>
      </c>
      <c r="C13" s="2">
        <v>24</v>
      </c>
      <c r="D13" s="2">
        <f t="shared" si="0"/>
        <v>4.8</v>
      </c>
      <c r="E13" s="2">
        <v>200</v>
      </c>
      <c r="F13" s="2" t="s">
        <v>59</v>
      </c>
      <c r="G13" s="2" t="s">
        <v>29</v>
      </c>
      <c r="H13" s="2" t="s">
        <v>29</v>
      </c>
      <c r="I13" s="2" t="s">
        <v>62</v>
      </c>
      <c r="J13" s="2" t="s">
        <v>22</v>
      </c>
      <c r="K13" s="2" t="s">
        <v>29</v>
      </c>
      <c r="L13" s="2" t="s">
        <v>24</v>
      </c>
      <c r="M13" s="2">
        <v>0</v>
      </c>
      <c r="N13" s="2" t="str">
        <f>VLOOKUP(A13, zcorin_converter!A:L, 12, FALSE)</f>
        <v>Bag in Box</v>
      </c>
      <c r="O13" s="2">
        <v>0</v>
      </c>
      <c r="P13" s="2" t="s">
        <v>25</v>
      </c>
    </row>
    <row r="14" spans="1:16">
      <c r="A14" s="11" t="s">
        <v>63</v>
      </c>
      <c r="B14" s="2" t="s">
        <v>64</v>
      </c>
      <c r="C14" s="2">
        <v>24</v>
      </c>
      <c r="D14" s="2">
        <f t="shared" si="0"/>
        <v>4.8</v>
      </c>
      <c r="E14" s="2">
        <v>200</v>
      </c>
      <c r="F14" s="2" t="s">
        <v>59</v>
      </c>
      <c r="G14" s="2" t="s">
        <v>29</v>
      </c>
      <c r="H14" s="2" t="s">
        <v>29</v>
      </c>
      <c r="I14" s="2" t="s">
        <v>38</v>
      </c>
      <c r="J14" s="2" t="s">
        <v>38</v>
      </c>
      <c r="K14" s="2" t="s">
        <v>29</v>
      </c>
      <c r="L14" s="2" t="s">
        <v>24</v>
      </c>
      <c r="M14" s="2">
        <v>0</v>
      </c>
      <c r="N14" s="2" t="str">
        <f>VLOOKUP(A14, zcorin_converter!A:L, 12, FALSE)</f>
        <v>Bag in Box</v>
      </c>
      <c r="O14" s="2">
        <v>0</v>
      </c>
      <c r="P14" s="2" t="s">
        <v>25</v>
      </c>
    </row>
    <row r="15" spans="1:16">
      <c r="A15" s="11" t="s">
        <v>65</v>
      </c>
      <c r="B15" s="2" t="s">
        <v>66</v>
      </c>
      <c r="C15" s="2">
        <v>24</v>
      </c>
      <c r="D15" s="2">
        <f t="shared" si="0"/>
        <v>9.6</v>
      </c>
      <c r="E15" s="2">
        <v>400</v>
      </c>
      <c r="F15" s="2" t="s">
        <v>59</v>
      </c>
      <c r="G15" s="2" t="s">
        <v>29</v>
      </c>
      <c r="H15" s="2" t="s">
        <v>29</v>
      </c>
      <c r="I15" s="2" t="s">
        <v>38</v>
      </c>
      <c r="J15" s="2" t="s">
        <v>38</v>
      </c>
      <c r="K15" s="2" t="s">
        <v>29</v>
      </c>
      <c r="L15" s="2" t="s">
        <v>24</v>
      </c>
      <c r="M15" s="2">
        <v>0</v>
      </c>
      <c r="N15" s="2" t="str">
        <f>VLOOKUP(A15, zcorin_converter!A:L, 12, FALSE)</f>
        <v>Canning</v>
      </c>
      <c r="O15" s="2">
        <v>0</v>
      </c>
      <c r="P15" s="2" t="s">
        <v>25</v>
      </c>
    </row>
    <row r="16" spans="1:16">
      <c r="A16" s="11" t="s">
        <v>67</v>
      </c>
      <c r="B16" s="2" t="s">
        <v>68</v>
      </c>
      <c r="C16" s="2">
        <v>24</v>
      </c>
      <c r="D16" s="2">
        <f t="shared" si="0"/>
        <v>4.8</v>
      </c>
      <c r="E16" s="2">
        <v>200</v>
      </c>
      <c r="F16" s="2" t="s">
        <v>59</v>
      </c>
      <c r="G16" s="2" t="s">
        <v>29</v>
      </c>
      <c r="H16" s="2" t="s">
        <v>29</v>
      </c>
      <c r="I16" s="2" t="s">
        <v>42</v>
      </c>
      <c r="J16" s="2" t="s">
        <v>42</v>
      </c>
      <c r="K16" s="2" t="s">
        <v>29</v>
      </c>
      <c r="L16" s="2" t="s">
        <v>24</v>
      </c>
      <c r="M16" s="2">
        <v>0</v>
      </c>
      <c r="N16" s="2" t="str">
        <f>VLOOKUP(A16, zcorin_converter!A:L, 12, FALSE)</f>
        <v>Bag in Box</v>
      </c>
      <c r="O16" s="2">
        <v>0</v>
      </c>
      <c r="P16" s="2" t="s">
        <v>25</v>
      </c>
    </row>
    <row r="17" spans="1:16">
      <c r="A17" s="11" t="s">
        <v>69</v>
      </c>
      <c r="B17" s="2" t="s">
        <v>70</v>
      </c>
      <c r="C17" s="2">
        <v>3</v>
      </c>
      <c r="D17" s="2">
        <f t="shared" si="0"/>
        <v>2.7</v>
      </c>
      <c r="E17" s="2">
        <v>900</v>
      </c>
      <c r="F17" s="2" t="s">
        <v>71</v>
      </c>
      <c r="G17" s="2" t="s">
        <v>29</v>
      </c>
      <c r="H17" s="2" t="s">
        <v>29</v>
      </c>
      <c r="I17" s="2" t="s">
        <v>51</v>
      </c>
      <c r="J17" s="2" t="s">
        <v>22</v>
      </c>
      <c r="K17" s="2" t="s">
        <v>29</v>
      </c>
      <c r="L17" s="2" t="s">
        <v>24</v>
      </c>
      <c r="M17" s="2">
        <v>0</v>
      </c>
      <c r="N17" s="2" t="str">
        <f>VLOOKUP(A17, zcorin_converter!A:L, 12, FALSE)</f>
        <v>Canning</v>
      </c>
      <c r="O17" s="2">
        <v>0</v>
      </c>
      <c r="P17" s="2" t="s">
        <v>25</v>
      </c>
    </row>
    <row r="18" spans="1:16">
      <c r="A18" s="11" t="s">
        <v>72</v>
      </c>
      <c r="B18" s="2" t="s">
        <v>73</v>
      </c>
      <c r="C18" s="2">
        <v>24</v>
      </c>
      <c r="D18" s="2">
        <f t="shared" si="0"/>
        <v>9.6</v>
      </c>
      <c r="E18" s="2">
        <v>400</v>
      </c>
      <c r="F18" s="2" t="s">
        <v>50</v>
      </c>
      <c r="G18" s="2" t="s">
        <v>29</v>
      </c>
      <c r="H18" s="2" t="s">
        <v>29</v>
      </c>
      <c r="I18" s="2" t="s">
        <v>30</v>
      </c>
      <c r="J18" s="2" t="s">
        <v>22</v>
      </c>
      <c r="K18" s="2" t="s">
        <v>29</v>
      </c>
      <c r="L18" s="2" t="s">
        <v>24</v>
      </c>
      <c r="M18" s="2">
        <v>0</v>
      </c>
      <c r="N18" s="2" t="str">
        <f>VLOOKUP(A18, zcorin_converter!A:L, 12, FALSE)</f>
        <v>Canning</v>
      </c>
      <c r="O18" s="2">
        <v>0</v>
      </c>
      <c r="P18" s="2" t="s">
        <v>25</v>
      </c>
    </row>
    <row r="19" spans="1:16">
      <c r="A19" s="11" t="s">
        <v>74</v>
      </c>
      <c r="B19" s="2" t="s">
        <v>75</v>
      </c>
      <c r="C19" s="2">
        <v>24</v>
      </c>
      <c r="D19" s="2">
        <f t="shared" si="0"/>
        <v>9.6</v>
      </c>
      <c r="E19" s="2">
        <v>400</v>
      </c>
      <c r="F19" s="2" t="s">
        <v>50</v>
      </c>
      <c r="G19" s="2" t="s">
        <v>29</v>
      </c>
      <c r="H19" s="2" t="s">
        <v>29</v>
      </c>
      <c r="I19" s="2" t="s">
        <v>30</v>
      </c>
      <c r="J19" s="2" t="s">
        <v>22</v>
      </c>
      <c r="K19" s="2" t="s">
        <v>29</v>
      </c>
      <c r="L19" s="2" t="s">
        <v>24</v>
      </c>
      <c r="M19" s="2">
        <v>0</v>
      </c>
      <c r="N19" s="2" t="str">
        <f>VLOOKUP(A19, zcorin_converter!A:L, 12, FALSE)</f>
        <v>Canning</v>
      </c>
      <c r="O19" s="2">
        <v>0</v>
      </c>
      <c r="P19" s="2" t="s">
        <v>25</v>
      </c>
    </row>
    <row r="20" spans="1:16">
      <c r="A20" s="11" t="s">
        <v>76</v>
      </c>
      <c r="B20" s="2" t="s">
        <v>77</v>
      </c>
      <c r="C20" s="2">
        <v>24</v>
      </c>
      <c r="D20" s="2">
        <f t="shared" si="0"/>
        <v>9.6</v>
      </c>
      <c r="E20" s="2">
        <v>400</v>
      </c>
      <c r="F20" s="2" t="s">
        <v>50</v>
      </c>
      <c r="G20" s="2" t="s">
        <v>29</v>
      </c>
      <c r="H20" s="2" t="s">
        <v>29</v>
      </c>
      <c r="I20" s="2" t="s">
        <v>21</v>
      </c>
      <c r="J20" s="2" t="s">
        <v>22</v>
      </c>
      <c r="K20" s="2" t="s">
        <v>29</v>
      </c>
      <c r="L20" s="2" t="s">
        <v>24</v>
      </c>
      <c r="M20" s="2">
        <v>0</v>
      </c>
      <c r="N20" s="2" t="str">
        <f>VLOOKUP(A20, zcorin_converter!A:L, 12, FALSE)</f>
        <v>Bag in Box</v>
      </c>
      <c r="O20" s="2">
        <v>0</v>
      </c>
      <c r="P20" s="2" t="s">
        <v>25</v>
      </c>
    </row>
    <row r="21" spans="1:16">
      <c r="A21" s="11" t="s">
        <v>78</v>
      </c>
      <c r="B21" s="2" t="s">
        <v>79</v>
      </c>
      <c r="C21" s="2">
        <v>24</v>
      </c>
      <c r="D21" s="2">
        <f t="shared" ref="D21:D27" si="1">E21*C21/1000</f>
        <v>9.6</v>
      </c>
      <c r="E21" s="2">
        <v>400</v>
      </c>
      <c r="F21" s="2" t="s">
        <v>18</v>
      </c>
      <c r="G21" s="2" t="s">
        <v>80</v>
      </c>
      <c r="H21" s="2" t="s">
        <v>81</v>
      </c>
      <c r="I21" s="2" t="s">
        <v>82</v>
      </c>
      <c r="J21" s="2" t="s">
        <v>38</v>
      </c>
      <c r="K21" s="2" t="s">
        <v>83</v>
      </c>
      <c r="L21" s="2" t="s">
        <v>24</v>
      </c>
      <c r="M21" s="2">
        <v>0</v>
      </c>
      <c r="N21" s="2" t="str">
        <f>VLOOKUP(A21, zcorin_converter!A:L, 12, FALSE)</f>
        <v>Bag in Box</v>
      </c>
      <c r="O21" s="2">
        <v>0</v>
      </c>
      <c r="P21" s="2" t="s">
        <v>25</v>
      </c>
    </row>
    <row r="22" spans="1:16">
      <c r="A22" s="11" t="s">
        <v>84</v>
      </c>
      <c r="B22" s="2" t="s">
        <v>85</v>
      </c>
      <c r="C22" s="2">
        <v>12</v>
      </c>
      <c r="D22" s="2">
        <f t="shared" si="1"/>
        <v>9.6</v>
      </c>
      <c r="E22" s="2">
        <v>800</v>
      </c>
      <c r="F22" s="2" t="s">
        <v>18</v>
      </c>
      <c r="G22" s="2" t="s">
        <v>80</v>
      </c>
      <c r="H22" s="2" t="s">
        <v>81</v>
      </c>
      <c r="I22" s="2" t="s">
        <v>82</v>
      </c>
      <c r="J22" s="2" t="s">
        <v>38</v>
      </c>
      <c r="K22" s="2" t="s">
        <v>83</v>
      </c>
      <c r="L22" s="2" t="s">
        <v>24</v>
      </c>
      <c r="M22" s="2">
        <v>0</v>
      </c>
      <c r="N22" s="2" t="str">
        <f>VLOOKUP(A22, zcorin_converter!A:L, 12, FALSE)</f>
        <v>Canning</v>
      </c>
      <c r="O22" s="2">
        <v>0</v>
      </c>
      <c r="P22" s="2" t="s">
        <v>25</v>
      </c>
    </row>
    <row r="23" spans="1:16">
      <c r="A23" s="11" t="s">
        <v>86</v>
      </c>
      <c r="B23" s="2" t="s">
        <v>87</v>
      </c>
      <c r="C23" s="2">
        <v>24</v>
      </c>
      <c r="D23" s="2">
        <f t="shared" si="1"/>
        <v>4.8</v>
      </c>
      <c r="E23" s="2">
        <v>200</v>
      </c>
      <c r="F23" s="2" t="s">
        <v>18</v>
      </c>
      <c r="G23" s="2" t="s">
        <v>80</v>
      </c>
      <c r="H23" s="2" t="s">
        <v>81</v>
      </c>
      <c r="I23" s="2" t="s">
        <v>82</v>
      </c>
      <c r="J23" s="2" t="s">
        <v>38</v>
      </c>
      <c r="K23" s="2" t="s">
        <v>83</v>
      </c>
      <c r="L23" s="2" t="s">
        <v>24</v>
      </c>
      <c r="M23" s="2">
        <v>0</v>
      </c>
      <c r="N23" s="2" t="str">
        <f>VLOOKUP(A23, zcorin_converter!A:L, 12, FALSE)</f>
        <v>Bag in Box</v>
      </c>
      <c r="O23" s="2">
        <v>0</v>
      </c>
      <c r="P23" s="2" t="s">
        <v>25</v>
      </c>
    </row>
    <row r="24" spans="1:16">
      <c r="A24" s="11" t="s">
        <v>88</v>
      </c>
      <c r="B24" s="2" t="s">
        <v>89</v>
      </c>
      <c r="C24" s="2">
        <v>6</v>
      </c>
      <c r="D24" s="2">
        <f t="shared" si="1"/>
        <v>10.8</v>
      </c>
      <c r="E24" s="2">
        <v>1800</v>
      </c>
      <c r="F24" s="2" t="s">
        <v>18</v>
      </c>
      <c r="G24" s="2" t="s">
        <v>80</v>
      </c>
      <c r="H24" s="2" t="s">
        <v>81</v>
      </c>
      <c r="I24" s="2" t="s">
        <v>82</v>
      </c>
      <c r="J24" s="2" t="s">
        <v>38</v>
      </c>
      <c r="K24" s="2" t="s">
        <v>83</v>
      </c>
      <c r="L24" s="2" t="s">
        <v>24</v>
      </c>
      <c r="M24" s="2">
        <v>0</v>
      </c>
      <c r="N24" s="2" t="str">
        <f>VLOOKUP(A24, zcorin_converter!A:L, 12, FALSE)</f>
        <v>Bag in Box</v>
      </c>
      <c r="O24" s="2">
        <v>0</v>
      </c>
      <c r="P24" s="2" t="s">
        <v>25</v>
      </c>
    </row>
    <row r="25" spans="1:16">
      <c r="A25" s="11" t="s">
        <v>90</v>
      </c>
      <c r="B25" s="2" t="s">
        <v>91</v>
      </c>
      <c r="C25" s="2">
        <v>24</v>
      </c>
      <c r="D25" s="2">
        <f t="shared" si="1"/>
        <v>4.8</v>
      </c>
      <c r="E25" s="2">
        <v>200</v>
      </c>
      <c r="F25" s="2" t="s">
        <v>18</v>
      </c>
      <c r="G25" s="2" t="s">
        <v>80</v>
      </c>
      <c r="H25" s="2" t="s">
        <v>92</v>
      </c>
      <c r="I25" s="2" t="s">
        <v>93</v>
      </c>
      <c r="J25" s="2" t="s">
        <v>42</v>
      </c>
      <c r="K25" s="2" t="s">
        <v>83</v>
      </c>
      <c r="L25" s="2" t="s">
        <v>24</v>
      </c>
      <c r="M25" s="2">
        <v>0</v>
      </c>
      <c r="N25" s="2" t="str">
        <f>VLOOKUP(A25, zcorin_converter!A:L, 12, FALSE)</f>
        <v>Bag in Box</v>
      </c>
      <c r="O25" s="2">
        <v>0</v>
      </c>
      <c r="P25" s="2" t="s">
        <v>25</v>
      </c>
    </row>
    <row r="26" spans="1:16">
      <c r="A26" s="11" t="s">
        <v>94</v>
      </c>
      <c r="B26" s="2" t="s">
        <v>95</v>
      </c>
      <c r="C26" s="2">
        <v>24</v>
      </c>
      <c r="D26" s="2">
        <f t="shared" si="1"/>
        <v>9.6</v>
      </c>
      <c r="E26" s="2">
        <v>400</v>
      </c>
      <c r="F26" s="2" t="s">
        <v>18</v>
      </c>
      <c r="G26" s="2" t="s">
        <v>80</v>
      </c>
      <c r="H26" s="2" t="s">
        <v>92</v>
      </c>
      <c r="I26" s="2" t="s">
        <v>93</v>
      </c>
      <c r="J26" s="2" t="s">
        <v>42</v>
      </c>
      <c r="K26" s="2" t="s">
        <v>83</v>
      </c>
      <c r="L26" s="2" t="s">
        <v>24</v>
      </c>
      <c r="M26" s="2">
        <v>0</v>
      </c>
      <c r="N26" s="2" t="str">
        <f>VLOOKUP(A26, zcorin_converter!A:L, 12, FALSE)</f>
        <v>Bag in Box</v>
      </c>
      <c r="O26" s="2">
        <v>0</v>
      </c>
      <c r="P26" s="2" t="s">
        <v>25</v>
      </c>
    </row>
    <row r="27" spans="1:16">
      <c r="A27" s="11" t="s">
        <v>96</v>
      </c>
      <c r="B27" s="2" t="s">
        <v>97</v>
      </c>
      <c r="C27" s="2">
        <v>12</v>
      </c>
      <c r="D27" s="2">
        <f t="shared" si="1"/>
        <v>9.6</v>
      </c>
      <c r="E27" s="2">
        <v>800</v>
      </c>
      <c r="F27" s="2" t="s">
        <v>18</v>
      </c>
      <c r="G27" s="2" t="s">
        <v>80</v>
      </c>
      <c r="H27" s="2" t="s">
        <v>92</v>
      </c>
      <c r="I27" s="2" t="s">
        <v>93</v>
      </c>
      <c r="J27" s="2" t="s">
        <v>42</v>
      </c>
      <c r="K27" s="2" t="s">
        <v>83</v>
      </c>
      <c r="L27" s="2" t="s">
        <v>24</v>
      </c>
      <c r="M27" s="2">
        <v>0</v>
      </c>
      <c r="N27" s="2" t="str">
        <f>VLOOKUP(A27, zcorin_converter!A:L, 12, FALSE)</f>
        <v>Canning</v>
      </c>
      <c r="O27" s="2">
        <v>0</v>
      </c>
      <c r="P27" s="2" t="s">
        <v>25</v>
      </c>
    </row>
    <row r="28" spans="1:16">
      <c r="A28" s="11" t="s">
        <v>98</v>
      </c>
      <c r="B28" s="2" t="s">
        <v>99</v>
      </c>
      <c r="C28" s="2">
        <v>24</v>
      </c>
      <c r="D28" s="2">
        <f>C28*E28/1000</f>
        <v>9.6</v>
      </c>
      <c r="E28" s="2">
        <v>400</v>
      </c>
      <c r="F28" s="2" t="s">
        <v>100</v>
      </c>
      <c r="G28" s="2" t="s">
        <v>29</v>
      </c>
      <c r="H28" s="2" t="s">
        <v>29</v>
      </c>
      <c r="I28" s="2" t="s">
        <v>51</v>
      </c>
      <c r="J28" s="2" t="s">
        <v>22</v>
      </c>
      <c r="K28" s="2" t="s">
        <v>29</v>
      </c>
      <c r="L28" s="2" t="s">
        <v>24</v>
      </c>
      <c r="M28" s="2">
        <v>0</v>
      </c>
      <c r="N28" s="2" t="str">
        <f>VLOOKUP(A28, zcorin_converter!A:L, 12, FALSE)</f>
        <v>Canning</v>
      </c>
      <c r="O28" s="2">
        <v>0</v>
      </c>
      <c r="P28" s="2" t="s">
        <v>25</v>
      </c>
    </row>
    <row r="29" spans="1:16">
      <c r="A29" s="11" t="s">
        <v>101</v>
      </c>
      <c r="B29" s="2" t="s">
        <v>102</v>
      </c>
      <c r="C29" s="2">
        <v>12</v>
      </c>
      <c r="D29" s="2">
        <f>C29*E29/1000</f>
        <v>9.6</v>
      </c>
      <c r="E29" s="2">
        <v>800</v>
      </c>
      <c r="F29" s="2" t="s">
        <v>100</v>
      </c>
      <c r="G29" s="2" t="s">
        <v>29</v>
      </c>
      <c r="H29" s="2" t="s">
        <v>29</v>
      </c>
      <c r="I29" s="2" t="s">
        <v>51</v>
      </c>
      <c r="J29" s="2" t="s">
        <v>22</v>
      </c>
      <c r="K29" s="2" t="s">
        <v>29</v>
      </c>
      <c r="L29" s="2" t="s">
        <v>24</v>
      </c>
      <c r="M29" s="2">
        <v>0</v>
      </c>
      <c r="N29" s="2" t="str">
        <f>VLOOKUP(A29, zcorin_converter!A:L, 12, FALSE)</f>
        <v>Canning</v>
      </c>
      <c r="O29" s="2">
        <v>0</v>
      </c>
      <c r="P29" s="2" t="s">
        <v>25</v>
      </c>
    </row>
    <row r="30" spans="1:16">
      <c r="A30" s="11" t="s">
        <v>103</v>
      </c>
      <c r="B30" s="2" t="s">
        <v>104</v>
      </c>
      <c r="C30" s="2">
        <v>3</v>
      </c>
      <c r="D30" s="2">
        <f>C30*E30/1000</f>
        <v>2.7</v>
      </c>
      <c r="E30" s="2">
        <v>900</v>
      </c>
      <c r="F30" s="2" t="s">
        <v>100</v>
      </c>
      <c r="G30" s="2" t="s">
        <v>29</v>
      </c>
      <c r="H30" s="2" t="s">
        <v>29</v>
      </c>
      <c r="I30" s="2" t="s">
        <v>56</v>
      </c>
      <c r="J30" s="2" t="s">
        <v>22</v>
      </c>
      <c r="K30" s="2" t="s">
        <v>29</v>
      </c>
      <c r="L30" s="2" t="s">
        <v>24</v>
      </c>
      <c r="M30" s="2">
        <v>0</v>
      </c>
      <c r="N30" s="2" t="str">
        <f>VLOOKUP(A30, zcorin_converter!A:L, 12, FALSE)</f>
        <v>Canning</v>
      </c>
      <c r="O30" s="2">
        <v>0</v>
      </c>
      <c r="P30" s="2" t="s">
        <v>25</v>
      </c>
    </row>
    <row r="31" spans="1:16">
      <c r="A31" s="11" t="s">
        <v>105</v>
      </c>
      <c r="B31" s="2" t="s">
        <v>106</v>
      </c>
      <c r="C31" s="2">
        <v>24</v>
      </c>
      <c r="D31" s="2">
        <f t="shared" ref="D31:D41" si="2">E31*C31/1000</f>
        <v>9.6</v>
      </c>
      <c r="E31" s="2">
        <v>400</v>
      </c>
      <c r="F31" s="2" t="s">
        <v>18</v>
      </c>
      <c r="G31" s="2" t="s">
        <v>107</v>
      </c>
      <c r="H31" s="2" t="s">
        <v>108</v>
      </c>
      <c r="I31" s="2" t="s">
        <v>109</v>
      </c>
      <c r="J31" s="2" t="s">
        <v>22</v>
      </c>
      <c r="K31" s="2" t="s">
        <v>110</v>
      </c>
      <c r="L31" s="2" t="s">
        <v>24</v>
      </c>
      <c r="M31" s="2">
        <v>0</v>
      </c>
      <c r="N31" s="2" t="str">
        <f>VLOOKUP(A31, zcorin_converter!A:L, 12, FALSE)</f>
        <v>Bag in Box</v>
      </c>
      <c r="O31" s="2">
        <v>0</v>
      </c>
      <c r="P31" s="2" t="s">
        <v>25</v>
      </c>
    </row>
    <row r="32" spans="1:16">
      <c r="A32" s="11" t="s">
        <v>111</v>
      </c>
      <c r="B32" s="2" t="s">
        <v>112</v>
      </c>
      <c r="C32" s="2">
        <v>24</v>
      </c>
      <c r="D32" s="2">
        <f t="shared" si="2"/>
        <v>4.8</v>
      </c>
      <c r="E32" s="2">
        <v>200</v>
      </c>
      <c r="F32" s="2" t="s">
        <v>18</v>
      </c>
      <c r="G32" s="2" t="s">
        <v>107</v>
      </c>
      <c r="H32" s="2" t="s">
        <v>108</v>
      </c>
      <c r="I32" s="2" t="s">
        <v>109</v>
      </c>
      <c r="J32" s="2" t="s">
        <v>22</v>
      </c>
      <c r="K32" s="2" t="s">
        <v>110</v>
      </c>
      <c r="L32" s="2" t="s">
        <v>24</v>
      </c>
      <c r="M32" s="2">
        <v>0</v>
      </c>
      <c r="N32" s="2" t="str">
        <f>VLOOKUP(A32, zcorin_converter!A:L, 12, FALSE)</f>
        <v>Bag in Box</v>
      </c>
      <c r="O32" s="2">
        <v>0</v>
      </c>
      <c r="P32" s="2" t="s">
        <v>25</v>
      </c>
    </row>
    <row r="33" spans="1:16">
      <c r="A33" s="11" t="s">
        <v>113</v>
      </c>
      <c r="B33" s="2" t="s">
        <v>114</v>
      </c>
      <c r="C33" s="2">
        <v>24</v>
      </c>
      <c r="D33" s="2">
        <f t="shared" si="2"/>
        <v>9.6</v>
      </c>
      <c r="E33" s="2">
        <v>400</v>
      </c>
      <c r="F33" s="2" t="s">
        <v>18</v>
      </c>
      <c r="G33" s="2" t="s">
        <v>107</v>
      </c>
      <c r="H33" s="2" t="s">
        <v>115</v>
      </c>
      <c r="I33" s="2" t="s">
        <v>62</v>
      </c>
      <c r="J33" s="2" t="s">
        <v>22</v>
      </c>
      <c r="K33" s="2" t="s">
        <v>110</v>
      </c>
      <c r="L33" s="2" t="s">
        <v>24</v>
      </c>
      <c r="M33" s="2">
        <v>0</v>
      </c>
      <c r="N33" s="2" t="str">
        <f>VLOOKUP(A33, zcorin_converter!A:L, 12, FALSE)</f>
        <v>Bag in Box</v>
      </c>
      <c r="O33" s="2">
        <v>0</v>
      </c>
      <c r="P33" s="2" t="s">
        <v>25</v>
      </c>
    </row>
    <row r="34" spans="1:16">
      <c r="A34" s="11" t="s">
        <v>116</v>
      </c>
      <c r="B34" s="2" t="s">
        <v>117</v>
      </c>
      <c r="C34" s="2">
        <v>10</v>
      </c>
      <c r="D34" s="2">
        <f t="shared" si="2"/>
        <v>7</v>
      </c>
      <c r="E34" s="2">
        <v>700</v>
      </c>
      <c r="F34" s="2" t="s">
        <v>18</v>
      </c>
      <c r="G34" s="2" t="s">
        <v>107</v>
      </c>
      <c r="H34" s="2" t="s">
        <v>115</v>
      </c>
      <c r="I34" s="2" t="s">
        <v>62</v>
      </c>
      <c r="J34" s="2" t="s">
        <v>22</v>
      </c>
      <c r="K34" s="2" t="s">
        <v>110</v>
      </c>
      <c r="L34" s="2" t="s">
        <v>24</v>
      </c>
      <c r="M34" s="2">
        <v>0</v>
      </c>
      <c r="N34" s="2" t="str">
        <f>VLOOKUP(A34, zcorin_converter!A:L, 12, FALSE)</f>
        <v>Bag in Box</v>
      </c>
      <c r="O34" s="2">
        <v>0</v>
      </c>
      <c r="P34" s="2" t="s">
        <v>25</v>
      </c>
    </row>
    <row r="35" spans="1:16">
      <c r="A35" s="11" t="s">
        <v>118</v>
      </c>
      <c r="B35" s="2" t="s">
        <v>119</v>
      </c>
      <c r="C35" s="2">
        <v>24</v>
      </c>
      <c r="D35" s="2">
        <f t="shared" si="2"/>
        <v>4.8</v>
      </c>
      <c r="E35" s="2">
        <v>200</v>
      </c>
      <c r="F35" s="2" t="s">
        <v>18</v>
      </c>
      <c r="G35" s="2" t="s">
        <v>107</v>
      </c>
      <c r="H35" s="2" t="s">
        <v>120</v>
      </c>
      <c r="I35" s="2" t="s">
        <v>56</v>
      </c>
      <c r="J35" s="2" t="s">
        <v>22</v>
      </c>
      <c r="K35" s="2" t="s">
        <v>110</v>
      </c>
      <c r="L35" s="2" t="s">
        <v>24</v>
      </c>
      <c r="M35" s="2">
        <v>0</v>
      </c>
      <c r="N35" s="2" t="str">
        <f>VLOOKUP(A35, zcorin_converter!A:L, 12, FALSE)</f>
        <v>Bag in Box</v>
      </c>
      <c r="O35" s="2">
        <v>0</v>
      </c>
      <c r="P35" s="2" t="s">
        <v>25</v>
      </c>
    </row>
    <row r="36" spans="1:16">
      <c r="A36" s="11" t="s">
        <v>121</v>
      </c>
      <c r="B36" s="2" t="s">
        <v>122</v>
      </c>
      <c r="C36" s="2">
        <v>24</v>
      </c>
      <c r="D36" s="2">
        <f t="shared" si="2"/>
        <v>9.6</v>
      </c>
      <c r="E36" s="2">
        <v>400</v>
      </c>
      <c r="F36" s="2" t="s">
        <v>18</v>
      </c>
      <c r="G36" s="2" t="s">
        <v>107</v>
      </c>
      <c r="H36" s="2" t="s">
        <v>123</v>
      </c>
      <c r="I36" s="2" t="s">
        <v>51</v>
      </c>
      <c r="J36" s="2" t="s">
        <v>22</v>
      </c>
      <c r="K36" s="2" t="s">
        <v>110</v>
      </c>
      <c r="L36" s="2" t="s">
        <v>24</v>
      </c>
      <c r="M36" s="2">
        <v>0</v>
      </c>
      <c r="N36" s="2" t="str">
        <f>VLOOKUP(A36, zcorin_converter!A:L, 12, FALSE)</f>
        <v>Bag in Box</v>
      </c>
      <c r="O36" s="2">
        <v>0</v>
      </c>
      <c r="P36" s="2" t="s">
        <v>25</v>
      </c>
    </row>
    <row r="37" spans="1:16">
      <c r="A37" s="11" t="s">
        <v>124</v>
      </c>
      <c r="B37" s="2" t="s">
        <v>125</v>
      </c>
      <c r="C37" s="2">
        <v>10</v>
      </c>
      <c r="D37" s="2">
        <f t="shared" si="2"/>
        <v>7</v>
      </c>
      <c r="E37" s="2">
        <v>700</v>
      </c>
      <c r="F37" s="2" t="s">
        <v>18</v>
      </c>
      <c r="G37" s="2" t="s">
        <v>107</v>
      </c>
      <c r="H37" s="2" t="s">
        <v>123</v>
      </c>
      <c r="I37" s="2" t="s">
        <v>51</v>
      </c>
      <c r="J37" s="2" t="s">
        <v>22</v>
      </c>
      <c r="K37" s="2" t="s">
        <v>110</v>
      </c>
      <c r="L37" s="2" t="s">
        <v>24</v>
      </c>
      <c r="M37" s="2">
        <v>0</v>
      </c>
      <c r="N37" s="2" t="str">
        <f>VLOOKUP(A37, zcorin_converter!A:L, 12, FALSE)</f>
        <v>Bag in Box</v>
      </c>
      <c r="O37" s="2">
        <v>0</v>
      </c>
      <c r="P37" s="2" t="s">
        <v>25</v>
      </c>
    </row>
    <row r="38" spans="1:16">
      <c r="A38" s="11" t="s">
        <v>126</v>
      </c>
      <c r="B38" s="2" t="s">
        <v>127</v>
      </c>
      <c r="C38" s="2">
        <v>24</v>
      </c>
      <c r="D38" s="2">
        <f t="shared" si="2"/>
        <v>9.6</v>
      </c>
      <c r="E38" s="2">
        <v>400</v>
      </c>
      <c r="F38" s="2" t="s">
        <v>18</v>
      </c>
      <c r="G38" s="2" t="s">
        <v>107</v>
      </c>
      <c r="H38" s="2" t="s">
        <v>123</v>
      </c>
      <c r="I38" s="2" t="s">
        <v>51</v>
      </c>
      <c r="J38" s="2" t="s">
        <v>22</v>
      </c>
      <c r="K38" s="2" t="s">
        <v>110</v>
      </c>
      <c r="L38" s="2" t="s">
        <v>24</v>
      </c>
      <c r="M38" s="2">
        <v>0</v>
      </c>
      <c r="N38" s="2" t="str">
        <f>VLOOKUP(A38, zcorin_converter!A:L, 12, FALSE)</f>
        <v>Bag in Box</v>
      </c>
      <c r="O38" s="2">
        <v>0</v>
      </c>
      <c r="P38" s="2" t="s">
        <v>25</v>
      </c>
    </row>
    <row r="39" spans="1:16">
      <c r="A39" s="11" t="s">
        <v>128</v>
      </c>
      <c r="B39" s="2" t="s">
        <v>129</v>
      </c>
      <c r="C39" s="2">
        <v>10</v>
      </c>
      <c r="D39" s="2">
        <f t="shared" si="2"/>
        <v>7</v>
      </c>
      <c r="E39" s="2">
        <v>700</v>
      </c>
      <c r="F39" s="2" t="s">
        <v>18</v>
      </c>
      <c r="G39" s="2" t="s">
        <v>107</v>
      </c>
      <c r="H39" s="2" t="s">
        <v>123</v>
      </c>
      <c r="I39" s="2" t="s">
        <v>51</v>
      </c>
      <c r="J39" s="2" t="s">
        <v>22</v>
      </c>
      <c r="K39" s="2" t="s">
        <v>110</v>
      </c>
      <c r="L39" s="2" t="s">
        <v>24</v>
      </c>
      <c r="M39" s="2">
        <v>0</v>
      </c>
      <c r="N39" s="2" t="str">
        <f>VLOOKUP(A39, zcorin_converter!A:L, 12, FALSE)</f>
        <v>Bag in Box</v>
      </c>
      <c r="O39" s="2">
        <v>0</v>
      </c>
      <c r="P39" s="2" t="s">
        <v>25</v>
      </c>
    </row>
    <row r="40" spans="1:16">
      <c r="A40" s="11" t="s">
        <v>130</v>
      </c>
      <c r="B40" s="2" t="s">
        <v>131</v>
      </c>
      <c r="C40" s="2">
        <v>24</v>
      </c>
      <c r="D40" s="2">
        <f t="shared" si="2"/>
        <v>9.6</v>
      </c>
      <c r="E40" s="2">
        <v>400</v>
      </c>
      <c r="F40" s="2" t="s">
        <v>18</v>
      </c>
      <c r="G40" s="2" t="s">
        <v>107</v>
      </c>
      <c r="H40" s="2" t="s">
        <v>132</v>
      </c>
      <c r="I40" s="2" t="s">
        <v>21</v>
      </c>
      <c r="J40" s="2" t="s">
        <v>22</v>
      </c>
      <c r="K40" s="2" t="s">
        <v>110</v>
      </c>
      <c r="L40" s="2" t="s">
        <v>24</v>
      </c>
      <c r="M40" s="2">
        <v>0</v>
      </c>
      <c r="N40" s="2" t="str">
        <f>VLOOKUP(A40, zcorin_converter!A:L, 12, FALSE)</f>
        <v>Bag in Box</v>
      </c>
      <c r="O40" s="2">
        <v>0</v>
      </c>
      <c r="P40" s="2" t="s">
        <v>25</v>
      </c>
    </row>
    <row r="41" spans="1:16">
      <c r="A41" s="11" t="s">
        <v>133</v>
      </c>
      <c r="B41" s="2" t="s">
        <v>134</v>
      </c>
      <c r="C41" s="2">
        <v>24</v>
      </c>
      <c r="D41" s="2">
        <f t="shared" si="2"/>
        <v>4.8</v>
      </c>
      <c r="E41" s="2">
        <v>200</v>
      </c>
      <c r="F41" s="2" t="s">
        <v>18</v>
      </c>
      <c r="G41" s="2" t="s">
        <v>107</v>
      </c>
      <c r="H41" s="2" t="s">
        <v>132</v>
      </c>
      <c r="I41" s="2" t="s">
        <v>21</v>
      </c>
      <c r="J41" s="2" t="s">
        <v>22</v>
      </c>
      <c r="K41" s="2" t="s">
        <v>110</v>
      </c>
      <c r="L41" s="2" t="s">
        <v>24</v>
      </c>
      <c r="M41" s="2">
        <v>0</v>
      </c>
      <c r="N41" s="2" t="str">
        <f>VLOOKUP(A41, zcorin_converter!A:L, 12, FALSE)</f>
        <v>Bag in Box</v>
      </c>
      <c r="O41" s="2">
        <v>0</v>
      </c>
      <c r="P41" s="2" t="s">
        <v>25</v>
      </c>
    </row>
    <row r="42" spans="1:16">
      <c r="A42" s="11" t="s">
        <v>135</v>
      </c>
      <c r="B42" s="2" t="s">
        <v>136</v>
      </c>
      <c r="C42" s="2">
        <v>24</v>
      </c>
      <c r="D42" s="2">
        <f t="shared" ref="D42:D54" si="3">C42*E42/1000</f>
        <v>9.6</v>
      </c>
      <c r="E42" s="2">
        <v>400</v>
      </c>
      <c r="F42" s="2" t="s">
        <v>137</v>
      </c>
      <c r="G42" s="2" t="s">
        <v>29</v>
      </c>
      <c r="H42" s="2" t="s">
        <v>29</v>
      </c>
      <c r="I42" s="2" t="s">
        <v>30</v>
      </c>
      <c r="J42" s="2" t="s">
        <v>22</v>
      </c>
      <c r="K42" s="2" t="s">
        <v>29</v>
      </c>
      <c r="L42" s="2" t="s">
        <v>24</v>
      </c>
      <c r="M42" s="2">
        <v>0</v>
      </c>
      <c r="N42" s="2" t="str">
        <f>VLOOKUP(A42, zcorin_converter!A:L, 12, FALSE)</f>
        <v>Canning</v>
      </c>
      <c r="O42" s="2">
        <v>0</v>
      </c>
      <c r="P42" s="2" t="s">
        <v>25</v>
      </c>
    </row>
    <row r="43" spans="1:16">
      <c r="A43" s="11" t="s">
        <v>138</v>
      </c>
      <c r="B43" s="2" t="s">
        <v>139</v>
      </c>
      <c r="C43" s="2">
        <v>24</v>
      </c>
      <c r="D43" s="2">
        <f t="shared" si="3"/>
        <v>9.6</v>
      </c>
      <c r="E43" s="2">
        <v>400</v>
      </c>
      <c r="F43" s="2" t="s">
        <v>140</v>
      </c>
      <c r="G43" s="2" t="s">
        <v>29</v>
      </c>
      <c r="H43" s="2" t="s">
        <v>29</v>
      </c>
      <c r="I43" s="2" t="s">
        <v>30</v>
      </c>
      <c r="J43" s="2" t="s">
        <v>22</v>
      </c>
      <c r="K43" s="2" t="s">
        <v>29</v>
      </c>
      <c r="L43" s="2" t="s">
        <v>24</v>
      </c>
      <c r="M43" s="2">
        <v>0</v>
      </c>
      <c r="N43" s="2" t="str">
        <f>VLOOKUP(A43, zcorin_converter!A:L, 12, FALSE)</f>
        <v>Canning</v>
      </c>
      <c r="O43" s="2">
        <v>0</v>
      </c>
      <c r="P43" s="2" t="s">
        <v>25</v>
      </c>
    </row>
    <row r="44" spans="1:16">
      <c r="A44" s="11" t="s">
        <v>141</v>
      </c>
      <c r="B44" s="2" t="s">
        <v>142</v>
      </c>
      <c r="C44" s="2">
        <v>24</v>
      </c>
      <c r="D44" s="2">
        <f t="shared" si="3"/>
        <v>4.8</v>
      </c>
      <c r="E44" s="2">
        <v>200</v>
      </c>
      <c r="F44" s="2" t="s">
        <v>140</v>
      </c>
      <c r="G44" s="2" t="s">
        <v>29</v>
      </c>
      <c r="H44" s="2" t="s">
        <v>29</v>
      </c>
      <c r="I44" s="2" t="s">
        <v>30</v>
      </c>
      <c r="J44" s="2" t="s">
        <v>22</v>
      </c>
      <c r="K44" s="2" t="s">
        <v>29</v>
      </c>
      <c r="L44" s="2" t="s">
        <v>24</v>
      </c>
      <c r="M44" s="2">
        <v>0</v>
      </c>
      <c r="N44" s="2" t="str">
        <f>VLOOKUP(A44, zcorin_converter!A:L, 12, FALSE)</f>
        <v>Bag in Box</v>
      </c>
      <c r="O44" s="2">
        <v>0</v>
      </c>
      <c r="P44" s="2" t="s">
        <v>25</v>
      </c>
    </row>
    <row r="45" spans="1:16">
      <c r="A45" s="11" t="s">
        <v>143</v>
      </c>
      <c r="B45" s="2" t="s">
        <v>144</v>
      </c>
      <c r="C45" s="2">
        <v>3</v>
      </c>
      <c r="D45" s="2">
        <f t="shared" si="3"/>
        <v>2.7</v>
      </c>
      <c r="E45" s="2">
        <v>900</v>
      </c>
      <c r="F45" s="2" t="s">
        <v>71</v>
      </c>
      <c r="G45" s="2" t="s">
        <v>29</v>
      </c>
      <c r="H45" s="2" t="s">
        <v>29</v>
      </c>
      <c r="I45" s="2" t="s">
        <v>51</v>
      </c>
      <c r="J45" s="2" t="s">
        <v>22</v>
      </c>
      <c r="K45" s="2" t="s">
        <v>29</v>
      </c>
      <c r="L45" s="2" t="s">
        <v>24</v>
      </c>
      <c r="M45" s="2">
        <v>0</v>
      </c>
      <c r="N45" s="2" t="str">
        <f>VLOOKUP(A45, zcorin_converter!A:L, 12, FALSE)</f>
        <v>Canning</v>
      </c>
      <c r="O45" s="2">
        <v>0</v>
      </c>
      <c r="P45" s="2" t="s">
        <v>25</v>
      </c>
    </row>
    <row r="46" spans="1:16">
      <c r="A46" s="11" t="s">
        <v>145</v>
      </c>
      <c r="B46" s="2" t="s">
        <v>146</v>
      </c>
      <c r="C46" s="2">
        <v>24</v>
      </c>
      <c r="D46" s="2">
        <f t="shared" si="3"/>
        <v>9.6</v>
      </c>
      <c r="E46" s="2">
        <v>400</v>
      </c>
      <c r="F46" s="2" t="s">
        <v>147</v>
      </c>
      <c r="G46" s="2" t="s">
        <v>29</v>
      </c>
      <c r="H46" s="2" t="s">
        <v>29</v>
      </c>
      <c r="I46" s="2" t="s">
        <v>30</v>
      </c>
      <c r="J46" s="2" t="s">
        <v>22</v>
      </c>
      <c r="K46" s="2" t="s">
        <v>29</v>
      </c>
      <c r="L46" s="2" t="s">
        <v>24</v>
      </c>
      <c r="M46" s="2">
        <v>0</v>
      </c>
      <c r="N46" s="2" t="str">
        <f>VLOOKUP(A46, zcorin_converter!A:L, 12, FALSE)</f>
        <v>Canning</v>
      </c>
      <c r="O46" s="2">
        <v>0</v>
      </c>
      <c r="P46" s="2" t="s">
        <v>25</v>
      </c>
    </row>
    <row r="47" spans="1:16">
      <c r="A47" s="11" t="s">
        <v>148</v>
      </c>
      <c r="B47" s="2" t="s">
        <v>149</v>
      </c>
      <c r="C47" s="2">
        <v>24</v>
      </c>
      <c r="D47" s="2">
        <f t="shared" si="3"/>
        <v>4.8</v>
      </c>
      <c r="E47" s="2">
        <v>200</v>
      </c>
      <c r="F47" s="2" t="s">
        <v>59</v>
      </c>
      <c r="G47" s="2" t="s">
        <v>29</v>
      </c>
      <c r="H47" s="2" t="s">
        <v>29</v>
      </c>
      <c r="I47" s="2" t="s">
        <v>42</v>
      </c>
      <c r="J47" s="2" t="s">
        <v>42</v>
      </c>
      <c r="K47" s="2" t="s">
        <v>29</v>
      </c>
      <c r="L47" s="2" t="s">
        <v>24</v>
      </c>
      <c r="M47" s="2">
        <v>0</v>
      </c>
      <c r="N47" s="2" t="str">
        <f>VLOOKUP(A47, zcorin_converter!A:L, 12, FALSE)</f>
        <v>Bag in Box</v>
      </c>
      <c r="O47" s="2">
        <v>0</v>
      </c>
      <c r="P47" s="2" t="s">
        <v>25</v>
      </c>
    </row>
    <row r="48" spans="1:16">
      <c r="A48" s="11" t="s">
        <v>150</v>
      </c>
      <c r="B48" s="2" t="s">
        <v>151</v>
      </c>
      <c r="C48" s="2">
        <v>24</v>
      </c>
      <c r="D48" s="2">
        <f t="shared" si="3"/>
        <v>9.6</v>
      </c>
      <c r="E48" s="2">
        <v>400</v>
      </c>
      <c r="F48" s="2" t="s">
        <v>59</v>
      </c>
      <c r="G48" s="2" t="s">
        <v>29</v>
      </c>
      <c r="H48" s="2" t="s">
        <v>29</v>
      </c>
      <c r="I48" s="2" t="s">
        <v>42</v>
      </c>
      <c r="J48" s="2" t="s">
        <v>42</v>
      </c>
      <c r="K48" s="2" t="s">
        <v>29</v>
      </c>
      <c r="L48" s="2" t="s">
        <v>24</v>
      </c>
      <c r="M48" s="2">
        <v>0</v>
      </c>
      <c r="N48" s="2" t="str">
        <f>VLOOKUP(A48, zcorin_converter!A:L, 12, FALSE)</f>
        <v>Canning</v>
      </c>
      <c r="O48" s="2">
        <v>0</v>
      </c>
      <c r="P48" s="2" t="s">
        <v>25</v>
      </c>
    </row>
    <row r="49" spans="1:16">
      <c r="A49" s="11" t="s">
        <v>152</v>
      </c>
      <c r="B49" s="2" t="s">
        <v>153</v>
      </c>
      <c r="C49" s="2">
        <v>24</v>
      </c>
      <c r="D49" s="2">
        <f t="shared" si="3"/>
        <v>4.8</v>
      </c>
      <c r="E49" s="2">
        <v>200</v>
      </c>
      <c r="F49" s="2" t="s">
        <v>59</v>
      </c>
      <c r="G49" s="2" t="s">
        <v>29</v>
      </c>
      <c r="H49" s="2" t="s">
        <v>29</v>
      </c>
      <c r="I49" s="2" t="s">
        <v>62</v>
      </c>
      <c r="J49" s="2" t="s">
        <v>22</v>
      </c>
      <c r="K49" s="2" t="s">
        <v>29</v>
      </c>
      <c r="L49" s="2" t="s">
        <v>24</v>
      </c>
      <c r="M49" s="2">
        <v>0</v>
      </c>
      <c r="N49" s="2" t="str">
        <f>VLOOKUP(A49, zcorin_converter!A:L, 12, FALSE)</f>
        <v>Bag in Box</v>
      </c>
      <c r="O49" s="2">
        <v>0</v>
      </c>
      <c r="P49" s="2" t="s">
        <v>25</v>
      </c>
    </row>
    <row r="50" spans="1:16">
      <c r="A50" s="11" t="s">
        <v>154</v>
      </c>
      <c r="B50" s="2" t="s">
        <v>155</v>
      </c>
      <c r="C50" s="2">
        <v>24</v>
      </c>
      <c r="D50" s="2">
        <f t="shared" si="3"/>
        <v>9.6</v>
      </c>
      <c r="E50" s="2">
        <v>400</v>
      </c>
      <c r="F50" s="2" t="s">
        <v>59</v>
      </c>
      <c r="G50" s="2" t="s">
        <v>29</v>
      </c>
      <c r="H50" s="2" t="s">
        <v>29</v>
      </c>
      <c r="I50" s="2" t="s">
        <v>156</v>
      </c>
      <c r="J50" s="2" t="s">
        <v>156</v>
      </c>
      <c r="K50" s="2" t="s">
        <v>29</v>
      </c>
      <c r="L50" s="2" t="s">
        <v>24</v>
      </c>
      <c r="M50" s="2">
        <v>0</v>
      </c>
      <c r="N50" s="2" t="str">
        <f>VLOOKUP(A50, zcorin_converter!A:L, 12, FALSE)</f>
        <v>Canning</v>
      </c>
      <c r="O50" s="2">
        <v>0</v>
      </c>
      <c r="P50" s="2" t="s">
        <v>25</v>
      </c>
    </row>
    <row r="51" spans="1:16">
      <c r="A51" s="11" t="s">
        <v>157</v>
      </c>
      <c r="B51" s="2" t="s">
        <v>158</v>
      </c>
      <c r="C51" s="2">
        <v>24</v>
      </c>
      <c r="D51" s="2">
        <f t="shared" si="3"/>
        <v>4.8</v>
      </c>
      <c r="E51" s="2">
        <v>200</v>
      </c>
      <c r="F51" s="2" t="s">
        <v>59</v>
      </c>
      <c r="G51" s="2" t="s">
        <v>29</v>
      </c>
      <c r="H51" s="2" t="s">
        <v>29</v>
      </c>
      <c r="I51" s="2" t="s">
        <v>38</v>
      </c>
      <c r="J51" s="2" t="s">
        <v>38</v>
      </c>
      <c r="K51" s="2" t="s">
        <v>29</v>
      </c>
      <c r="L51" s="2" t="s">
        <v>24</v>
      </c>
      <c r="M51" s="2">
        <v>0</v>
      </c>
      <c r="N51" s="2" t="str">
        <f>VLOOKUP(A51, zcorin_converter!A:L, 12, FALSE)</f>
        <v>Bag in Box</v>
      </c>
      <c r="O51" s="2">
        <v>0</v>
      </c>
      <c r="P51" s="2" t="s">
        <v>25</v>
      </c>
    </row>
    <row r="52" spans="1:16">
      <c r="A52" s="11" t="s">
        <v>159</v>
      </c>
      <c r="B52" s="2" t="s">
        <v>160</v>
      </c>
      <c r="C52" s="2">
        <v>24</v>
      </c>
      <c r="D52" s="2">
        <f t="shared" si="3"/>
        <v>9.6</v>
      </c>
      <c r="E52" s="2">
        <v>400</v>
      </c>
      <c r="F52" s="2" t="s">
        <v>59</v>
      </c>
      <c r="G52" s="2" t="s">
        <v>29</v>
      </c>
      <c r="H52" s="2" t="s">
        <v>29</v>
      </c>
      <c r="I52" s="2" t="s">
        <v>38</v>
      </c>
      <c r="J52" s="2" t="s">
        <v>38</v>
      </c>
      <c r="K52" s="2" t="s">
        <v>29</v>
      </c>
      <c r="L52" s="2" t="s">
        <v>24</v>
      </c>
      <c r="M52" s="2">
        <v>0</v>
      </c>
      <c r="N52" s="2" t="str">
        <f>VLOOKUP(A52, zcorin_converter!A:L, 12, FALSE)</f>
        <v>Canning</v>
      </c>
      <c r="O52" s="2">
        <v>0</v>
      </c>
      <c r="P52" s="2" t="s">
        <v>25</v>
      </c>
    </row>
    <row r="53" spans="1:16">
      <c r="A53" s="11" t="s">
        <v>161</v>
      </c>
      <c r="B53" s="2" t="s">
        <v>162</v>
      </c>
      <c r="C53" s="2">
        <v>24</v>
      </c>
      <c r="D53" s="2">
        <f t="shared" si="3"/>
        <v>4.8</v>
      </c>
      <c r="E53" s="2">
        <v>200</v>
      </c>
      <c r="F53" s="2" t="s">
        <v>59</v>
      </c>
      <c r="G53" s="2" t="s">
        <v>29</v>
      </c>
      <c r="H53" s="2" t="s">
        <v>29</v>
      </c>
      <c r="I53" s="2" t="s">
        <v>156</v>
      </c>
      <c r="J53" s="2" t="s">
        <v>156</v>
      </c>
      <c r="K53" s="2" t="s">
        <v>29</v>
      </c>
      <c r="L53" s="2" t="s">
        <v>24</v>
      </c>
      <c r="M53" s="2">
        <v>0</v>
      </c>
      <c r="N53" s="2" t="str">
        <f>VLOOKUP(A53, zcorin_converter!A:L, 12, FALSE)</f>
        <v>Bag in Box</v>
      </c>
      <c r="O53" s="2">
        <v>0</v>
      </c>
      <c r="P53" s="2" t="s">
        <v>25</v>
      </c>
    </row>
    <row r="54" spans="1:16">
      <c r="A54" s="11" t="s">
        <v>163</v>
      </c>
      <c r="B54" s="2" t="s">
        <v>164</v>
      </c>
      <c r="C54" s="2">
        <v>24</v>
      </c>
      <c r="D54" s="2">
        <f t="shared" si="3"/>
        <v>9.6</v>
      </c>
      <c r="E54" s="2">
        <v>400</v>
      </c>
      <c r="F54" s="2" t="s">
        <v>59</v>
      </c>
      <c r="G54" s="2" t="s">
        <v>29</v>
      </c>
      <c r="H54" s="2" t="s">
        <v>29</v>
      </c>
      <c r="I54" s="2" t="s">
        <v>156</v>
      </c>
      <c r="J54" s="2" t="s">
        <v>156</v>
      </c>
      <c r="K54" s="2" t="s">
        <v>29</v>
      </c>
      <c r="L54" s="2" t="s">
        <v>24</v>
      </c>
      <c r="M54" s="2">
        <v>0</v>
      </c>
      <c r="N54" s="2" t="str">
        <f>VLOOKUP(A54, zcorin_converter!A:L, 12, FALSE)</f>
        <v>Canning</v>
      </c>
      <c r="O54" s="2">
        <v>0</v>
      </c>
      <c r="P54" s="2" t="s">
        <v>25</v>
      </c>
    </row>
    <row r="55" spans="1:16">
      <c r="A55" s="11" t="s">
        <v>165</v>
      </c>
      <c r="B55" s="2" t="s">
        <v>166</v>
      </c>
      <c r="C55" s="2">
        <v>24</v>
      </c>
      <c r="D55" s="2">
        <f t="shared" ref="D55:D72" si="4">E55*C55/1000</f>
        <v>9.6</v>
      </c>
      <c r="E55" s="2">
        <v>400</v>
      </c>
      <c r="F55" s="2" t="s">
        <v>18</v>
      </c>
      <c r="G55" s="2" t="s">
        <v>19</v>
      </c>
      <c r="H55" s="2" t="s">
        <v>167</v>
      </c>
      <c r="I55" s="2" t="s">
        <v>156</v>
      </c>
      <c r="J55" s="2" t="s">
        <v>156</v>
      </c>
      <c r="K55" s="2" t="s">
        <v>23</v>
      </c>
      <c r="L55" s="2" t="s">
        <v>24</v>
      </c>
      <c r="M55" s="2">
        <v>0</v>
      </c>
      <c r="N55" s="2" t="str">
        <f>VLOOKUP(A55, zcorin_converter!A:L, 12, FALSE)</f>
        <v>Bag in Box</v>
      </c>
      <c r="O55" s="2">
        <v>0</v>
      </c>
      <c r="P55" s="2" t="s">
        <v>25</v>
      </c>
    </row>
    <row r="56" spans="1:16">
      <c r="A56" s="11" t="s">
        <v>168</v>
      </c>
      <c r="B56" s="2" t="s">
        <v>169</v>
      </c>
      <c r="C56" s="2">
        <v>24</v>
      </c>
      <c r="D56" s="2">
        <f t="shared" si="4"/>
        <v>9.6</v>
      </c>
      <c r="E56" s="2">
        <v>400</v>
      </c>
      <c r="F56" s="2" t="s">
        <v>18</v>
      </c>
      <c r="G56" s="2" t="s">
        <v>19</v>
      </c>
      <c r="H56" s="2" t="s">
        <v>170</v>
      </c>
      <c r="I56" s="2" t="s">
        <v>156</v>
      </c>
      <c r="J56" s="2" t="s">
        <v>156</v>
      </c>
      <c r="K56" s="2" t="s">
        <v>23</v>
      </c>
      <c r="L56" s="2" t="s">
        <v>24</v>
      </c>
      <c r="M56" s="2">
        <v>0</v>
      </c>
      <c r="N56" s="2" t="str">
        <f>VLOOKUP(A56, zcorin_converter!A:L, 12, FALSE)</f>
        <v>Bag in Box</v>
      </c>
      <c r="O56" s="2">
        <v>0</v>
      </c>
      <c r="P56" s="2" t="s">
        <v>25</v>
      </c>
    </row>
    <row r="57" spans="1:16">
      <c r="A57" s="11" t="s">
        <v>171</v>
      </c>
      <c r="B57" s="2" t="s">
        <v>172</v>
      </c>
      <c r="C57" s="2">
        <v>24</v>
      </c>
      <c r="D57" s="2">
        <f t="shared" si="4"/>
        <v>9.6</v>
      </c>
      <c r="E57" s="2">
        <v>400</v>
      </c>
      <c r="F57" s="2" t="s">
        <v>18</v>
      </c>
      <c r="G57" s="2" t="s">
        <v>19</v>
      </c>
      <c r="H57" s="2" t="s">
        <v>170</v>
      </c>
      <c r="I57" s="2" t="s">
        <v>156</v>
      </c>
      <c r="J57" s="2" t="s">
        <v>156</v>
      </c>
      <c r="K57" s="2" t="s">
        <v>23</v>
      </c>
      <c r="L57" s="2" t="s">
        <v>24</v>
      </c>
      <c r="M57" s="2">
        <v>0</v>
      </c>
      <c r="N57" s="2" t="str">
        <f>VLOOKUP(A57, zcorin_converter!A:L, 12, FALSE)</f>
        <v>Bag in Box</v>
      </c>
      <c r="O57" s="2">
        <v>0</v>
      </c>
      <c r="P57" s="2" t="s">
        <v>25</v>
      </c>
    </row>
    <row r="58" spans="1:16">
      <c r="A58" s="11" t="s">
        <v>173</v>
      </c>
      <c r="B58" s="2" t="s">
        <v>174</v>
      </c>
      <c r="C58" s="2">
        <v>6</v>
      </c>
      <c r="D58" s="2">
        <f t="shared" si="4"/>
        <v>10.8</v>
      </c>
      <c r="E58" s="2">
        <v>1800</v>
      </c>
      <c r="F58" s="2" t="s">
        <v>18</v>
      </c>
      <c r="G58" s="2" t="s">
        <v>19</v>
      </c>
      <c r="H58" s="2" t="s">
        <v>167</v>
      </c>
      <c r="I58" s="2" t="s">
        <v>156</v>
      </c>
      <c r="J58" s="2" t="s">
        <v>156</v>
      </c>
      <c r="K58" s="2" t="s">
        <v>23</v>
      </c>
      <c r="L58" s="2" t="s">
        <v>24</v>
      </c>
      <c r="M58" s="2">
        <v>0</v>
      </c>
      <c r="N58" s="2" t="str">
        <f>VLOOKUP(A58, zcorin_converter!A:L, 12, FALSE)</f>
        <v>Bag in Box</v>
      </c>
      <c r="O58" s="2">
        <v>0</v>
      </c>
      <c r="P58" s="2" t="s">
        <v>25</v>
      </c>
    </row>
    <row r="59" spans="1:16">
      <c r="A59" s="11" t="s">
        <v>175</v>
      </c>
      <c r="B59" s="2" t="s">
        <v>176</v>
      </c>
      <c r="C59" s="2">
        <v>24</v>
      </c>
      <c r="D59" s="2">
        <f t="shared" si="4"/>
        <v>9.6</v>
      </c>
      <c r="E59" s="2">
        <v>400</v>
      </c>
      <c r="F59" s="2" t="s">
        <v>18</v>
      </c>
      <c r="G59" s="2" t="s">
        <v>19</v>
      </c>
      <c r="H59" s="2" t="s">
        <v>167</v>
      </c>
      <c r="I59" s="2" t="s">
        <v>156</v>
      </c>
      <c r="J59" s="2" t="s">
        <v>156</v>
      </c>
      <c r="K59" s="2" t="s">
        <v>23</v>
      </c>
      <c r="L59" s="2" t="s">
        <v>24</v>
      </c>
      <c r="M59" s="2">
        <v>0</v>
      </c>
      <c r="N59" s="2" t="str">
        <f>VLOOKUP(A59, zcorin_converter!A:L, 12, FALSE)</f>
        <v>Bag in Box</v>
      </c>
      <c r="O59" s="2">
        <v>0</v>
      </c>
      <c r="P59" s="2" t="s">
        <v>25</v>
      </c>
    </row>
    <row r="60" spans="1:16">
      <c r="A60" s="11" t="s">
        <v>177</v>
      </c>
      <c r="B60" s="2" t="s">
        <v>178</v>
      </c>
      <c r="C60" s="2">
        <v>6</v>
      </c>
      <c r="D60" s="2">
        <f t="shared" si="4"/>
        <v>10.8</v>
      </c>
      <c r="E60" s="2">
        <v>1800</v>
      </c>
      <c r="F60" s="2" t="s">
        <v>18</v>
      </c>
      <c r="G60" s="2" t="s">
        <v>19</v>
      </c>
      <c r="H60" s="2" t="s">
        <v>167</v>
      </c>
      <c r="I60" s="2" t="s">
        <v>156</v>
      </c>
      <c r="J60" s="2" t="s">
        <v>156</v>
      </c>
      <c r="K60" s="2" t="s">
        <v>23</v>
      </c>
      <c r="L60" s="2" t="s">
        <v>24</v>
      </c>
      <c r="M60" s="2">
        <v>0</v>
      </c>
      <c r="N60" s="2" t="str">
        <f>VLOOKUP(A60, zcorin_converter!A:L, 12, FALSE)</f>
        <v>Bag in Box</v>
      </c>
      <c r="O60" s="2">
        <v>0</v>
      </c>
      <c r="P60" s="2" t="s">
        <v>25</v>
      </c>
    </row>
    <row r="61" spans="1:16">
      <c r="A61" s="11" t="s">
        <v>179</v>
      </c>
      <c r="B61" s="2" t="s">
        <v>180</v>
      </c>
      <c r="C61" s="2">
        <v>12</v>
      </c>
      <c r="D61" s="2">
        <f t="shared" si="4"/>
        <v>9.6</v>
      </c>
      <c r="E61" s="2">
        <v>800</v>
      </c>
      <c r="F61" s="2" t="s">
        <v>18</v>
      </c>
      <c r="G61" s="2" t="s">
        <v>19</v>
      </c>
      <c r="H61" s="2" t="s">
        <v>167</v>
      </c>
      <c r="I61" s="2" t="s">
        <v>156</v>
      </c>
      <c r="J61" s="2" t="s">
        <v>156</v>
      </c>
      <c r="K61" s="2" t="s">
        <v>23</v>
      </c>
      <c r="L61" s="2" t="s">
        <v>24</v>
      </c>
      <c r="M61" s="2">
        <v>0</v>
      </c>
      <c r="N61" s="2" t="str">
        <f>VLOOKUP(A61, zcorin_converter!A:L, 12, FALSE)</f>
        <v>Canning</v>
      </c>
      <c r="O61" s="2">
        <v>0</v>
      </c>
      <c r="P61" s="2" t="s">
        <v>25</v>
      </c>
    </row>
    <row r="62" spans="1:16">
      <c r="A62" s="11" t="s">
        <v>181</v>
      </c>
      <c r="B62" s="2" t="s">
        <v>182</v>
      </c>
      <c r="C62" s="2">
        <v>12</v>
      </c>
      <c r="D62" s="2">
        <f t="shared" si="4"/>
        <v>9.6</v>
      </c>
      <c r="E62" s="2">
        <v>800</v>
      </c>
      <c r="F62" s="2" t="s">
        <v>18</v>
      </c>
      <c r="G62" s="2" t="s">
        <v>19</v>
      </c>
      <c r="H62" s="2" t="s">
        <v>167</v>
      </c>
      <c r="I62" s="2" t="s">
        <v>156</v>
      </c>
      <c r="J62" s="2" t="s">
        <v>156</v>
      </c>
      <c r="K62" s="2" t="s">
        <v>23</v>
      </c>
      <c r="L62" s="2" t="s">
        <v>24</v>
      </c>
      <c r="M62" s="2">
        <v>0</v>
      </c>
      <c r="N62" s="2" t="str">
        <f>VLOOKUP(A62, zcorin_converter!A:L, 12, FALSE)</f>
        <v>Canning</v>
      </c>
      <c r="O62" s="2">
        <v>0</v>
      </c>
      <c r="P62" s="2" t="s">
        <v>25</v>
      </c>
    </row>
    <row r="63" spans="1:16">
      <c r="A63" s="11" t="s">
        <v>183</v>
      </c>
      <c r="B63" s="2" t="s">
        <v>184</v>
      </c>
      <c r="C63" s="2">
        <v>12</v>
      </c>
      <c r="D63" s="2">
        <f t="shared" si="4"/>
        <v>9.6</v>
      </c>
      <c r="E63" s="2">
        <v>800</v>
      </c>
      <c r="F63" s="2" t="s">
        <v>18</v>
      </c>
      <c r="G63" s="2" t="s">
        <v>19</v>
      </c>
      <c r="H63" s="2" t="s">
        <v>170</v>
      </c>
      <c r="I63" s="2" t="s">
        <v>156</v>
      </c>
      <c r="J63" s="2" t="s">
        <v>156</v>
      </c>
      <c r="K63" s="2" t="s">
        <v>23</v>
      </c>
      <c r="L63" s="2" t="s">
        <v>24</v>
      </c>
      <c r="M63" s="2">
        <v>0</v>
      </c>
      <c r="N63" s="2" t="str">
        <f>VLOOKUP(A63, zcorin_converter!A:L, 12, FALSE)</f>
        <v>Canning</v>
      </c>
      <c r="O63" s="2">
        <v>0</v>
      </c>
      <c r="P63" s="2" t="s">
        <v>25</v>
      </c>
    </row>
    <row r="64" spans="1:16">
      <c r="A64" s="11" t="s">
        <v>185</v>
      </c>
      <c r="B64" s="2" t="s">
        <v>186</v>
      </c>
      <c r="C64" s="2">
        <v>12</v>
      </c>
      <c r="D64" s="2">
        <f t="shared" si="4"/>
        <v>9.6</v>
      </c>
      <c r="E64" s="2">
        <v>800</v>
      </c>
      <c r="F64" s="2" t="s">
        <v>18</v>
      </c>
      <c r="G64" s="2" t="s">
        <v>19</v>
      </c>
      <c r="H64" s="2" t="s">
        <v>170</v>
      </c>
      <c r="I64" s="2" t="s">
        <v>156</v>
      </c>
      <c r="J64" s="2" t="s">
        <v>156</v>
      </c>
      <c r="K64" s="2" t="s">
        <v>23</v>
      </c>
      <c r="L64" s="2" t="s">
        <v>24</v>
      </c>
      <c r="M64" s="2">
        <v>0</v>
      </c>
      <c r="N64" s="2" t="str">
        <f>VLOOKUP(A64, zcorin_converter!A:L, 12, FALSE)</f>
        <v>Canning</v>
      </c>
      <c r="O64" s="2">
        <v>0</v>
      </c>
      <c r="P64" s="2" t="s">
        <v>25</v>
      </c>
    </row>
    <row r="65" spans="1:16">
      <c r="A65" s="11" t="s">
        <v>187</v>
      </c>
      <c r="B65" s="2" t="s">
        <v>188</v>
      </c>
      <c r="C65" s="2">
        <v>24</v>
      </c>
      <c r="D65" s="2">
        <f t="shared" si="4"/>
        <v>3.84</v>
      </c>
      <c r="E65" s="2">
        <v>160</v>
      </c>
      <c r="F65" s="2" t="s">
        <v>18</v>
      </c>
      <c r="G65" s="2" t="s">
        <v>80</v>
      </c>
      <c r="H65" s="2" t="s">
        <v>189</v>
      </c>
      <c r="I65" s="2" t="s">
        <v>190</v>
      </c>
      <c r="J65" s="2" t="s">
        <v>38</v>
      </c>
      <c r="K65" s="2" t="s">
        <v>83</v>
      </c>
      <c r="L65" s="2" t="s">
        <v>24</v>
      </c>
      <c r="M65" s="2">
        <v>0</v>
      </c>
      <c r="N65" s="2" t="str">
        <f>VLOOKUP(A65, zcorin_converter!A:L, 12, FALSE)</f>
        <v>Bag in Box</v>
      </c>
      <c r="O65" s="2">
        <v>0</v>
      </c>
      <c r="P65" s="2" t="s">
        <v>25</v>
      </c>
    </row>
    <row r="66" spans="1:16">
      <c r="A66" s="11" t="s">
        <v>191</v>
      </c>
      <c r="B66" s="2" t="s">
        <v>192</v>
      </c>
      <c r="C66" s="2">
        <v>24</v>
      </c>
      <c r="D66" s="2">
        <f t="shared" si="4"/>
        <v>8.64</v>
      </c>
      <c r="E66" s="2">
        <v>360</v>
      </c>
      <c r="F66" s="2" t="s">
        <v>18</v>
      </c>
      <c r="G66" s="2" t="s">
        <v>80</v>
      </c>
      <c r="H66" s="2" t="s">
        <v>189</v>
      </c>
      <c r="I66" s="2" t="s">
        <v>190</v>
      </c>
      <c r="J66" s="2" t="s">
        <v>38</v>
      </c>
      <c r="K66" s="2" t="s">
        <v>83</v>
      </c>
      <c r="L66" s="2" t="s">
        <v>24</v>
      </c>
      <c r="M66" s="2">
        <v>0</v>
      </c>
      <c r="N66" s="2" t="str">
        <f>VLOOKUP(A66, zcorin_converter!A:L, 12, FALSE)</f>
        <v>Bag in Box</v>
      </c>
      <c r="O66" s="2">
        <v>0</v>
      </c>
      <c r="P66" s="2" t="s">
        <v>25</v>
      </c>
    </row>
    <row r="67" spans="1:16">
      <c r="A67" s="11" t="s">
        <v>193</v>
      </c>
      <c r="B67" s="2" t="s">
        <v>194</v>
      </c>
      <c r="C67" s="2">
        <v>10</v>
      </c>
      <c r="D67" s="2">
        <f t="shared" si="4"/>
        <v>7</v>
      </c>
      <c r="E67" s="2">
        <v>700</v>
      </c>
      <c r="F67" s="2" t="s">
        <v>18</v>
      </c>
      <c r="G67" s="2" t="s">
        <v>80</v>
      </c>
      <c r="H67" s="2" t="s">
        <v>189</v>
      </c>
      <c r="I67" s="2" t="s">
        <v>190</v>
      </c>
      <c r="J67" s="2" t="s">
        <v>38</v>
      </c>
      <c r="K67" s="2" t="s">
        <v>83</v>
      </c>
      <c r="L67" s="2" t="s">
        <v>24</v>
      </c>
      <c r="M67" s="2">
        <v>0</v>
      </c>
      <c r="N67" s="2" t="str">
        <f>VLOOKUP(A67, zcorin_converter!A:L, 12, FALSE)</f>
        <v>Bag in Box</v>
      </c>
      <c r="O67" s="2">
        <v>0</v>
      </c>
      <c r="P67" s="2" t="s">
        <v>25</v>
      </c>
    </row>
    <row r="68" spans="1:16">
      <c r="A68" s="11" t="s">
        <v>195</v>
      </c>
      <c r="B68" s="2" t="s">
        <v>196</v>
      </c>
      <c r="C68" s="2">
        <v>24</v>
      </c>
      <c r="D68" s="2">
        <f t="shared" si="4"/>
        <v>8.64</v>
      </c>
      <c r="E68" s="2">
        <v>360</v>
      </c>
      <c r="F68" s="2" t="s">
        <v>18</v>
      </c>
      <c r="G68" s="2" t="s">
        <v>80</v>
      </c>
      <c r="H68" s="2" t="s">
        <v>197</v>
      </c>
      <c r="I68" s="2" t="s">
        <v>198</v>
      </c>
      <c r="J68" s="2" t="s">
        <v>42</v>
      </c>
      <c r="K68" s="2" t="s">
        <v>83</v>
      </c>
      <c r="L68" s="2" t="s">
        <v>24</v>
      </c>
      <c r="M68" s="2">
        <v>0</v>
      </c>
      <c r="N68" s="2" t="str">
        <f>VLOOKUP(A68, zcorin_converter!A:L, 12, FALSE)</f>
        <v>Bag in Box</v>
      </c>
      <c r="O68" s="2">
        <v>0</v>
      </c>
      <c r="P68" s="2" t="s">
        <v>25</v>
      </c>
    </row>
    <row r="69" spans="1:16">
      <c r="A69" s="11" t="s">
        <v>199</v>
      </c>
      <c r="B69" s="2" t="s">
        <v>200</v>
      </c>
      <c r="C69" s="2">
        <v>24</v>
      </c>
      <c r="D69" s="2">
        <f t="shared" si="4"/>
        <v>8.64</v>
      </c>
      <c r="E69" s="2">
        <v>360</v>
      </c>
      <c r="F69" s="2" t="s">
        <v>18</v>
      </c>
      <c r="G69" s="2" t="s">
        <v>80</v>
      </c>
      <c r="H69" s="2" t="s">
        <v>201</v>
      </c>
      <c r="I69" s="2" t="s">
        <v>202</v>
      </c>
      <c r="J69" s="2" t="s">
        <v>156</v>
      </c>
      <c r="K69" s="2" t="s">
        <v>83</v>
      </c>
      <c r="L69" s="2" t="s">
        <v>24</v>
      </c>
      <c r="M69" s="2">
        <v>0</v>
      </c>
      <c r="N69" s="2" t="str">
        <f>VLOOKUP(A69, zcorin_converter!A:L, 12, FALSE)</f>
        <v>Bag in Box</v>
      </c>
      <c r="O69" s="2">
        <v>0</v>
      </c>
      <c r="P69" s="2" t="s">
        <v>25</v>
      </c>
    </row>
    <row r="70" spans="1:16">
      <c r="A70" s="11" t="s">
        <v>203</v>
      </c>
      <c r="B70" s="2" t="s">
        <v>204</v>
      </c>
      <c r="C70" s="2">
        <v>10</v>
      </c>
      <c r="D70" s="2">
        <f t="shared" si="4"/>
        <v>7</v>
      </c>
      <c r="E70" s="2">
        <v>700</v>
      </c>
      <c r="F70" s="2" t="s">
        <v>18</v>
      </c>
      <c r="G70" s="2" t="s">
        <v>80</v>
      </c>
      <c r="H70" s="2" t="s">
        <v>201</v>
      </c>
      <c r="I70" s="2" t="s">
        <v>202</v>
      </c>
      <c r="J70" s="2" t="s">
        <v>156</v>
      </c>
      <c r="K70" s="2" t="s">
        <v>83</v>
      </c>
      <c r="L70" s="2" t="s">
        <v>47</v>
      </c>
      <c r="M70" s="2">
        <f>3900/24</f>
        <v>162.5</v>
      </c>
      <c r="N70" s="2" t="str">
        <f>VLOOKUP(A70, zcorin_converter!A:L, 12, FALSE)</f>
        <v>Bag in Box</v>
      </c>
      <c r="O70" s="2" t="s">
        <v>205</v>
      </c>
      <c r="P70" s="2" t="s">
        <v>25</v>
      </c>
    </row>
    <row r="71" spans="1:16">
      <c r="A71" s="11" t="s">
        <v>206</v>
      </c>
      <c r="B71" s="2" t="s">
        <v>207</v>
      </c>
      <c r="C71" s="2">
        <v>24</v>
      </c>
      <c r="D71" s="2">
        <f t="shared" si="4"/>
        <v>8.64</v>
      </c>
      <c r="E71" s="2">
        <v>360</v>
      </c>
      <c r="F71" s="2" t="s">
        <v>18</v>
      </c>
      <c r="G71" s="2" t="s">
        <v>80</v>
      </c>
      <c r="H71" s="2" t="s">
        <v>201</v>
      </c>
      <c r="I71" s="2" t="s">
        <v>202</v>
      </c>
      <c r="J71" s="2" t="s">
        <v>156</v>
      </c>
      <c r="K71" s="2" t="s">
        <v>83</v>
      </c>
      <c r="L71" s="2" t="s">
        <v>24</v>
      </c>
      <c r="M71" s="2">
        <v>0</v>
      </c>
      <c r="N71" s="2" t="str">
        <f>VLOOKUP(A71, zcorin_converter!A:L, 12, FALSE)</f>
        <v>Bag in Box</v>
      </c>
      <c r="O71" s="2">
        <v>0</v>
      </c>
      <c r="P71" s="2" t="s">
        <v>25</v>
      </c>
    </row>
    <row r="72" spans="1:16">
      <c r="A72" s="11" t="s">
        <v>208</v>
      </c>
      <c r="B72" s="2" t="s">
        <v>209</v>
      </c>
      <c r="C72" s="2">
        <v>10</v>
      </c>
      <c r="D72" s="2">
        <f t="shared" si="4"/>
        <v>7</v>
      </c>
      <c r="E72" s="2">
        <v>700</v>
      </c>
      <c r="F72" s="2" t="s">
        <v>18</v>
      </c>
      <c r="G72" s="2" t="s">
        <v>80</v>
      </c>
      <c r="H72" s="2" t="s">
        <v>201</v>
      </c>
      <c r="I72" s="2" t="s">
        <v>202</v>
      </c>
      <c r="J72" s="2" t="s">
        <v>156</v>
      </c>
      <c r="K72" s="2" t="s">
        <v>83</v>
      </c>
      <c r="L72" s="2" t="s">
        <v>24</v>
      </c>
      <c r="M72" s="2">
        <v>0</v>
      </c>
      <c r="N72" s="2" t="str">
        <f>VLOOKUP(A72, zcorin_converter!A:L, 12, FALSE)</f>
        <v>Bag in Box</v>
      </c>
      <c r="O72" s="2">
        <v>0</v>
      </c>
      <c r="P72" s="2" t="s">
        <v>25</v>
      </c>
    </row>
    <row r="73" spans="1:16">
      <c r="A73" s="11" t="s">
        <v>210</v>
      </c>
      <c r="B73" s="2" t="s">
        <v>211</v>
      </c>
      <c r="C73" s="2">
        <v>24</v>
      </c>
      <c r="D73" s="2">
        <f t="shared" ref="D73:D74" si="5">C73*E73/1000</f>
        <v>9.6</v>
      </c>
      <c r="E73" s="2">
        <v>400</v>
      </c>
      <c r="F73" s="2" t="s">
        <v>28</v>
      </c>
      <c r="G73" s="2" t="s">
        <v>29</v>
      </c>
      <c r="H73" s="2" t="s">
        <v>29</v>
      </c>
      <c r="I73" s="2" t="s">
        <v>51</v>
      </c>
      <c r="J73" s="2" t="s">
        <v>22</v>
      </c>
      <c r="K73" s="2" t="s">
        <v>29</v>
      </c>
      <c r="L73" s="2" t="s">
        <v>24</v>
      </c>
      <c r="M73" s="2">
        <v>0</v>
      </c>
      <c r="N73" s="2" t="str">
        <f>VLOOKUP(A73, zcorin_converter!A:L, 12, FALSE)</f>
        <v>Bag in Box</v>
      </c>
      <c r="O73" s="2">
        <v>0</v>
      </c>
      <c r="P73" s="2" t="s">
        <v>25</v>
      </c>
    </row>
    <row r="74" spans="1:16">
      <c r="A74" s="11" t="s">
        <v>212</v>
      </c>
      <c r="B74" s="2" t="s">
        <v>213</v>
      </c>
      <c r="C74" s="2">
        <v>6</v>
      </c>
      <c r="D74" s="2">
        <f t="shared" si="5"/>
        <v>9.6</v>
      </c>
      <c r="E74" s="2">
        <v>1600</v>
      </c>
      <c r="F74" s="2" t="s">
        <v>28</v>
      </c>
      <c r="G74" s="2" t="s">
        <v>29</v>
      </c>
      <c r="H74" s="2" t="s">
        <v>29</v>
      </c>
      <c r="I74" s="2" t="s">
        <v>51</v>
      </c>
      <c r="J74" s="2" t="s">
        <v>22</v>
      </c>
      <c r="K74" s="2" t="s">
        <v>29</v>
      </c>
      <c r="L74" s="2" t="s">
        <v>24</v>
      </c>
      <c r="M74" s="2">
        <v>0</v>
      </c>
      <c r="N74" s="2" t="str">
        <f>VLOOKUP(A74, zcorin_converter!A:L, 12, FALSE)</f>
        <v>Bag in Box</v>
      </c>
      <c r="O74" s="2">
        <v>0</v>
      </c>
      <c r="P74" s="2" t="s">
        <v>25</v>
      </c>
    </row>
    <row r="75" spans="1:16">
      <c r="A75" s="11" t="s">
        <v>214</v>
      </c>
      <c r="B75" s="2" t="s">
        <v>215</v>
      </c>
      <c r="C75" s="2">
        <v>6</v>
      </c>
      <c r="D75" s="2">
        <f t="shared" ref="D75:D82" si="6">E75*C75/1000</f>
        <v>10.8</v>
      </c>
      <c r="E75" s="2">
        <v>1800</v>
      </c>
      <c r="F75" s="2" t="s">
        <v>18</v>
      </c>
      <c r="G75" s="2" t="s">
        <v>19</v>
      </c>
      <c r="H75" s="2" t="s">
        <v>170</v>
      </c>
      <c r="I75" s="2" t="s">
        <v>156</v>
      </c>
      <c r="J75" s="2" t="s">
        <v>156</v>
      </c>
      <c r="K75" s="2" t="s">
        <v>23</v>
      </c>
      <c r="L75" s="2" t="s">
        <v>47</v>
      </c>
      <c r="M75" s="2">
        <f>3000/24</f>
        <v>125</v>
      </c>
      <c r="N75" s="2" t="str">
        <f>VLOOKUP(A75, zcorin_converter!A:L, 12, FALSE)</f>
        <v>Bag in Box</v>
      </c>
      <c r="O75" s="2" t="s">
        <v>216</v>
      </c>
      <c r="P75" s="2" t="s">
        <v>25</v>
      </c>
    </row>
    <row r="76" spans="1:16">
      <c r="A76" s="11" t="s">
        <v>217</v>
      </c>
      <c r="B76" s="2" t="s">
        <v>218</v>
      </c>
      <c r="C76" s="2">
        <v>6</v>
      </c>
      <c r="D76" s="2">
        <f t="shared" si="6"/>
        <v>8.4</v>
      </c>
      <c r="E76" s="2">
        <v>1400</v>
      </c>
      <c r="F76" s="2" t="s">
        <v>18</v>
      </c>
      <c r="G76" s="2" t="s">
        <v>19</v>
      </c>
      <c r="H76" s="2" t="s">
        <v>219</v>
      </c>
      <c r="I76" s="2" t="s">
        <v>51</v>
      </c>
      <c r="J76" s="2" t="s">
        <v>22</v>
      </c>
      <c r="K76" s="2" t="s">
        <v>23</v>
      </c>
      <c r="L76" s="2" t="s">
        <v>24</v>
      </c>
      <c r="M76" s="2">
        <v>0</v>
      </c>
      <c r="N76" s="2" t="str">
        <f>VLOOKUP(A76, zcorin_converter!A:L, 12, FALSE)</f>
        <v>Bag in Box</v>
      </c>
      <c r="O76" s="2">
        <v>0</v>
      </c>
      <c r="P76" s="2" t="s">
        <v>25</v>
      </c>
    </row>
    <row r="77" spans="1:16">
      <c r="A77" s="11" t="s">
        <v>220</v>
      </c>
      <c r="B77" s="2" t="s">
        <v>221</v>
      </c>
      <c r="C77" s="2">
        <v>24</v>
      </c>
      <c r="D77" s="2">
        <f t="shared" si="6"/>
        <v>8.4</v>
      </c>
      <c r="E77" s="2">
        <v>350</v>
      </c>
      <c r="F77" s="2" t="s">
        <v>18</v>
      </c>
      <c r="G77" s="2" t="s">
        <v>19</v>
      </c>
      <c r="H77" s="2" t="s">
        <v>219</v>
      </c>
      <c r="I77" s="2" t="s">
        <v>51</v>
      </c>
      <c r="J77" s="2" t="s">
        <v>22</v>
      </c>
      <c r="K77" s="2" t="s">
        <v>23</v>
      </c>
      <c r="L77" s="2" t="s">
        <v>24</v>
      </c>
      <c r="M77" s="2">
        <v>0</v>
      </c>
      <c r="N77" s="2" t="str">
        <f>VLOOKUP(A77, zcorin_converter!A:L, 12, FALSE)</f>
        <v>Bag in Box</v>
      </c>
      <c r="O77" s="2">
        <v>0</v>
      </c>
      <c r="P77" s="2" t="s">
        <v>25</v>
      </c>
    </row>
    <row r="78" spans="1:16">
      <c r="A78" s="11" t="s">
        <v>222</v>
      </c>
      <c r="B78" s="2" t="s">
        <v>223</v>
      </c>
      <c r="C78" s="2">
        <v>24</v>
      </c>
      <c r="D78" s="2">
        <f t="shared" si="6"/>
        <v>8.4</v>
      </c>
      <c r="E78" s="2">
        <v>350</v>
      </c>
      <c r="F78" s="2" t="s">
        <v>18</v>
      </c>
      <c r="G78" s="2" t="s">
        <v>19</v>
      </c>
      <c r="H78" s="2" t="s">
        <v>224</v>
      </c>
      <c r="I78" s="2" t="s">
        <v>51</v>
      </c>
      <c r="J78" s="2" t="s">
        <v>22</v>
      </c>
      <c r="K78" s="2" t="s">
        <v>23</v>
      </c>
      <c r="L78" s="2" t="s">
        <v>24</v>
      </c>
      <c r="M78" s="2">
        <v>0</v>
      </c>
      <c r="N78" s="2" t="str">
        <f>VLOOKUP(A78, zcorin_converter!A:L, 12, FALSE)</f>
        <v>Bag in Box</v>
      </c>
      <c r="O78" s="2">
        <v>0</v>
      </c>
      <c r="P78" s="2" t="s">
        <v>25</v>
      </c>
    </row>
    <row r="79" spans="1:16">
      <c r="A79" s="11" t="s">
        <v>225</v>
      </c>
      <c r="B79" s="2" t="s">
        <v>226</v>
      </c>
      <c r="C79" s="2">
        <v>24</v>
      </c>
      <c r="D79" s="2">
        <f t="shared" si="6"/>
        <v>8.4</v>
      </c>
      <c r="E79" s="2">
        <v>350</v>
      </c>
      <c r="F79" s="2" t="s">
        <v>18</v>
      </c>
      <c r="G79" s="2" t="s">
        <v>19</v>
      </c>
      <c r="H79" s="2" t="s">
        <v>227</v>
      </c>
      <c r="I79" s="2" t="s">
        <v>62</v>
      </c>
      <c r="J79" s="2" t="s">
        <v>22</v>
      </c>
      <c r="K79" s="2" t="s">
        <v>23</v>
      </c>
      <c r="L79" s="2" t="s">
        <v>24</v>
      </c>
      <c r="M79" s="2">
        <v>0</v>
      </c>
      <c r="N79" s="2" t="str">
        <f>VLOOKUP(A79, zcorin_converter!A:L, 12, FALSE)</f>
        <v>Bag in Box</v>
      </c>
      <c r="O79" s="2">
        <v>0</v>
      </c>
      <c r="P79" s="2" t="s">
        <v>25</v>
      </c>
    </row>
    <row r="80" spans="1:16">
      <c r="A80" s="11" t="s">
        <v>228</v>
      </c>
      <c r="B80" s="2" t="s">
        <v>229</v>
      </c>
      <c r="C80" s="2">
        <v>12</v>
      </c>
      <c r="D80" s="2">
        <f t="shared" si="6"/>
        <v>8.4</v>
      </c>
      <c r="E80" s="2">
        <v>700</v>
      </c>
      <c r="F80" s="2" t="s">
        <v>18</v>
      </c>
      <c r="G80" s="2" t="s">
        <v>19</v>
      </c>
      <c r="H80" s="2" t="s">
        <v>227</v>
      </c>
      <c r="I80" s="2" t="s">
        <v>62</v>
      </c>
      <c r="J80" s="2" t="s">
        <v>22</v>
      </c>
      <c r="K80" s="2" t="s">
        <v>23</v>
      </c>
      <c r="L80" s="2" t="s">
        <v>24</v>
      </c>
      <c r="M80" s="2">
        <v>0</v>
      </c>
      <c r="N80" s="2" t="str">
        <f>VLOOKUP(A80, zcorin_converter!A:L, 12, FALSE)</f>
        <v>Canning</v>
      </c>
      <c r="O80" s="2">
        <v>0</v>
      </c>
      <c r="P80" s="2" t="s">
        <v>25</v>
      </c>
    </row>
    <row r="81" spans="1:16">
      <c r="A81" s="11" t="s">
        <v>230</v>
      </c>
      <c r="B81" s="2" t="s">
        <v>231</v>
      </c>
      <c r="C81" s="2">
        <v>12</v>
      </c>
      <c r="D81" s="2">
        <f t="shared" si="6"/>
        <v>8.4</v>
      </c>
      <c r="E81" s="2">
        <v>700</v>
      </c>
      <c r="F81" s="2" t="s">
        <v>18</v>
      </c>
      <c r="G81" s="2" t="s">
        <v>19</v>
      </c>
      <c r="H81" s="2" t="s">
        <v>219</v>
      </c>
      <c r="I81" s="2" t="s">
        <v>51</v>
      </c>
      <c r="J81" s="2" t="s">
        <v>22</v>
      </c>
      <c r="K81" s="2" t="s">
        <v>23</v>
      </c>
      <c r="L81" s="2" t="s">
        <v>24</v>
      </c>
      <c r="M81" s="2">
        <v>0</v>
      </c>
      <c r="N81" s="2" t="str">
        <f>VLOOKUP(A81, zcorin_converter!A:L, 12, FALSE)</f>
        <v>Canning</v>
      </c>
      <c r="O81" s="2">
        <v>0</v>
      </c>
      <c r="P81" s="2" t="s">
        <v>25</v>
      </c>
    </row>
    <row r="82" spans="1:16">
      <c r="A82" s="11" t="s">
        <v>232</v>
      </c>
      <c r="B82" s="2" t="s">
        <v>233</v>
      </c>
      <c r="C82" s="2">
        <v>24</v>
      </c>
      <c r="D82" s="2">
        <f t="shared" si="6"/>
        <v>8.4</v>
      </c>
      <c r="E82" s="2">
        <v>350</v>
      </c>
      <c r="F82" s="2" t="s">
        <v>18</v>
      </c>
      <c r="G82" s="2" t="s">
        <v>19</v>
      </c>
      <c r="H82" s="2" t="s">
        <v>234</v>
      </c>
      <c r="I82" s="2" t="s">
        <v>56</v>
      </c>
      <c r="J82" s="2" t="s">
        <v>22</v>
      </c>
      <c r="K82" s="2" t="s">
        <v>23</v>
      </c>
      <c r="L82" s="2" t="s">
        <v>24</v>
      </c>
      <c r="M82" s="2">
        <v>0</v>
      </c>
      <c r="N82" s="2" t="str">
        <f>VLOOKUP(A82, zcorin_converter!A:L, 12, FALSE)</f>
        <v>Bag in Box</v>
      </c>
      <c r="O82" s="2">
        <v>0</v>
      </c>
      <c r="P82" s="2" t="s">
        <v>25</v>
      </c>
    </row>
    <row r="83" spans="1:16">
      <c r="A83" s="11" t="s">
        <v>235</v>
      </c>
      <c r="B83" s="2" t="s">
        <v>236</v>
      </c>
      <c r="C83" s="2">
        <v>10</v>
      </c>
      <c r="D83" s="2">
        <f>E83*C83/1000</f>
        <v>7</v>
      </c>
      <c r="E83" s="2">
        <v>700</v>
      </c>
      <c r="F83" s="2" t="s">
        <v>18</v>
      </c>
      <c r="G83" s="2" t="s">
        <v>80</v>
      </c>
      <c r="H83" s="2" t="s">
        <v>237</v>
      </c>
      <c r="I83" s="2" t="s">
        <v>238</v>
      </c>
      <c r="J83" s="2" t="s">
        <v>156</v>
      </c>
      <c r="K83" s="2" t="s">
        <v>83</v>
      </c>
      <c r="L83" s="2" t="s">
        <v>24</v>
      </c>
      <c r="M83" s="2">
        <v>0</v>
      </c>
      <c r="N83" s="2" t="str">
        <f>VLOOKUP(A83, zcorin_converter!A:L, 12, FALSE)</f>
        <v>Bag in Box</v>
      </c>
      <c r="O83" s="2">
        <v>0</v>
      </c>
      <c r="P83" s="2" t="s">
        <v>25</v>
      </c>
    </row>
    <row r="84" spans="1:16">
      <c r="A84" s="11" t="s">
        <v>239</v>
      </c>
      <c r="B84" s="2" t="s">
        <v>240</v>
      </c>
      <c r="C84" s="2">
        <v>24</v>
      </c>
      <c r="D84" s="2">
        <f t="shared" ref="D84:D91" si="7">C84*E84/1000</f>
        <v>8.4</v>
      </c>
      <c r="E84" s="2">
        <v>350</v>
      </c>
      <c r="F84" s="2" t="s">
        <v>241</v>
      </c>
      <c r="G84" s="2" t="s">
        <v>29</v>
      </c>
      <c r="H84" s="2" t="s">
        <v>29</v>
      </c>
      <c r="I84" s="2" t="s">
        <v>38</v>
      </c>
      <c r="J84" s="2" t="s">
        <v>38</v>
      </c>
      <c r="K84" s="2" t="s">
        <v>29</v>
      </c>
      <c r="L84" s="2" t="s">
        <v>24</v>
      </c>
      <c r="M84" s="2">
        <v>0</v>
      </c>
      <c r="N84" s="2" t="str">
        <f>VLOOKUP(A84, zcorin_converter!A:L, 12, FALSE)</f>
        <v>Canning</v>
      </c>
      <c r="O84" s="2">
        <v>0</v>
      </c>
      <c r="P84" s="2" t="s">
        <v>25</v>
      </c>
    </row>
    <row r="85" spans="1:16">
      <c r="A85" s="11" t="s">
        <v>242</v>
      </c>
      <c r="B85" s="2" t="s">
        <v>243</v>
      </c>
      <c r="C85" s="2">
        <v>24</v>
      </c>
      <c r="D85" s="2">
        <f t="shared" si="7"/>
        <v>9.6</v>
      </c>
      <c r="E85" s="2">
        <v>400</v>
      </c>
      <c r="F85" s="2" t="s">
        <v>147</v>
      </c>
      <c r="G85" s="2" t="s">
        <v>29</v>
      </c>
      <c r="H85" s="2" t="s">
        <v>29</v>
      </c>
      <c r="I85" s="2" t="s">
        <v>38</v>
      </c>
      <c r="J85" s="2" t="s">
        <v>38</v>
      </c>
      <c r="K85" s="2" t="s">
        <v>29</v>
      </c>
      <c r="L85" s="2" t="s">
        <v>24</v>
      </c>
      <c r="M85" s="2">
        <v>0</v>
      </c>
      <c r="N85" s="2" t="str">
        <f>VLOOKUP(A85, zcorin_converter!A:L, 12, FALSE)</f>
        <v>Canning</v>
      </c>
      <c r="O85" s="2">
        <v>0</v>
      </c>
      <c r="P85" s="2" t="s">
        <v>25</v>
      </c>
    </row>
    <row r="86" spans="1:16">
      <c r="A86" s="11" t="s">
        <v>244</v>
      </c>
      <c r="B86" s="2" t="s">
        <v>245</v>
      </c>
      <c r="C86" s="2">
        <v>12</v>
      </c>
      <c r="D86" s="2">
        <f t="shared" si="7"/>
        <v>9.6</v>
      </c>
      <c r="E86" s="2">
        <v>800</v>
      </c>
      <c r="F86" s="2" t="s">
        <v>147</v>
      </c>
      <c r="G86" s="2" t="s">
        <v>29</v>
      </c>
      <c r="H86" s="2" t="s">
        <v>29</v>
      </c>
      <c r="I86" s="2" t="s">
        <v>38</v>
      </c>
      <c r="J86" s="2" t="s">
        <v>38</v>
      </c>
      <c r="K86" s="2" t="s">
        <v>29</v>
      </c>
      <c r="L86" s="2" t="s">
        <v>24</v>
      </c>
      <c r="M86" s="2">
        <v>0</v>
      </c>
      <c r="N86" s="2" t="str">
        <f>VLOOKUP(A86, zcorin_converter!A:L, 12, FALSE)</f>
        <v>Canning</v>
      </c>
      <c r="O86" s="2">
        <v>0</v>
      </c>
      <c r="P86" s="2" t="s">
        <v>25</v>
      </c>
    </row>
    <row r="87" spans="1:16">
      <c r="A87" s="11" t="s">
        <v>246</v>
      </c>
      <c r="B87" s="2" t="s">
        <v>247</v>
      </c>
      <c r="C87" s="2">
        <v>12</v>
      </c>
      <c r="D87" s="2">
        <f t="shared" si="7"/>
        <v>9.6</v>
      </c>
      <c r="E87" s="2">
        <v>800</v>
      </c>
      <c r="F87" s="2" t="s">
        <v>147</v>
      </c>
      <c r="G87" s="2" t="s">
        <v>29</v>
      </c>
      <c r="H87" s="2" t="s">
        <v>29</v>
      </c>
      <c r="I87" s="2" t="s">
        <v>42</v>
      </c>
      <c r="J87" s="2" t="s">
        <v>42</v>
      </c>
      <c r="K87" s="2" t="s">
        <v>29</v>
      </c>
      <c r="L87" s="2" t="s">
        <v>24</v>
      </c>
      <c r="M87" s="2">
        <v>0</v>
      </c>
      <c r="N87" s="2" t="str">
        <f>VLOOKUP(A87, zcorin_converter!A:L, 12, FALSE)</f>
        <v>Canning</v>
      </c>
      <c r="O87" s="2">
        <v>0</v>
      </c>
      <c r="P87" s="2" t="s">
        <v>25</v>
      </c>
    </row>
    <row r="88" spans="1:16">
      <c r="A88" s="11" t="s">
        <v>248</v>
      </c>
      <c r="B88" s="2" t="s">
        <v>249</v>
      </c>
      <c r="C88" s="2">
        <v>12</v>
      </c>
      <c r="D88" s="2">
        <f t="shared" si="7"/>
        <v>10.199999999999999</v>
      </c>
      <c r="E88" s="2">
        <v>850</v>
      </c>
      <c r="F88" s="2" t="s">
        <v>100</v>
      </c>
      <c r="G88" s="2" t="s">
        <v>29</v>
      </c>
      <c r="H88" s="2" t="s">
        <v>29</v>
      </c>
      <c r="I88" s="2" t="s">
        <v>250</v>
      </c>
      <c r="J88" s="2" t="s">
        <v>250</v>
      </c>
      <c r="K88" s="2" t="s">
        <v>29</v>
      </c>
      <c r="L88" s="2" t="s">
        <v>24</v>
      </c>
      <c r="M88" s="2">
        <v>0</v>
      </c>
      <c r="N88" s="2" t="str">
        <f>VLOOKUP(A88, zcorin_converter!A:L, 12, FALSE)</f>
        <v>Canning</v>
      </c>
      <c r="O88" s="2">
        <v>0</v>
      </c>
      <c r="P88" s="2" t="s">
        <v>25</v>
      </c>
    </row>
    <row r="89" spans="1:16">
      <c r="A89" s="11" t="s">
        <v>251</v>
      </c>
      <c r="B89" s="2" t="s">
        <v>252</v>
      </c>
      <c r="C89" s="2">
        <v>12</v>
      </c>
      <c r="D89" s="2">
        <f t="shared" si="7"/>
        <v>9.6</v>
      </c>
      <c r="E89" s="2">
        <v>800</v>
      </c>
      <c r="F89" s="2" t="s">
        <v>147</v>
      </c>
      <c r="G89" s="2" t="s">
        <v>29</v>
      </c>
      <c r="H89" s="2" t="s">
        <v>29</v>
      </c>
      <c r="I89" s="2" t="s">
        <v>156</v>
      </c>
      <c r="J89" s="2" t="s">
        <v>156</v>
      </c>
      <c r="K89" s="2" t="s">
        <v>29</v>
      </c>
      <c r="L89" s="2" t="s">
        <v>24</v>
      </c>
      <c r="M89" s="2">
        <v>0</v>
      </c>
      <c r="N89" s="2" t="str">
        <f>VLOOKUP(A89, zcorin_converter!A:L, 12, FALSE)</f>
        <v>Canning</v>
      </c>
      <c r="O89" s="2">
        <v>0</v>
      </c>
      <c r="P89" s="2" t="s">
        <v>25</v>
      </c>
    </row>
    <row r="90" spans="1:16">
      <c r="A90" s="11" t="s">
        <v>253</v>
      </c>
      <c r="B90" s="2" t="s">
        <v>254</v>
      </c>
      <c r="C90" s="2">
        <v>24</v>
      </c>
      <c r="D90" s="2">
        <f t="shared" si="7"/>
        <v>8.4</v>
      </c>
      <c r="E90" s="2">
        <v>350</v>
      </c>
      <c r="F90" s="2" t="s">
        <v>59</v>
      </c>
      <c r="G90" s="2" t="s">
        <v>29</v>
      </c>
      <c r="H90" s="2" t="s">
        <v>29</v>
      </c>
      <c r="I90" s="2" t="s">
        <v>42</v>
      </c>
      <c r="J90" s="2" t="s">
        <v>42</v>
      </c>
      <c r="K90" s="2" t="s">
        <v>29</v>
      </c>
      <c r="L90" s="2" t="s">
        <v>24</v>
      </c>
      <c r="M90" s="2">
        <v>0</v>
      </c>
      <c r="N90" s="2" t="str">
        <f>VLOOKUP(A90, zcorin_converter!A:L, 12, FALSE)</f>
        <v>Bag in Box</v>
      </c>
      <c r="O90" s="2">
        <v>0</v>
      </c>
      <c r="P90" s="2" t="s">
        <v>25</v>
      </c>
    </row>
    <row r="91" spans="1:16">
      <c r="A91" s="11" t="s">
        <v>255</v>
      </c>
      <c r="B91" s="2" t="s">
        <v>256</v>
      </c>
      <c r="C91" s="2">
        <v>24</v>
      </c>
      <c r="D91" s="2">
        <f t="shared" si="7"/>
        <v>8.4</v>
      </c>
      <c r="E91" s="2">
        <v>350</v>
      </c>
      <c r="F91" s="2" t="s">
        <v>59</v>
      </c>
      <c r="G91" s="2" t="s">
        <v>29</v>
      </c>
      <c r="H91" s="2" t="s">
        <v>29</v>
      </c>
      <c r="I91" s="2" t="s">
        <v>38</v>
      </c>
      <c r="J91" s="2" t="s">
        <v>38</v>
      </c>
      <c r="K91" s="2" t="s">
        <v>29</v>
      </c>
      <c r="L91" s="2" t="s">
        <v>24</v>
      </c>
      <c r="M91" s="2">
        <v>0</v>
      </c>
      <c r="N91" s="2" t="str">
        <f>VLOOKUP(A91, zcorin_converter!A:L, 12, FALSE)</f>
        <v>Bag in Box</v>
      </c>
      <c r="O91" s="2">
        <v>0</v>
      </c>
      <c r="P91" s="2" t="s">
        <v>25</v>
      </c>
    </row>
    <row r="92" spans="1:16">
      <c r="A92" s="11" t="s">
        <v>257</v>
      </c>
      <c r="B92" s="2" t="s">
        <v>258</v>
      </c>
      <c r="C92" s="2">
        <v>6</v>
      </c>
      <c r="D92" s="2">
        <f t="shared" ref="D92:D97" si="8">E92*C92/1000</f>
        <v>10.8</v>
      </c>
      <c r="E92" s="2">
        <v>1800</v>
      </c>
      <c r="F92" s="2" t="s">
        <v>18</v>
      </c>
      <c r="G92" s="2" t="s">
        <v>19</v>
      </c>
      <c r="H92" s="2" t="s">
        <v>167</v>
      </c>
      <c r="I92" s="2" t="s">
        <v>156</v>
      </c>
      <c r="J92" s="2" t="s">
        <v>156</v>
      </c>
      <c r="K92" s="2" t="s">
        <v>23</v>
      </c>
      <c r="L92" s="2" t="s">
        <v>24</v>
      </c>
      <c r="M92" s="2">
        <v>0</v>
      </c>
      <c r="N92" s="2" t="str">
        <f>VLOOKUP(A92, zcorin_converter!A:L, 12, FALSE)</f>
        <v>Bag in Box</v>
      </c>
      <c r="O92" s="2">
        <v>0</v>
      </c>
      <c r="P92" s="2" t="s">
        <v>25</v>
      </c>
    </row>
    <row r="93" spans="1:16">
      <c r="A93" s="11" t="s">
        <v>259</v>
      </c>
      <c r="B93" s="2" t="s">
        <v>260</v>
      </c>
      <c r="C93" s="2">
        <v>6</v>
      </c>
      <c r="D93" s="2">
        <f t="shared" si="8"/>
        <v>10.8</v>
      </c>
      <c r="E93" s="2">
        <v>1800</v>
      </c>
      <c r="F93" s="2" t="s">
        <v>18</v>
      </c>
      <c r="G93" s="2" t="s">
        <v>19</v>
      </c>
      <c r="H93" s="2" t="s">
        <v>167</v>
      </c>
      <c r="I93" s="2" t="s">
        <v>156</v>
      </c>
      <c r="J93" s="2" t="s">
        <v>156</v>
      </c>
      <c r="K93" s="2" t="s">
        <v>23</v>
      </c>
      <c r="L93" s="2" t="s">
        <v>24</v>
      </c>
      <c r="M93" s="2">
        <v>0</v>
      </c>
      <c r="N93" s="2" t="str">
        <f>VLOOKUP(A93, zcorin_converter!A:L, 12, FALSE)</f>
        <v>Bag in Box</v>
      </c>
      <c r="O93" s="2">
        <v>0</v>
      </c>
      <c r="P93" s="2" t="s">
        <v>25</v>
      </c>
    </row>
    <row r="94" spans="1:16">
      <c r="A94" s="11" t="s">
        <v>261</v>
      </c>
      <c r="B94" s="2" t="s">
        <v>262</v>
      </c>
      <c r="C94" s="2">
        <v>24</v>
      </c>
      <c r="D94" s="2">
        <f t="shared" si="8"/>
        <v>9.6</v>
      </c>
      <c r="E94" s="2">
        <v>400</v>
      </c>
      <c r="F94" s="2" t="s">
        <v>18</v>
      </c>
      <c r="G94" s="2" t="s">
        <v>19</v>
      </c>
      <c r="H94" s="2" t="s">
        <v>167</v>
      </c>
      <c r="I94" s="2" t="s">
        <v>156</v>
      </c>
      <c r="J94" s="2" t="s">
        <v>156</v>
      </c>
      <c r="K94" s="2" t="s">
        <v>23</v>
      </c>
      <c r="L94" s="2" t="s">
        <v>24</v>
      </c>
      <c r="M94" s="2">
        <v>0</v>
      </c>
      <c r="N94" s="2" t="str">
        <f>VLOOKUP(A94, zcorin_converter!A:L, 12, FALSE)</f>
        <v>Bag in Box</v>
      </c>
      <c r="O94" s="2">
        <v>0</v>
      </c>
      <c r="P94" s="2" t="s">
        <v>25</v>
      </c>
    </row>
    <row r="95" spans="1:16">
      <c r="A95" s="11" t="s">
        <v>263</v>
      </c>
      <c r="B95" s="2" t="s">
        <v>264</v>
      </c>
      <c r="C95" s="2">
        <v>24</v>
      </c>
      <c r="D95" s="2">
        <f t="shared" si="8"/>
        <v>9.6</v>
      </c>
      <c r="E95" s="2">
        <v>400</v>
      </c>
      <c r="F95" s="2" t="s">
        <v>18</v>
      </c>
      <c r="G95" s="2" t="s">
        <v>19</v>
      </c>
      <c r="H95" s="2" t="s">
        <v>167</v>
      </c>
      <c r="I95" s="2" t="s">
        <v>156</v>
      </c>
      <c r="J95" s="2" t="s">
        <v>156</v>
      </c>
      <c r="K95" s="2" t="s">
        <v>23</v>
      </c>
      <c r="L95" s="2" t="s">
        <v>24</v>
      </c>
      <c r="M95" s="2">
        <v>0</v>
      </c>
      <c r="N95" s="2" t="str">
        <f>VLOOKUP(A95, zcorin_converter!A:L, 12, FALSE)</f>
        <v>Bag in Box</v>
      </c>
      <c r="O95" s="2">
        <v>0</v>
      </c>
      <c r="P95" s="2" t="s">
        <v>25</v>
      </c>
    </row>
    <row r="96" spans="1:16">
      <c r="A96" s="11" t="s">
        <v>265</v>
      </c>
      <c r="B96" s="2" t="s">
        <v>266</v>
      </c>
      <c r="C96" s="2">
        <v>12</v>
      </c>
      <c r="D96" s="2">
        <f t="shared" si="8"/>
        <v>9.6</v>
      </c>
      <c r="E96" s="2">
        <v>800</v>
      </c>
      <c r="F96" s="2" t="s">
        <v>18</v>
      </c>
      <c r="G96" s="2" t="s">
        <v>19</v>
      </c>
      <c r="H96" s="2" t="s">
        <v>167</v>
      </c>
      <c r="I96" s="2" t="s">
        <v>156</v>
      </c>
      <c r="J96" s="2" t="s">
        <v>156</v>
      </c>
      <c r="K96" s="2" t="s">
        <v>23</v>
      </c>
      <c r="L96" s="2" t="s">
        <v>24</v>
      </c>
      <c r="M96" s="2">
        <v>0</v>
      </c>
      <c r="N96" s="2" t="str">
        <f>VLOOKUP(A96, zcorin_converter!A:L, 12, FALSE)</f>
        <v>Canning</v>
      </c>
      <c r="O96" s="2">
        <v>0</v>
      </c>
      <c r="P96" s="2" t="s">
        <v>25</v>
      </c>
    </row>
    <row r="97" spans="1:16">
      <c r="A97" s="11" t="s">
        <v>267</v>
      </c>
      <c r="B97" s="2" t="s">
        <v>268</v>
      </c>
      <c r="C97" s="2">
        <v>12</v>
      </c>
      <c r="D97" s="2">
        <f t="shared" si="8"/>
        <v>9.6</v>
      </c>
      <c r="E97" s="2">
        <v>800</v>
      </c>
      <c r="F97" s="2" t="s">
        <v>18</v>
      </c>
      <c r="G97" s="2" t="s">
        <v>19</v>
      </c>
      <c r="H97" s="2" t="s">
        <v>167</v>
      </c>
      <c r="I97" s="2" t="s">
        <v>156</v>
      </c>
      <c r="J97" s="2" t="s">
        <v>156</v>
      </c>
      <c r="K97" s="2" t="s">
        <v>23</v>
      </c>
      <c r="L97" s="2" t="s">
        <v>24</v>
      </c>
      <c r="M97" s="2">
        <v>0</v>
      </c>
      <c r="N97" s="2" t="str">
        <f>VLOOKUP(A97, zcorin_converter!A:L, 12, FALSE)</f>
        <v>Canning</v>
      </c>
      <c r="O97" s="2">
        <v>0</v>
      </c>
      <c r="P97" s="2" t="s">
        <v>25</v>
      </c>
    </row>
    <row r="98" spans="1:16">
      <c r="A98" s="11" t="s">
        <v>269</v>
      </c>
      <c r="B98" s="2" t="s">
        <v>270</v>
      </c>
      <c r="C98" s="2">
        <v>24</v>
      </c>
      <c r="D98" s="2">
        <f t="shared" ref="D98:D127" si="9">C98*E98/1000</f>
        <v>9.6</v>
      </c>
      <c r="E98" s="2">
        <v>400</v>
      </c>
      <c r="F98" s="2" t="s">
        <v>147</v>
      </c>
      <c r="G98" s="2" t="s">
        <v>29</v>
      </c>
      <c r="H98" s="2" t="s">
        <v>29</v>
      </c>
      <c r="I98" s="2" t="s">
        <v>250</v>
      </c>
      <c r="J98" s="2" t="s">
        <v>250</v>
      </c>
      <c r="K98" s="2" t="s">
        <v>29</v>
      </c>
      <c r="L98" s="2" t="s">
        <v>24</v>
      </c>
      <c r="M98" s="2">
        <v>0</v>
      </c>
      <c r="N98" s="2" t="str">
        <f>VLOOKUP(A98, zcorin_converter!A:L, 12, FALSE)</f>
        <v>Canning</v>
      </c>
      <c r="O98" s="2">
        <v>0</v>
      </c>
      <c r="P98" s="2" t="s">
        <v>25</v>
      </c>
    </row>
    <row r="99" spans="1:16">
      <c r="A99" s="11" t="s">
        <v>271</v>
      </c>
      <c r="B99" s="2" t="s">
        <v>272</v>
      </c>
      <c r="C99" s="2">
        <v>24</v>
      </c>
      <c r="D99" s="2">
        <f t="shared" si="9"/>
        <v>9.6</v>
      </c>
      <c r="E99" s="2">
        <v>400</v>
      </c>
      <c r="F99" s="2" t="s">
        <v>100</v>
      </c>
      <c r="G99" s="2" t="s">
        <v>29</v>
      </c>
      <c r="H99" s="2" t="s">
        <v>29</v>
      </c>
      <c r="I99" s="2" t="s">
        <v>250</v>
      </c>
      <c r="J99" s="2" t="s">
        <v>250</v>
      </c>
      <c r="K99" s="2" t="s">
        <v>29</v>
      </c>
      <c r="L99" s="2" t="s">
        <v>24</v>
      </c>
      <c r="M99" s="2">
        <v>0</v>
      </c>
      <c r="N99" s="2" t="str">
        <f>VLOOKUP(A99, zcorin_converter!A:L, 12, FALSE)</f>
        <v>Canning</v>
      </c>
      <c r="O99" s="2">
        <v>0</v>
      </c>
      <c r="P99" s="2" t="s">
        <v>25</v>
      </c>
    </row>
    <row r="100" spans="1:16">
      <c r="A100" s="11" t="s">
        <v>273</v>
      </c>
      <c r="B100" s="2" t="s">
        <v>274</v>
      </c>
      <c r="C100" s="2">
        <v>12</v>
      </c>
      <c r="D100" s="2">
        <f t="shared" si="9"/>
        <v>9.6</v>
      </c>
      <c r="E100" s="2">
        <v>800</v>
      </c>
      <c r="F100" s="2" t="s">
        <v>147</v>
      </c>
      <c r="G100" s="2" t="s">
        <v>29</v>
      </c>
      <c r="H100" s="2" t="s">
        <v>29</v>
      </c>
      <c r="I100" s="2" t="s">
        <v>38</v>
      </c>
      <c r="J100" s="2" t="s">
        <v>38</v>
      </c>
      <c r="K100" s="2" t="s">
        <v>29</v>
      </c>
      <c r="L100" s="2" t="s">
        <v>24</v>
      </c>
      <c r="M100" s="2">
        <v>0</v>
      </c>
      <c r="N100" s="2" t="str">
        <f>VLOOKUP(A100, zcorin_converter!A:L, 12, FALSE)</f>
        <v>Canning</v>
      </c>
      <c r="O100" s="2">
        <v>0</v>
      </c>
      <c r="P100" s="2" t="s">
        <v>25</v>
      </c>
    </row>
    <row r="101" spans="1:16">
      <c r="A101" s="11" t="s">
        <v>275</v>
      </c>
      <c r="B101" s="2" t="s">
        <v>276</v>
      </c>
      <c r="C101" s="2">
        <v>12</v>
      </c>
      <c r="D101" s="2">
        <f t="shared" si="9"/>
        <v>9.6</v>
      </c>
      <c r="E101" s="2">
        <v>800</v>
      </c>
      <c r="F101" s="2" t="s">
        <v>137</v>
      </c>
      <c r="G101" s="2" t="s">
        <v>29</v>
      </c>
      <c r="H101" s="2" t="s">
        <v>29</v>
      </c>
      <c r="I101" s="2" t="s">
        <v>38</v>
      </c>
      <c r="J101" s="2" t="s">
        <v>38</v>
      </c>
      <c r="K101" s="2" t="s">
        <v>29</v>
      </c>
      <c r="L101" s="2" t="s">
        <v>24</v>
      </c>
      <c r="M101" s="2">
        <v>0</v>
      </c>
      <c r="N101" s="2" t="str">
        <f>VLOOKUP(A101, zcorin_converter!A:L, 12, FALSE)</f>
        <v>Canning</v>
      </c>
      <c r="O101" s="2">
        <v>0</v>
      </c>
      <c r="P101" s="2" t="s">
        <v>25</v>
      </c>
    </row>
    <row r="102" spans="1:16">
      <c r="A102" s="11" t="s">
        <v>277</v>
      </c>
      <c r="B102" s="2" t="s">
        <v>278</v>
      </c>
      <c r="C102" s="2">
        <v>12</v>
      </c>
      <c r="D102" s="2">
        <f t="shared" si="9"/>
        <v>9.6</v>
      </c>
      <c r="E102" s="2">
        <v>800</v>
      </c>
      <c r="F102" s="2" t="s">
        <v>241</v>
      </c>
      <c r="G102" s="2" t="s">
        <v>29</v>
      </c>
      <c r="H102" s="2" t="s">
        <v>29</v>
      </c>
      <c r="I102" s="2" t="s">
        <v>38</v>
      </c>
      <c r="J102" s="2" t="s">
        <v>38</v>
      </c>
      <c r="K102" s="2" t="s">
        <v>29</v>
      </c>
      <c r="L102" s="2" t="s">
        <v>24</v>
      </c>
      <c r="M102" s="2">
        <v>0</v>
      </c>
      <c r="N102" s="2" t="str">
        <f>VLOOKUP(A102, zcorin_converter!A:L, 12, FALSE)</f>
        <v>Canning</v>
      </c>
      <c r="O102" s="2">
        <v>0</v>
      </c>
      <c r="P102" s="2" t="s">
        <v>25</v>
      </c>
    </row>
    <row r="103" spans="1:16">
      <c r="A103" s="11" t="s">
        <v>279</v>
      </c>
      <c r="B103" s="2" t="s">
        <v>280</v>
      </c>
      <c r="C103" s="2">
        <v>12</v>
      </c>
      <c r="D103" s="2">
        <f t="shared" si="9"/>
        <v>9.6</v>
      </c>
      <c r="E103" s="2">
        <v>800</v>
      </c>
      <c r="F103" s="2" t="s">
        <v>100</v>
      </c>
      <c r="G103" s="2" t="s">
        <v>29</v>
      </c>
      <c r="H103" s="2" t="s">
        <v>29</v>
      </c>
      <c r="I103" s="2" t="s">
        <v>38</v>
      </c>
      <c r="J103" s="2" t="s">
        <v>38</v>
      </c>
      <c r="K103" s="2" t="s">
        <v>29</v>
      </c>
      <c r="L103" s="2" t="s">
        <v>24</v>
      </c>
      <c r="M103" s="2">
        <v>0</v>
      </c>
      <c r="N103" s="2" t="str">
        <f>VLOOKUP(A103, zcorin_converter!A:L, 12, FALSE)</f>
        <v>Canning</v>
      </c>
      <c r="O103" s="2">
        <v>0</v>
      </c>
      <c r="P103" s="2" t="s">
        <v>25</v>
      </c>
    </row>
    <row r="104" spans="1:16">
      <c r="A104" s="11" t="s">
        <v>281</v>
      </c>
      <c r="B104" s="2" t="s">
        <v>282</v>
      </c>
      <c r="C104" s="2">
        <v>12</v>
      </c>
      <c r="D104" s="2">
        <f t="shared" si="9"/>
        <v>9.6</v>
      </c>
      <c r="E104" s="2">
        <v>800</v>
      </c>
      <c r="F104" s="2" t="s">
        <v>137</v>
      </c>
      <c r="G104" s="2" t="s">
        <v>29</v>
      </c>
      <c r="H104" s="2" t="s">
        <v>29</v>
      </c>
      <c r="I104" s="2" t="s">
        <v>38</v>
      </c>
      <c r="J104" s="2" t="s">
        <v>38</v>
      </c>
      <c r="K104" s="2" t="s">
        <v>29</v>
      </c>
      <c r="L104" s="2" t="s">
        <v>24</v>
      </c>
      <c r="M104" s="2">
        <v>0</v>
      </c>
      <c r="N104" s="2" t="str">
        <f>VLOOKUP(A104, zcorin_converter!A:L, 12, FALSE)</f>
        <v>Canning</v>
      </c>
      <c r="O104" s="2">
        <v>0</v>
      </c>
      <c r="P104" s="2" t="s">
        <v>25</v>
      </c>
    </row>
    <row r="105" spans="1:16">
      <c r="A105" s="11" t="s">
        <v>283</v>
      </c>
      <c r="B105" s="2" t="s">
        <v>284</v>
      </c>
      <c r="C105" s="2">
        <v>12</v>
      </c>
      <c r="D105" s="2">
        <f t="shared" si="9"/>
        <v>9.6</v>
      </c>
      <c r="E105" s="2">
        <v>800</v>
      </c>
      <c r="F105" s="2" t="s">
        <v>50</v>
      </c>
      <c r="G105" s="2" t="s">
        <v>29</v>
      </c>
      <c r="H105" s="2" t="s">
        <v>29</v>
      </c>
      <c r="I105" s="2" t="s">
        <v>38</v>
      </c>
      <c r="J105" s="2" t="s">
        <v>38</v>
      </c>
      <c r="K105" s="2" t="s">
        <v>29</v>
      </c>
      <c r="L105" s="2" t="s">
        <v>24</v>
      </c>
      <c r="M105" s="2">
        <v>0</v>
      </c>
      <c r="N105" s="2" t="str">
        <f>VLOOKUP(A105, zcorin_converter!A:L, 12, FALSE)</f>
        <v>Canning</v>
      </c>
      <c r="O105" s="2">
        <v>0</v>
      </c>
      <c r="P105" s="2" t="s">
        <v>25</v>
      </c>
    </row>
    <row r="106" spans="1:16">
      <c r="A106" s="11" t="s">
        <v>285</v>
      </c>
      <c r="B106" s="2" t="s">
        <v>286</v>
      </c>
      <c r="C106" s="2">
        <v>12</v>
      </c>
      <c r="D106" s="2">
        <f t="shared" si="9"/>
        <v>9.6</v>
      </c>
      <c r="E106" s="2">
        <v>800</v>
      </c>
      <c r="F106" s="2" t="s">
        <v>147</v>
      </c>
      <c r="G106" s="2" t="s">
        <v>29</v>
      </c>
      <c r="H106" s="2" t="s">
        <v>29</v>
      </c>
      <c r="I106" s="2" t="s">
        <v>42</v>
      </c>
      <c r="J106" s="2" t="s">
        <v>42</v>
      </c>
      <c r="K106" s="2" t="s">
        <v>29</v>
      </c>
      <c r="L106" s="2" t="s">
        <v>24</v>
      </c>
      <c r="M106" s="2">
        <v>0</v>
      </c>
      <c r="N106" s="2" t="str">
        <f>VLOOKUP(A106, zcorin_converter!A:L, 12, FALSE)</f>
        <v>Canning</v>
      </c>
      <c r="O106" s="2">
        <v>0</v>
      </c>
      <c r="P106" s="2" t="s">
        <v>25</v>
      </c>
    </row>
    <row r="107" spans="1:16">
      <c r="A107" s="11" t="s">
        <v>287</v>
      </c>
      <c r="B107" s="2" t="s">
        <v>288</v>
      </c>
      <c r="C107" s="2">
        <v>12</v>
      </c>
      <c r="D107" s="2">
        <f t="shared" si="9"/>
        <v>9.6</v>
      </c>
      <c r="E107" s="2">
        <v>800</v>
      </c>
      <c r="F107" s="2" t="s">
        <v>137</v>
      </c>
      <c r="G107" s="2" t="s">
        <v>29</v>
      </c>
      <c r="H107" s="2" t="s">
        <v>29</v>
      </c>
      <c r="I107" s="2" t="s">
        <v>42</v>
      </c>
      <c r="J107" s="2" t="s">
        <v>42</v>
      </c>
      <c r="K107" s="2" t="s">
        <v>29</v>
      </c>
      <c r="L107" s="2" t="s">
        <v>24</v>
      </c>
      <c r="M107" s="2">
        <v>0</v>
      </c>
      <c r="N107" s="2" t="str">
        <f>VLOOKUP(A107, zcorin_converter!A:L, 12, FALSE)</f>
        <v>Canning</v>
      </c>
      <c r="O107" s="2">
        <v>0</v>
      </c>
      <c r="P107" s="2" t="s">
        <v>25</v>
      </c>
    </row>
    <row r="108" spans="1:16">
      <c r="A108" s="11" t="s">
        <v>289</v>
      </c>
      <c r="B108" s="2" t="s">
        <v>290</v>
      </c>
      <c r="C108" s="2">
        <v>12</v>
      </c>
      <c r="D108" s="2">
        <f t="shared" si="9"/>
        <v>9.6</v>
      </c>
      <c r="E108" s="2">
        <v>800</v>
      </c>
      <c r="F108" s="2" t="s">
        <v>241</v>
      </c>
      <c r="G108" s="2" t="s">
        <v>29</v>
      </c>
      <c r="H108" s="2" t="s">
        <v>29</v>
      </c>
      <c r="I108" s="2" t="s">
        <v>42</v>
      </c>
      <c r="J108" s="2" t="s">
        <v>42</v>
      </c>
      <c r="K108" s="2" t="s">
        <v>29</v>
      </c>
      <c r="L108" s="2" t="s">
        <v>24</v>
      </c>
      <c r="M108" s="2">
        <v>0</v>
      </c>
      <c r="N108" s="2" t="str">
        <f>VLOOKUP(A108, zcorin_converter!A:L, 12, FALSE)</f>
        <v>Canning</v>
      </c>
      <c r="O108" s="2">
        <v>0</v>
      </c>
      <c r="P108" s="2" t="s">
        <v>25</v>
      </c>
    </row>
    <row r="109" spans="1:16">
      <c r="A109" s="11" t="s">
        <v>291</v>
      </c>
      <c r="B109" s="2" t="s">
        <v>292</v>
      </c>
      <c r="C109" s="2">
        <v>12</v>
      </c>
      <c r="D109" s="2">
        <f t="shared" si="9"/>
        <v>9.6</v>
      </c>
      <c r="E109" s="2">
        <v>800</v>
      </c>
      <c r="F109" s="2" t="s">
        <v>100</v>
      </c>
      <c r="G109" s="2" t="s">
        <v>29</v>
      </c>
      <c r="H109" s="2" t="s">
        <v>29</v>
      </c>
      <c r="I109" s="2" t="s">
        <v>42</v>
      </c>
      <c r="J109" s="2" t="s">
        <v>42</v>
      </c>
      <c r="K109" s="2" t="s">
        <v>29</v>
      </c>
      <c r="L109" s="2" t="s">
        <v>24</v>
      </c>
      <c r="M109" s="2">
        <v>0</v>
      </c>
      <c r="N109" s="2" t="str">
        <f>VLOOKUP(A109, zcorin_converter!A:L, 12, FALSE)</f>
        <v>Canning</v>
      </c>
      <c r="O109" s="2">
        <v>0</v>
      </c>
      <c r="P109" s="2" t="s">
        <v>25</v>
      </c>
    </row>
    <row r="110" spans="1:16">
      <c r="A110" s="11" t="s">
        <v>293</v>
      </c>
      <c r="B110" s="2" t="s">
        <v>294</v>
      </c>
      <c r="C110" s="2">
        <v>12</v>
      </c>
      <c r="D110" s="2">
        <f t="shared" si="9"/>
        <v>9.6</v>
      </c>
      <c r="E110" s="2">
        <v>800</v>
      </c>
      <c r="F110" s="2" t="s">
        <v>137</v>
      </c>
      <c r="G110" s="2" t="s">
        <v>29</v>
      </c>
      <c r="H110" s="2" t="s">
        <v>29</v>
      </c>
      <c r="I110" s="2" t="s">
        <v>42</v>
      </c>
      <c r="J110" s="2" t="s">
        <v>42</v>
      </c>
      <c r="K110" s="2" t="s">
        <v>29</v>
      </c>
      <c r="L110" s="2" t="s">
        <v>24</v>
      </c>
      <c r="M110" s="2">
        <v>0</v>
      </c>
      <c r="N110" s="2" t="str">
        <f>VLOOKUP(A110, zcorin_converter!A:L, 12, FALSE)</f>
        <v>Canning</v>
      </c>
      <c r="O110" s="2">
        <v>0</v>
      </c>
      <c r="P110" s="2" t="s">
        <v>25</v>
      </c>
    </row>
    <row r="111" spans="1:16">
      <c r="A111" s="11" t="s">
        <v>295</v>
      </c>
      <c r="B111" s="2" t="s">
        <v>296</v>
      </c>
      <c r="C111" s="2">
        <v>12</v>
      </c>
      <c r="D111" s="2">
        <f t="shared" si="9"/>
        <v>9.6</v>
      </c>
      <c r="E111" s="2">
        <v>800</v>
      </c>
      <c r="F111" s="2" t="s">
        <v>50</v>
      </c>
      <c r="G111" s="2" t="s">
        <v>29</v>
      </c>
      <c r="H111" s="2" t="s">
        <v>29</v>
      </c>
      <c r="I111" s="2" t="s">
        <v>42</v>
      </c>
      <c r="J111" s="2" t="s">
        <v>42</v>
      </c>
      <c r="K111" s="2" t="s">
        <v>29</v>
      </c>
      <c r="L111" s="2" t="s">
        <v>24</v>
      </c>
      <c r="M111" s="2">
        <v>0</v>
      </c>
      <c r="N111" s="2" t="str">
        <f>VLOOKUP(A111, zcorin_converter!A:L, 12, FALSE)</f>
        <v>Canning</v>
      </c>
      <c r="O111" s="2">
        <v>0</v>
      </c>
      <c r="P111" s="2" t="s">
        <v>25</v>
      </c>
    </row>
    <row r="112" spans="1:16">
      <c r="A112" s="11" t="s">
        <v>297</v>
      </c>
      <c r="B112" s="2" t="s">
        <v>298</v>
      </c>
      <c r="C112" s="2">
        <v>12</v>
      </c>
      <c r="D112" s="2">
        <f t="shared" si="9"/>
        <v>9.6</v>
      </c>
      <c r="E112" s="2">
        <v>800</v>
      </c>
      <c r="F112" s="2" t="s">
        <v>137</v>
      </c>
      <c r="G112" s="2" t="s">
        <v>29</v>
      </c>
      <c r="H112" s="2" t="s">
        <v>29</v>
      </c>
      <c r="I112" s="2" t="s">
        <v>156</v>
      </c>
      <c r="J112" s="2" t="s">
        <v>156</v>
      </c>
      <c r="K112" s="2" t="s">
        <v>29</v>
      </c>
      <c r="L112" s="2" t="s">
        <v>24</v>
      </c>
      <c r="M112" s="2">
        <v>0</v>
      </c>
      <c r="N112" s="2" t="str">
        <f>VLOOKUP(A112, zcorin_converter!A:L, 12, FALSE)</f>
        <v>Canning</v>
      </c>
      <c r="O112" s="2">
        <v>0</v>
      </c>
      <c r="P112" s="2" t="s">
        <v>25</v>
      </c>
    </row>
    <row r="113" spans="1:16">
      <c r="A113" s="11" t="s">
        <v>299</v>
      </c>
      <c r="B113" s="2" t="s">
        <v>300</v>
      </c>
      <c r="C113" s="2">
        <v>12</v>
      </c>
      <c r="D113" s="2">
        <f t="shared" si="9"/>
        <v>9.6</v>
      </c>
      <c r="E113" s="2">
        <v>800</v>
      </c>
      <c r="F113" s="2" t="s">
        <v>50</v>
      </c>
      <c r="G113" s="2" t="s">
        <v>29</v>
      </c>
      <c r="H113" s="2" t="s">
        <v>29</v>
      </c>
      <c r="I113" s="2" t="s">
        <v>156</v>
      </c>
      <c r="J113" s="2" t="s">
        <v>156</v>
      </c>
      <c r="K113" s="2" t="s">
        <v>29</v>
      </c>
      <c r="L113" s="2" t="s">
        <v>24</v>
      </c>
      <c r="M113" s="2">
        <v>0</v>
      </c>
      <c r="N113" s="2" t="str">
        <f>VLOOKUP(A113, zcorin_converter!A:L, 12, FALSE)</f>
        <v>Canning</v>
      </c>
      <c r="O113" s="2">
        <v>0</v>
      </c>
      <c r="P113" s="2" t="s">
        <v>25</v>
      </c>
    </row>
    <row r="114" spans="1:16">
      <c r="A114" s="11" t="s">
        <v>301</v>
      </c>
      <c r="B114" s="2" t="s">
        <v>302</v>
      </c>
      <c r="C114" s="2">
        <v>12</v>
      </c>
      <c r="D114" s="2">
        <f t="shared" si="9"/>
        <v>9.6</v>
      </c>
      <c r="E114" s="2">
        <v>800</v>
      </c>
      <c r="F114" s="2" t="s">
        <v>137</v>
      </c>
      <c r="G114" s="2" t="s">
        <v>29</v>
      </c>
      <c r="H114" s="2" t="s">
        <v>29</v>
      </c>
      <c r="I114" s="2" t="s">
        <v>156</v>
      </c>
      <c r="J114" s="2" t="s">
        <v>156</v>
      </c>
      <c r="K114" s="2" t="s">
        <v>29</v>
      </c>
      <c r="L114" s="2" t="s">
        <v>24</v>
      </c>
      <c r="M114" s="2">
        <v>0</v>
      </c>
      <c r="N114" s="2" t="str">
        <f>VLOOKUP(A114, zcorin_converter!A:L, 12, FALSE)</f>
        <v>Canning</v>
      </c>
      <c r="O114" s="2">
        <v>0</v>
      </c>
      <c r="P114" s="2" t="s">
        <v>25</v>
      </c>
    </row>
    <row r="115" spans="1:16">
      <c r="A115" s="11" t="s">
        <v>303</v>
      </c>
      <c r="B115" s="2" t="s">
        <v>304</v>
      </c>
      <c r="C115" s="2">
        <v>24</v>
      </c>
      <c r="D115" s="2">
        <f t="shared" si="9"/>
        <v>9.6</v>
      </c>
      <c r="E115" s="2">
        <v>400</v>
      </c>
      <c r="F115" s="2" t="s">
        <v>147</v>
      </c>
      <c r="G115" s="2" t="s">
        <v>29</v>
      </c>
      <c r="H115" s="2" t="s">
        <v>29</v>
      </c>
      <c r="I115" s="2" t="s">
        <v>38</v>
      </c>
      <c r="J115" s="2" t="s">
        <v>38</v>
      </c>
      <c r="K115" s="2" t="s">
        <v>29</v>
      </c>
      <c r="L115" s="2" t="s">
        <v>24</v>
      </c>
      <c r="M115" s="2">
        <v>0</v>
      </c>
      <c r="N115" s="2" t="str">
        <f>VLOOKUP(A115, zcorin_converter!A:L, 12, FALSE)</f>
        <v>Canning</v>
      </c>
      <c r="O115" s="2">
        <v>0</v>
      </c>
      <c r="P115" s="2" t="s">
        <v>25</v>
      </c>
    </row>
    <row r="116" spans="1:16">
      <c r="A116" s="11" t="s">
        <v>305</v>
      </c>
      <c r="B116" s="2" t="s">
        <v>306</v>
      </c>
      <c r="C116" s="2">
        <v>24</v>
      </c>
      <c r="D116" s="2">
        <f t="shared" si="9"/>
        <v>9.6</v>
      </c>
      <c r="E116" s="2">
        <v>400</v>
      </c>
      <c r="F116" s="2" t="s">
        <v>137</v>
      </c>
      <c r="G116" s="2" t="s">
        <v>29</v>
      </c>
      <c r="H116" s="2" t="s">
        <v>29</v>
      </c>
      <c r="I116" s="2" t="s">
        <v>38</v>
      </c>
      <c r="J116" s="2" t="s">
        <v>38</v>
      </c>
      <c r="K116" s="2" t="s">
        <v>29</v>
      </c>
      <c r="L116" s="2" t="s">
        <v>24</v>
      </c>
      <c r="M116" s="2">
        <v>0</v>
      </c>
      <c r="N116" s="2" t="str">
        <f>VLOOKUP(A116, zcorin_converter!A:L, 12, FALSE)</f>
        <v>Canning</v>
      </c>
      <c r="O116" s="2">
        <v>0</v>
      </c>
      <c r="P116" s="2" t="s">
        <v>25</v>
      </c>
    </row>
    <row r="117" spans="1:16">
      <c r="A117" s="11" t="s">
        <v>307</v>
      </c>
      <c r="B117" s="2" t="s">
        <v>308</v>
      </c>
      <c r="C117" s="2">
        <v>24</v>
      </c>
      <c r="D117" s="2">
        <f t="shared" si="9"/>
        <v>9.6</v>
      </c>
      <c r="E117" s="2">
        <v>400</v>
      </c>
      <c r="F117" s="2" t="s">
        <v>50</v>
      </c>
      <c r="G117" s="2" t="s">
        <v>29</v>
      </c>
      <c r="H117" s="2" t="s">
        <v>29</v>
      </c>
      <c r="I117" s="2" t="s">
        <v>38</v>
      </c>
      <c r="J117" s="2" t="s">
        <v>38</v>
      </c>
      <c r="K117" s="2" t="s">
        <v>29</v>
      </c>
      <c r="L117" s="2" t="s">
        <v>24</v>
      </c>
      <c r="M117" s="2">
        <v>0</v>
      </c>
      <c r="N117" s="2" t="str">
        <f>VLOOKUP(A117, zcorin_converter!A:L, 12, FALSE)</f>
        <v>Canning</v>
      </c>
      <c r="O117" s="2">
        <v>0</v>
      </c>
      <c r="P117" s="2" t="s">
        <v>25</v>
      </c>
    </row>
    <row r="118" spans="1:16">
      <c r="A118" s="11" t="s">
        <v>309</v>
      </c>
      <c r="B118" s="2" t="s">
        <v>310</v>
      </c>
      <c r="C118" s="2">
        <v>24</v>
      </c>
      <c r="D118" s="2">
        <f t="shared" si="9"/>
        <v>9.6</v>
      </c>
      <c r="E118" s="2">
        <v>400</v>
      </c>
      <c r="F118" s="2" t="s">
        <v>147</v>
      </c>
      <c r="G118" s="2" t="s">
        <v>29</v>
      </c>
      <c r="H118" s="2" t="s">
        <v>29</v>
      </c>
      <c r="I118" s="2" t="s">
        <v>42</v>
      </c>
      <c r="J118" s="2" t="s">
        <v>42</v>
      </c>
      <c r="K118" s="2" t="s">
        <v>29</v>
      </c>
      <c r="L118" s="2" t="s">
        <v>24</v>
      </c>
      <c r="M118" s="2">
        <v>0</v>
      </c>
      <c r="N118" s="2" t="str">
        <f>VLOOKUP(A118, zcorin_converter!A:L, 12, FALSE)</f>
        <v>Canning</v>
      </c>
      <c r="O118" s="2">
        <v>0</v>
      </c>
      <c r="P118" s="2" t="s">
        <v>25</v>
      </c>
    </row>
    <row r="119" spans="1:16">
      <c r="A119" s="11" t="s">
        <v>311</v>
      </c>
      <c r="B119" s="2" t="s">
        <v>312</v>
      </c>
      <c r="C119" s="2">
        <v>24</v>
      </c>
      <c r="D119" s="2">
        <f t="shared" si="9"/>
        <v>9.6</v>
      </c>
      <c r="E119" s="2">
        <v>400</v>
      </c>
      <c r="F119" s="2" t="s">
        <v>137</v>
      </c>
      <c r="G119" s="2" t="s">
        <v>29</v>
      </c>
      <c r="H119" s="2" t="s">
        <v>29</v>
      </c>
      <c r="I119" s="2" t="s">
        <v>42</v>
      </c>
      <c r="J119" s="2" t="s">
        <v>42</v>
      </c>
      <c r="K119" s="2" t="s">
        <v>29</v>
      </c>
      <c r="L119" s="2" t="s">
        <v>24</v>
      </c>
      <c r="M119" s="2">
        <v>0</v>
      </c>
      <c r="N119" s="2" t="str">
        <f>VLOOKUP(A119, zcorin_converter!A:L, 12, FALSE)</f>
        <v>Canning</v>
      </c>
      <c r="O119" s="2">
        <v>0</v>
      </c>
      <c r="P119" s="2" t="s">
        <v>25</v>
      </c>
    </row>
    <row r="120" spans="1:16">
      <c r="A120" s="11" t="s">
        <v>313</v>
      </c>
      <c r="B120" s="2" t="s">
        <v>314</v>
      </c>
      <c r="C120" s="2">
        <v>24</v>
      </c>
      <c r="D120" s="2">
        <f t="shared" si="9"/>
        <v>9.6</v>
      </c>
      <c r="E120" s="2">
        <v>400</v>
      </c>
      <c r="F120" s="2" t="s">
        <v>137</v>
      </c>
      <c r="G120" s="2" t="s">
        <v>29</v>
      </c>
      <c r="H120" s="2" t="s">
        <v>29</v>
      </c>
      <c r="I120" s="2" t="s">
        <v>250</v>
      </c>
      <c r="J120" s="2" t="s">
        <v>250</v>
      </c>
      <c r="K120" s="2" t="s">
        <v>29</v>
      </c>
      <c r="L120" s="2" t="s">
        <v>24</v>
      </c>
      <c r="M120" s="2">
        <v>0</v>
      </c>
      <c r="N120" s="2" t="str">
        <f>VLOOKUP(A120, zcorin_converter!A:L, 12, FALSE)</f>
        <v>Canning</v>
      </c>
      <c r="O120" s="2">
        <v>0</v>
      </c>
      <c r="P120" s="2" t="s">
        <v>25</v>
      </c>
    </row>
    <row r="121" spans="1:16">
      <c r="A121" s="11" t="s">
        <v>315</v>
      </c>
      <c r="B121" s="2" t="s">
        <v>316</v>
      </c>
      <c r="C121" s="2">
        <v>24</v>
      </c>
      <c r="D121" s="2">
        <f t="shared" si="9"/>
        <v>9.6</v>
      </c>
      <c r="E121" s="2">
        <v>400</v>
      </c>
      <c r="F121" s="2" t="s">
        <v>28</v>
      </c>
      <c r="G121" s="2" t="s">
        <v>29</v>
      </c>
      <c r="H121" s="2" t="s">
        <v>29</v>
      </c>
      <c r="I121" s="2" t="s">
        <v>30</v>
      </c>
      <c r="J121" s="2" t="s">
        <v>22</v>
      </c>
      <c r="K121" s="2" t="s">
        <v>29</v>
      </c>
      <c r="L121" s="2" t="s">
        <v>24</v>
      </c>
      <c r="M121" s="2">
        <v>0</v>
      </c>
      <c r="N121" s="2" t="str">
        <f>VLOOKUP(A121, zcorin_converter!A:L, 12, FALSE)</f>
        <v>Canning</v>
      </c>
      <c r="O121" s="2">
        <v>0</v>
      </c>
      <c r="P121" s="2" t="s">
        <v>25</v>
      </c>
    </row>
    <row r="122" spans="1:16">
      <c r="A122" s="11" t="s">
        <v>317</v>
      </c>
      <c r="B122" s="2" t="s">
        <v>318</v>
      </c>
      <c r="C122" s="2">
        <v>24</v>
      </c>
      <c r="D122" s="2">
        <f t="shared" si="9"/>
        <v>4.8</v>
      </c>
      <c r="E122" s="2">
        <v>200</v>
      </c>
      <c r="F122" s="2" t="s">
        <v>50</v>
      </c>
      <c r="G122" s="2" t="s">
        <v>29</v>
      </c>
      <c r="H122" s="2" t="s">
        <v>29</v>
      </c>
      <c r="I122" s="2" t="s">
        <v>51</v>
      </c>
      <c r="J122" s="2" t="s">
        <v>22</v>
      </c>
      <c r="K122" s="2" t="s">
        <v>29</v>
      </c>
      <c r="L122" s="2" t="s">
        <v>24</v>
      </c>
      <c r="M122" s="2">
        <v>0</v>
      </c>
      <c r="N122" s="2" t="str">
        <f>VLOOKUP(A122, zcorin_converter!A:L, 12, FALSE)</f>
        <v>Bag in Box</v>
      </c>
      <c r="O122" s="2">
        <v>0</v>
      </c>
      <c r="P122" s="2" t="s">
        <v>25</v>
      </c>
    </row>
    <row r="123" spans="1:16">
      <c r="A123" s="11" t="s">
        <v>319</v>
      </c>
      <c r="B123" s="2" t="s">
        <v>320</v>
      </c>
      <c r="C123" s="2">
        <v>24</v>
      </c>
      <c r="D123" s="2">
        <f t="shared" si="9"/>
        <v>9.6</v>
      </c>
      <c r="E123" s="2">
        <v>400</v>
      </c>
      <c r="F123" s="2" t="s">
        <v>50</v>
      </c>
      <c r="G123" s="2" t="s">
        <v>29</v>
      </c>
      <c r="H123" s="2" t="s">
        <v>29</v>
      </c>
      <c r="I123" s="2" t="s">
        <v>56</v>
      </c>
      <c r="J123" s="2" t="s">
        <v>22</v>
      </c>
      <c r="K123" s="2" t="s">
        <v>29</v>
      </c>
      <c r="L123" s="2" t="s">
        <v>24</v>
      </c>
      <c r="M123" s="2">
        <v>0</v>
      </c>
      <c r="N123" s="2" t="str">
        <f>VLOOKUP(A123, zcorin_converter!A:L, 12, FALSE)</f>
        <v>Bag in Box</v>
      </c>
      <c r="O123" s="2">
        <v>0</v>
      </c>
      <c r="P123" s="2" t="s">
        <v>25</v>
      </c>
    </row>
    <row r="124" spans="1:16">
      <c r="A124" s="11" t="s">
        <v>321</v>
      </c>
      <c r="B124" s="2" t="s">
        <v>322</v>
      </c>
      <c r="C124" s="2">
        <v>24</v>
      </c>
      <c r="D124" s="2">
        <f t="shared" si="9"/>
        <v>9.6</v>
      </c>
      <c r="E124" s="2">
        <v>400</v>
      </c>
      <c r="F124" s="2" t="s">
        <v>50</v>
      </c>
      <c r="G124" s="2" t="s">
        <v>29</v>
      </c>
      <c r="H124" s="2" t="s">
        <v>29</v>
      </c>
      <c r="I124" s="2" t="s">
        <v>51</v>
      </c>
      <c r="J124" s="2" t="s">
        <v>22</v>
      </c>
      <c r="K124" s="2" t="s">
        <v>29</v>
      </c>
      <c r="L124" s="2" t="s">
        <v>24</v>
      </c>
      <c r="M124" s="2">
        <v>0</v>
      </c>
      <c r="N124" s="2" t="str">
        <f>VLOOKUP(A124, zcorin_converter!A:L, 12, FALSE)</f>
        <v>Bag in Box</v>
      </c>
      <c r="O124" s="2">
        <v>0</v>
      </c>
      <c r="P124" s="2" t="s">
        <v>25</v>
      </c>
    </row>
    <row r="125" spans="1:16">
      <c r="A125" s="11" t="s">
        <v>323</v>
      </c>
      <c r="B125" s="2" t="s">
        <v>324</v>
      </c>
      <c r="C125" s="2">
        <v>24</v>
      </c>
      <c r="D125" s="2">
        <f t="shared" si="9"/>
        <v>9.6</v>
      </c>
      <c r="E125" s="2">
        <v>400</v>
      </c>
      <c r="F125" s="2" t="s">
        <v>28</v>
      </c>
      <c r="G125" s="2" t="s">
        <v>29</v>
      </c>
      <c r="H125" s="2" t="s">
        <v>29</v>
      </c>
      <c r="I125" s="2" t="s">
        <v>51</v>
      </c>
      <c r="J125" s="2" t="s">
        <v>22</v>
      </c>
      <c r="K125" s="2" t="s">
        <v>29</v>
      </c>
      <c r="L125" s="2" t="s">
        <v>24</v>
      </c>
      <c r="M125" s="2">
        <v>0</v>
      </c>
      <c r="N125" s="2" t="str">
        <f>VLOOKUP(A125, zcorin_converter!A:L, 12, FALSE)</f>
        <v>Bag in Box</v>
      </c>
      <c r="O125" s="2">
        <v>0</v>
      </c>
      <c r="P125" s="2" t="s">
        <v>25</v>
      </c>
    </row>
    <row r="126" spans="1:16">
      <c r="A126" s="11" t="s">
        <v>325</v>
      </c>
      <c r="B126" s="2" t="s">
        <v>326</v>
      </c>
      <c r="C126" s="2">
        <v>6</v>
      </c>
      <c r="D126" s="2">
        <f t="shared" si="9"/>
        <v>9.6</v>
      </c>
      <c r="E126" s="2">
        <v>1600</v>
      </c>
      <c r="F126" s="2" t="s">
        <v>28</v>
      </c>
      <c r="G126" s="2" t="s">
        <v>29</v>
      </c>
      <c r="H126" s="2" t="s">
        <v>29</v>
      </c>
      <c r="I126" s="2" t="s">
        <v>51</v>
      </c>
      <c r="J126" s="2" t="s">
        <v>22</v>
      </c>
      <c r="K126" s="2" t="s">
        <v>29</v>
      </c>
      <c r="L126" s="2" t="s">
        <v>24</v>
      </c>
      <c r="M126" s="2">
        <v>0</v>
      </c>
      <c r="N126" s="2" t="str">
        <f>VLOOKUP(A126, zcorin_converter!A:L, 12, FALSE)</f>
        <v>Bag in Box</v>
      </c>
      <c r="O126" s="2">
        <v>0</v>
      </c>
      <c r="P126" s="2" t="s">
        <v>25</v>
      </c>
    </row>
    <row r="127" spans="1:16">
      <c r="A127" s="11" t="s">
        <v>327</v>
      </c>
      <c r="B127" s="2" t="s">
        <v>328</v>
      </c>
      <c r="C127" s="2">
        <v>24</v>
      </c>
      <c r="D127" s="2">
        <f t="shared" si="9"/>
        <v>4.8</v>
      </c>
      <c r="E127" s="2">
        <v>200</v>
      </c>
      <c r="F127" s="2" t="s">
        <v>28</v>
      </c>
      <c r="G127" s="2" t="s">
        <v>29</v>
      </c>
      <c r="H127" s="2" t="s">
        <v>29</v>
      </c>
      <c r="I127" s="2" t="s">
        <v>51</v>
      </c>
      <c r="J127" s="2" t="s">
        <v>22</v>
      </c>
      <c r="K127" s="2" t="s">
        <v>29</v>
      </c>
      <c r="L127" s="2" t="s">
        <v>24</v>
      </c>
      <c r="M127" s="2">
        <v>0</v>
      </c>
      <c r="N127" s="2" t="str">
        <f>VLOOKUP(A127, zcorin_converter!A:L, 12, FALSE)</f>
        <v>Bag in Box</v>
      </c>
      <c r="O127" s="2">
        <v>0</v>
      </c>
      <c r="P127" s="2" t="s">
        <v>25</v>
      </c>
    </row>
    <row r="128" spans="1:16">
      <c r="A128" s="11" t="s">
        <v>329</v>
      </c>
      <c r="B128" s="2" t="s">
        <v>330</v>
      </c>
      <c r="C128" s="2">
        <v>12</v>
      </c>
      <c r="D128" s="2">
        <v>9.6</v>
      </c>
      <c r="E128" s="2">
        <v>800</v>
      </c>
      <c r="F128" s="2" t="s">
        <v>100</v>
      </c>
      <c r="G128" s="2" t="s">
        <v>29</v>
      </c>
      <c r="H128" s="2" t="s">
        <v>29</v>
      </c>
      <c r="I128" s="2" t="s">
        <v>51</v>
      </c>
      <c r="J128" s="2" t="s">
        <v>22</v>
      </c>
      <c r="K128" s="2" t="s">
        <v>29</v>
      </c>
      <c r="L128" s="2" t="s">
        <v>24</v>
      </c>
      <c r="M128" s="2">
        <v>0</v>
      </c>
      <c r="N128" s="2" t="str">
        <f>VLOOKUP(A128, zcorin_converter!A:L, 12, FALSE)</f>
        <v>Canning</v>
      </c>
      <c r="O128" s="2">
        <v>0</v>
      </c>
      <c r="P128" s="2" t="s">
        <v>25</v>
      </c>
    </row>
    <row r="129" spans="1:16">
      <c r="A129" s="11" t="s">
        <v>331</v>
      </c>
      <c r="B129" s="2" t="s">
        <v>332</v>
      </c>
      <c r="C129" s="2">
        <v>24</v>
      </c>
      <c r="D129" s="2">
        <v>9.6</v>
      </c>
      <c r="E129" s="2">
        <v>400</v>
      </c>
      <c r="F129" s="2" t="s">
        <v>100</v>
      </c>
      <c r="G129" s="2" t="s">
        <v>29</v>
      </c>
      <c r="H129" s="2" t="s">
        <v>29</v>
      </c>
      <c r="I129" s="2" t="s">
        <v>51</v>
      </c>
      <c r="J129" s="2" t="s">
        <v>22</v>
      </c>
      <c r="K129" s="2" t="s">
        <v>29</v>
      </c>
      <c r="L129" s="2" t="s">
        <v>24</v>
      </c>
      <c r="M129" s="2">
        <v>0</v>
      </c>
      <c r="N129" s="2" t="str">
        <f>VLOOKUP(A129, zcorin_converter!A:L, 12, FALSE)</f>
        <v>Canning</v>
      </c>
      <c r="O129" s="2">
        <v>0</v>
      </c>
      <c r="P129" s="2" t="s">
        <v>25</v>
      </c>
    </row>
    <row r="130" spans="1:16">
      <c r="A130" s="11" t="s">
        <v>333</v>
      </c>
      <c r="B130" s="2" t="s">
        <v>334</v>
      </c>
      <c r="C130" s="2">
        <v>3</v>
      </c>
      <c r="D130" s="2">
        <v>2.7</v>
      </c>
      <c r="E130" s="2">
        <v>900</v>
      </c>
      <c r="F130" s="2" t="s">
        <v>100</v>
      </c>
      <c r="G130" s="2" t="s">
        <v>29</v>
      </c>
      <c r="H130" s="2" t="s">
        <v>29</v>
      </c>
      <c r="I130" s="2" t="s">
        <v>56</v>
      </c>
      <c r="J130" s="2" t="s">
        <v>22</v>
      </c>
      <c r="K130" s="2" t="s">
        <v>29</v>
      </c>
      <c r="L130" s="2" t="s">
        <v>24</v>
      </c>
      <c r="M130" s="2">
        <v>0</v>
      </c>
      <c r="N130" s="2" t="str">
        <f>VLOOKUP(A130, zcorin_converter!A:L, 12, FALSE)</f>
        <v>Canning</v>
      </c>
      <c r="O130" s="2">
        <v>0</v>
      </c>
      <c r="P130" s="2" t="s">
        <v>25</v>
      </c>
    </row>
    <row r="131" spans="1:16">
      <c r="A131" s="11" t="s">
        <v>335</v>
      </c>
      <c r="B131" s="2" t="s">
        <v>336</v>
      </c>
      <c r="C131" s="2">
        <v>24</v>
      </c>
      <c r="D131" s="2">
        <f>C131*E131/1000</f>
        <v>9.6</v>
      </c>
      <c r="E131" s="2">
        <v>400</v>
      </c>
      <c r="F131" s="2" t="s">
        <v>28</v>
      </c>
      <c r="G131" s="2" t="s">
        <v>29</v>
      </c>
      <c r="H131" s="2" t="s">
        <v>29</v>
      </c>
      <c r="I131" s="2" t="s">
        <v>56</v>
      </c>
      <c r="J131" s="2" t="s">
        <v>22</v>
      </c>
      <c r="K131" s="2" t="s">
        <v>29</v>
      </c>
      <c r="L131" s="2" t="s">
        <v>24</v>
      </c>
      <c r="M131" s="2">
        <v>0</v>
      </c>
      <c r="N131" s="2" t="str">
        <f>VLOOKUP(A131, zcorin_converter!A:L, 12, FALSE)</f>
        <v>Bag in Box</v>
      </c>
      <c r="O131" s="2">
        <v>0</v>
      </c>
      <c r="P131" s="2" t="s">
        <v>25</v>
      </c>
    </row>
    <row r="132" spans="1:16">
      <c r="A132" s="11" t="s">
        <v>337</v>
      </c>
      <c r="B132" s="2" t="s">
        <v>338</v>
      </c>
      <c r="C132" s="2">
        <v>24</v>
      </c>
      <c r="D132" s="2">
        <f>C132*E132/1000</f>
        <v>9.6</v>
      </c>
      <c r="E132" s="2">
        <v>400</v>
      </c>
      <c r="F132" s="2" t="s">
        <v>28</v>
      </c>
      <c r="G132" s="2" t="s">
        <v>29</v>
      </c>
      <c r="H132" s="2" t="s">
        <v>29</v>
      </c>
      <c r="I132" s="2" t="s">
        <v>51</v>
      </c>
      <c r="J132" s="2" t="s">
        <v>22</v>
      </c>
      <c r="K132" s="2" t="s">
        <v>29</v>
      </c>
      <c r="L132" s="2" t="s">
        <v>24</v>
      </c>
      <c r="M132" s="2">
        <v>0</v>
      </c>
      <c r="N132" s="2" t="str">
        <f>VLOOKUP(A132, zcorin_converter!A:L, 12, FALSE)</f>
        <v>Bag in Box</v>
      </c>
      <c r="O132" s="2">
        <v>0</v>
      </c>
      <c r="P132" s="2" t="s">
        <v>25</v>
      </c>
    </row>
    <row r="133" spans="1:16">
      <c r="A133" s="11" t="s">
        <v>339</v>
      </c>
      <c r="B133" s="2" t="s">
        <v>340</v>
      </c>
      <c r="C133" s="2">
        <v>24</v>
      </c>
      <c r="D133" s="2">
        <f>E133*C133/1000</f>
        <v>4.8</v>
      </c>
      <c r="E133" s="2">
        <v>200</v>
      </c>
      <c r="F133" s="2" t="s">
        <v>18</v>
      </c>
      <c r="G133" s="2" t="s">
        <v>80</v>
      </c>
      <c r="H133" s="2" t="s">
        <v>92</v>
      </c>
      <c r="I133" s="2" t="s">
        <v>93</v>
      </c>
      <c r="J133" s="2" t="s">
        <v>42</v>
      </c>
      <c r="K133" s="2" t="s">
        <v>83</v>
      </c>
      <c r="L133" s="2" t="s">
        <v>24</v>
      </c>
      <c r="M133" s="2">
        <v>0</v>
      </c>
      <c r="N133" s="2" t="str">
        <f>VLOOKUP(A133, zcorin_converter!A:L, 12, FALSE)</f>
        <v>Bag in Box</v>
      </c>
      <c r="O133" s="2">
        <v>0</v>
      </c>
      <c r="P133" s="2" t="s">
        <v>25</v>
      </c>
    </row>
    <row r="134" spans="1:16">
      <c r="A134" s="11" t="s">
        <v>341</v>
      </c>
      <c r="B134" s="2" t="s">
        <v>342</v>
      </c>
      <c r="C134" s="2">
        <v>24</v>
      </c>
      <c r="D134" s="2">
        <f>E134*C134/1000</f>
        <v>4.8</v>
      </c>
      <c r="E134" s="2">
        <v>200</v>
      </c>
      <c r="F134" s="2" t="s">
        <v>18</v>
      </c>
      <c r="G134" s="2" t="s">
        <v>80</v>
      </c>
      <c r="H134" s="2" t="s">
        <v>81</v>
      </c>
      <c r="I134" s="2" t="s">
        <v>82</v>
      </c>
      <c r="J134" s="2" t="s">
        <v>38</v>
      </c>
      <c r="K134" s="2" t="s">
        <v>83</v>
      </c>
      <c r="L134" s="2" t="s">
        <v>24</v>
      </c>
      <c r="M134" s="2">
        <v>0</v>
      </c>
      <c r="N134" s="2" t="str">
        <f>VLOOKUP(A134, zcorin_converter!A:L, 12, FALSE)</f>
        <v>Bag in Box</v>
      </c>
      <c r="O134" s="2">
        <v>0</v>
      </c>
      <c r="P134" s="2" t="s">
        <v>25</v>
      </c>
    </row>
    <row r="135" spans="1:16">
      <c r="A135" s="11" t="s">
        <v>343</v>
      </c>
      <c r="B135" s="2" t="s">
        <v>344</v>
      </c>
      <c r="C135" s="2">
        <v>24</v>
      </c>
      <c r="D135" s="2">
        <f>C135*E135/1000</f>
        <v>9.6</v>
      </c>
      <c r="E135" s="2">
        <v>400</v>
      </c>
      <c r="F135" s="2" t="s">
        <v>137</v>
      </c>
      <c r="G135" s="2" t="s">
        <v>29</v>
      </c>
      <c r="H135" s="2" t="s">
        <v>29</v>
      </c>
      <c r="I135" s="2" t="s">
        <v>21</v>
      </c>
      <c r="J135" s="2" t="s">
        <v>22</v>
      </c>
      <c r="K135" s="2" t="s">
        <v>29</v>
      </c>
      <c r="L135" s="2" t="s">
        <v>24</v>
      </c>
      <c r="M135" s="2">
        <v>0</v>
      </c>
      <c r="N135" s="2" t="str">
        <f>VLOOKUP(A135, zcorin_converter!A:L, 12, FALSE)</f>
        <v>Bag in Box</v>
      </c>
      <c r="O135" s="2">
        <v>0</v>
      </c>
      <c r="P135" s="2" t="s">
        <v>25</v>
      </c>
    </row>
    <row r="136" spans="1:16">
      <c r="A136" s="11" t="s">
        <v>345</v>
      </c>
      <c r="B136" s="2" t="s">
        <v>346</v>
      </c>
      <c r="C136" s="2">
        <v>24</v>
      </c>
      <c r="D136" s="2">
        <f>C136*E136/1000</f>
        <v>8.4</v>
      </c>
      <c r="E136" s="2">
        <v>350</v>
      </c>
      <c r="F136" s="2" t="s">
        <v>59</v>
      </c>
      <c r="G136" s="2" t="s">
        <v>29</v>
      </c>
      <c r="H136" s="2" t="s">
        <v>29</v>
      </c>
      <c r="I136" s="2" t="s">
        <v>156</v>
      </c>
      <c r="J136" s="2" t="s">
        <v>156</v>
      </c>
      <c r="K136" s="2" t="s">
        <v>29</v>
      </c>
      <c r="L136" s="2" t="s">
        <v>47</v>
      </c>
      <c r="M136" s="2">
        <f>2400/24</f>
        <v>100</v>
      </c>
      <c r="N136" s="2" t="str">
        <f>VLOOKUP(A136, zcorin_converter!A:L, 12, FALSE)</f>
        <v>Bag in Box</v>
      </c>
      <c r="O136" s="2" t="s">
        <v>205</v>
      </c>
      <c r="P136" s="2" t="s">
        <v>25</v>
      </c>
    </row>
    <row r="137" spans="1:16">
      <c r="A137" s="11" t="s">
        <v>347</v>
      </c>
      <c r="B137" s="2" t="s">
        <v>348</v>
      </c>
      <c r="C137" s="2">
        <v>24</v>
      </c>
      <c r="D137" s="2">
        <f>C137*E137/1000</f>
        <v>8.4</v>
      </c>
      <c r="E137" s="2">
        <v>350</v>
      </c>
      <c r="F137" s="2" t="s">
        <v>59</v>
      </c>
      <c r="G137" s="2" t="s">
        <v>29</v>
      </c>
      <c r="H137" s="2" t="s">
        <v>29</v>
      </c>
      <c r="I137" s="2" t="s">
        <v>156</v>
      </c>
      <c r="J137" s="2" t="s">
        <v>156</v>
      </c>
      <c r="K137" s="2" t="s">
        <v>29</v>
      </c>
      <c r="L137" s="2" t="s">
        <v>47</v>
      </c>
      <c r="M137" s="2">
        <f>2400/24</f>
        <v>100</v>
      </c>
      <c r="N137" s="2" t="str">
        <f>VLOOKUP(A137, zcorin_converter!A:L, 12, FALSE)</f>
        <v>Bag in Box</v>
      </c>
      <c r="O137" s="2" t="s">
        <v>205</v>
      </c>
      <c r="P137" s="2" t="s">
        <v>25</v>
      </c>
    </row>
    <row r="138" spans="1:16">
      <c r="A138" s="11" t="s">
        <v>349</v>
      </c>
      <c r="B138" s="2" t="s">
        <v>350</v>
      </c>
      <c r="C138" s="2">
        <v>24</v>
      </c>
      <c r="D138" s="2">
        <f>C138*E138/1000</f>
        <v>4.8</v>
      </c>
      <c r="E138" s="2">
        <v>200</v>
      </c>
      <c r="F138" s="2" t="s">
        <v>59</v>
      </c>
      <c r="G138" s="2" t="s">
        <v>29</v>
      </c>
      <c r="H138" s="2" t="s">
        <v>29</v>
      </c>
      <c r="I138" s="2" t="s">
        <v>156</v>
      </c>
      <c r="J138" s="2" t="s">
        <v>156</v>
      </c>
      <c r="K138" s="2" t="s">
        <v>29</v>
      </c>
      <c r="L138" s="2" t="s">
        <v>47</v>
      </c>
      <c r="M138" s="2">
        <f>2500/24</f>
        <v>104.16666666666667</v>
      </c>
      <c r="N138" s="2" t="str">
        <f>VLOOKUP(A138, zcorin_converter!A:L, 12, FALSE)</f>
        <v>Bag in Box</v>
      </c>
      <c r="O138" s="2" t="s">
        <v>351</v>
      </c>
      <c r="P138" s="2" t="s">
        <v>25</v>
      </c>
    </row>
    <row r="139" spans="1:16">
      <c r="A139" s="11" t="s">
        <v>352</v>
      </c>
      <c r="B139" s="2" t="s">
        <v>353</v>
      </c>
      <c r="C139" s="2">
        <v>6</v>
      </c>
      <c r="D139" s="2">
        <f>E139*C139/1000</f>
        <v>2.4</v>
      </c>
      <c r="E139" s="2">
        <v>400</v>
      </c>
      <c r="F139" s="2" t="s">
        <v>354</v>
      </c>
      <c r="G139" s="2" t="s">
        <v>29</v>
      </c>
      <c r="H139" s="2" t="s">
        <v>29</v>
      </c>
      <c r="I139" s="2" t="s">
        <v>355</v>
      </c>
      <c r="J139" s="2" t="s">
        <v>22</v>
      </c>
      <c r="K139" s="2" t="s">
        <v>29</v>
      </c>
      <c r="L139" s="2" t="s">
        <v>24</v>
      </c>
      <c r="M139" s="2">
        <v>0</v>
      </c>
      <c r="N139" s="2" t="str">
        <f>VLOOKUP(A139, zcorin_converter!A:L, 12, FALSE)</f>
        <v>Canning</v>
      </c>
      <c r="O139" s="2">
        <v>0</v>
      </c>
      <c r="P139" s="2" t="s">
        <v>25</v>
      </c>
    </row>
    <row r="140" spans="1:16">
      <c r="A140" s="11" t="s">
        <v>356</v>
      </c>
      <c r="B140" s="2" t="s">
        <v>357</v>
      </c>
      <c r="C140" s="2">
        <v>6</v>
      </c>
      <c r="D140" s="2">
        <f>E140*C140/1000</f>
        <v>2.4</v>
      </c>
      <c r="E140" s="2">
        <v>400</v>
      </c>
      <c r="F140" s="2" t="s">
        <v>18</v>
      </c>
      <c r="G140" s="2" t="s">
        <v>19</v>
      </c>
      <c r="H140" s="2" t="s">
        <v>20</v>
      </c>
      <c r="I140" s="2" t="s">
        <v>30</v>
      </c>
      <c r="J140" s="2" t="s">
        <v>22</v>
      </c>
      <c r="K140" s="2" t="s">
        <v>23</v>
      </c>
      <c r="L140" s="2" t="s">
        <v>24</v>
      </c>
      <c r="M140" s="2">
        <v>0</v>
      </c>
      <c r="N140" s="2" t="str">
        <f>VLOOKUP(A140, zcorin_converter!A:L, 12, FALSE)</f>
        <v>Canning</v>
      </c>
      <c r="O140" s="2">
        <v>0</v>
      </c>
      <c r="P140" s="2" t="s">
        <v>25</v>
      </c>
    </row>
    <row r="141" spans="1:16">
      <c r="A141" s="11" t="s">
        <v>358</v>
      </c>
      <c r="B141" s="2" t="s">
        <v>359</v>
      </c>
      <c r="C141" s="2">
        <v>21</v>
      </c>
      <c r="D141" s="2">
        <f t="shared" ref="D141:D142" si="10">C141*E141/1000</f>
        <v>6.3</v>
      </c>
      <c r="E141" s="2">
        <v>300</v>
      </c>
      <c r="F141" s="2" t="s">
        <v>18</v>
      </c>
      <c r="G141" s="2" t="s">
        <v>107</v>
      </c>
      <c r="H141" s="2" t="s">
        <v>360</v>
      </c>
      <c r="I141" s="2" t="s">
        <v>361</v>
      </c>
      <c r="J141" s="2" t="s">
        <v>250</v>
      </c>
      <c r="K141" s="2" t="s">
        <v>110</v>
      </c>
      <c r="L141" s="2" t="s">
        <v>47</v>
      </c>
      <c r="M141" s="2">
        <f>4000/24</f>
        <v>166.66666666666666</v>
      </c>
      <c r="N141" s="2" t="str">
        <f>VLOOKUP(A141, zcorin_converter!A:L, 12, FALSE)</f>
        <v>Bag in Box</v>
      </c>
      <c r="O141" s="2" t="s">
        <v>362</v>
      </c>
      <c r="P141" s="2" t="s">
        <v>25</v>
      </c>
    </row>
    <row r="142" spans="1:16">
      <c r="A142" s="11" t="s">
        <v>363</v>
      </c>
      <c r="B142" s="2" t="s">
        <v>364</v>
      </c>
      <c r="C142" s="2">
        <v>24</v>
      </c>
      <c r="D142" s="2">
        <f t="shared" si="10"/>
        <v>9.6</v>
      </c>
      <c r="E142" s="2">
        <v>400</v>
      </c>
      <c r="F142" s="2" t="s">
        <v>18</v>
      </c>
      <c r="G142" s="2" t="s">
        <v>107</v>
      </c>
      <c r="H142" s="2" t="s">
        <v>365</v>
      </c>
      <c r="I142" s="2" t="s">
        <v>366</v>
      </c>
      <c r="J142" s="2" t="s">
        <v>38</v>
      </c>
      <c r="K142" s="2" t="s">
        <v>110</v>
      </c>
      <c r="L142" s="2" t="s">
        <v>24</v>
      </c>
      <c r="M142" s="2">
        <v>0</v>
      </c>
      <c r="N142" s="2" t="str">
        <f>VLOOKUP(A142, zcorin_converter!A:L, 12, FALSE)</f>
        <v>Bag in Box</v>
      </c>
      <c r="O142" s="2">
        <v>0</v>
      </c>
      <c r="P142" s="2" t="s">
        <v>25</v>
      </c>
    </row>
    <row r="143" spans="1:16">
      <c r="A143" s="11" t="s">
        <v>367</v>
      </c>
      <c r="B143" s="2" t="s">
        <v>368</v>
      </c>
      <c r="C143" s="2">
        <v>48</v>
      </c>
      <c r="D143" s="2">
        <v>5.76</v>
      </c>
      <c r="E143" s="2">
        <v>120</v>
      </c>
      <c r="F143" s="2" t="s">
        <v>18</v>
      </c>
      <c r="G143" s="2" t="s">
        <v>107</v>
      </c>
      <c r="H143" s="2" t="s">
        <v>365</v>
      </c>
      <c r="I143" s="2" t="s">
        <v>366</v>
      </c>
      <c r="J143" s="2" t="s">
        <v>38</v>
      </c>
      <c r="K143" s="2" t="s">
        <v>110</v>
      </c>
      <c r="L143" s="2" t="s">
        <v>24</v>
      </c>
      <c r="M143" s="2">
        <v>0</v>
      </c>
      <c r="N143" s="2" t="str">
        <f>VLOOKUP(A143, zcorin_converter!A:L, 12, FALSE)</f>
        <v>Bag in Box</v>
      </c>
      <c r="O143" s="2">
        <v>0</v>
      </c>
      <c r="P143" s="2" t="s">
        <v>25</v>
      </c>
    </row>
    <row r="144" spans="1:16">
      <c r="A144" s="11" t="s">
        <v>369</v>
      </c>
      <c r="B144" s="2" t="s">
        <v>370</v>
      </c>
      <c r="C144" s="2">
        <v>48</v>
      </c>
      <c r="D144" s="2">
        <f>C144*E144/1000</f>
        <v>7.2</v>
      </c>
      <c r="E144" s="2">
        <v>150</v>
      </c>
      <c r="F144" s="2" t="s">
        <v>18</v>
      </c>
      <c r="G144" s="2" t="s">
        <v>107</v>
      </c>
      <c r="H144" s="2" t="s">
        <v>365</v>
      </c>
      <c r="I144" s="2" t="s">
        <v>366</v>
      </c>
      <c r="J144" s="2" t="s">
        <v>38</v>
      </c>
      <c r="K144" s="2" t="s">
        <v>110</v>
      </c>
      <c r="L144" s="2" t="s">
        <v>24</v>
      </c>
      <c r="M144" s="2">
        <v>0</v>
      </c>
      <c r="N144" s="2" t="str">
        <f>VLOOKUP(A144, zcorin_converter!A:L, 12, FALSE)</f>
        <v>Bag in Box</v>
      </c>
      <c r="O144" s="2">
        <v>0</v>
      </c>
      <c r="P144" s="2" t="s">
        <v>25</v>
      </c>
    </row>
    <row r="145" spans="1:16">
      <c r="A145" s="11" t="s">
        <v>371</v>
      </c>
      <c r="B145" s="2" t="s">
        <v>372</v>
      </c>
      <c r="C145" s="2">
        <v>12</v>
      </c>
      <c r="D145" s="2">
        <v>7.2</v>
      </c>
      <c r="E145" s="2">
        <v>600</v>
      </c>
      <c r="F145" s="2" t="s">
        <v>18</v>
      </c>
      <c r="G145" s="2" t="s">
        <v>107</v>
      </c>
      <c r="H145" s="2" t="s">
        <v>365</v>
      </c>
      <c r="I145" s="2" t="s">
        <v>366</v>
      </c>
      <c r="J145" s="2" t="s">
        <v>38</v>
      </c>
      <c r="K145" s="2" t="s">
        <v>110</v>
      </c>
      <c r="L145" s="2" t="s">
        <v>24</v>
      </c>
      <c r="M145" s="2">
        <v>0</v>
      </c>
      <c r="N145" s="2" t="str">
        <f>VLOOKUP(A145, zcorin_converter!A:L, 12, FALSE)</f>
        <v>Bag in Box</v>
      </c>
      <c r="O145" s="2">
        <v>0</v>
      </c>
      <c r="P145" s="2" t="s">
        <v>25</v>
      </c>
    </row>
    <row r="146" spans="1:16">
      <c r="A146" s="11" t="s">
        <v>373</v>
      </c>
      <c r="B146" s="2" t="s">
        <v>374</v>
      </c>
      <c r="C146" s="2">
        <v>10</v>
      </c>
      <c r="D146" s="2">
        <v>10</v>
      </c>
      <c r="E146" s="2">
        <v>1000</v>
      </c>
      <c r="F146" s="2" t="s">
        <v>18</v>
      </c>
      <c r="G146" s="2" t="s">
        <v>107</v>
      </c>
      <c r="H146" s="2" t="s">
        <v>365</v>
      </c>
      <c r="I146" s="2" t="s">
        <v>366</v>
      </c>
      <c r="J146" s="2" t="s">
        <v>38</v>
      </c>
      <c r="K146" s="2" t="s">
        <v>110</v>
      </c>
      <c r="L146" s="2" t="s">
        <v>24</v>
      </c>
      <c r="M146" s="2">
        <v>0</v>
      </c>
      <c r="N146" s="2" t="str">
        <f>VLOOKUP(A146, zcorin_converter!A:L, 12, FALSE)</f>
        <v>Bag in Box</v>
      </c>
      <c r="O146" s="2">
        <v>0</v>
      </c>
      <c r="P146" s="2" t="s">
        <v>25</v>
      </c>
    </row>
    <row r="147" spans="1:16">
      <c r="A147" s="11" t="s">
        <v>375</v>
      </c>
      <c r="B147" s="2" t="s">
        <v>376</v>
      </c>
      <c r="C147" s="2">
        <v>48</v>
      </c>
      <c r="D147" s="2">
        <f>C147*E147/1000</f>
        <v>7.2</v>
      </c>
      <c r="E147" s="2">
        <v>150</v>
      </c>
      <c r="F147" s="2" t="s">
        <v>18</v>
      </c>
      <c r="G147" s="2" t="s">
        <v>107</v>
      </c>
      <c r="H147" s="2" t="s">
        <v>360</v>
      </c>
      <c r="I147" s="2" t="s">
        <v>361</v>
      </c>
      <c r="J147" s="2" t="s">
        <v>250</v>
      </c>
      <c r="K147" s="2" t="s">
        <v>110</v>
      </c>
      <c r="L147" s="2" t="s">
        <v>47</v>
      </c>
      <c r="M147" s="2">
        <f>3000/24</f>
        <v>125</v>
      </c>
      <c r="N147" s="2" t="str">
        <f>VLOOKUP(A147, zcorin_converter!A:L, 12, FALSE)</f>
        <v>Bag in Box</v>
      </c>
      <c r="O147" s="2" t="s">
        <v>377</v>
      </c>
      <c r="P147" s="2" t="s">
        <v>25</v>
      </c>
    </row>
    <row r="148" spans="1:16">
      <c r="A148" s="11" t="s">
        <v>378</v>
      </c>
      <c r="B148" s="2" t="s">
        <v>379</v>
      </c>
      <c r="C148" s="2">
        <v>24</v>
      </c>
      <c r="D148" s="2">
        <f>E148*C148/1000</f>
        <v>8.64</v>
      </c>
      <c r="E148" s="2">
        <v>360</v>
      </c>
      <c r="F148" s="2" t="s">
        <v>18</v>
      </c>
      <c r="G148" s="2" t="s">
        <v>80</v>
      </c>
      <c r="H148" s="2" t="s">
        <v>380</v>
      </c>
      <c r="I148" s="2" t="s">
        <v>381</v>
      </c>
      <c r="J148" s="2" t="s">
        <v>22</v>
      </c>
      <c r="K148" s="2" t="s">
        <v>83</v>
      </c>
      <c r="L148" s="2" t="s">
        <v>24</v>
      </c>
      <c r="M148" s="2">
        <v>0</v>
      </c>
      <c r="N148" s="2" t="str">
        <f>VLOOKUP(A148, zcorin_converter!A:L, 12, FALSE)</f>
        <v>Bag in Box</v>
      </c>
      <c r="O148" s="2">
        <v>0</v>
      </c>
      <c r="P148" s="2" t="s">
        <v>25</v>
      </c>
    </row>
    <row r="149" spans="1:16">
      <c r="A149" s="11" t="s">
        <v>382</v>
      </c>
      <c r="B149" s="2" t="s">
        <v>383</v>
      </c>
      <c r="C149" s="2">
        <v>24</v>
      </c>
      <c r="D149" s="2">
        <f>E149*C149/1000</f>
        <v>8.64</v>
      </c>
      <c r="E149" s="2">
        <v>360</v>
      </c>
      <c r="F149" s="2" t="s">
        <v>18</v>
      </c>
      <c r="G149" s="2" t="s">
        <v>80</v>
      </c>
      <c r="H149" s="2" t="s">
        <v>384</v>
      </c>
      <c r="I149" s="2" t="s">
        <v>385</v>
      </c>
      <c r="J149" s="2" t="s">
        <v>22</v>
      </c>
      <c r="K149" s="2" t="s">
        <v>83</v>
      </c>
      <c r="L149" s="2" t="s">
        <v>24</v>
      </c>
      <c r="M149" s="2">
        <v>0</v>
      </c>
      <c r="N149" s="2" t="str">
        <f>VLOOKUP(A149, zcorin_converter!A:L, 12, FALSE)</f>
        <v>Bag in Box</v>
      </c>
      <c r="O149" s="2">
        <v>0</v>
      </c>
      <c r="P149" s="2" t="s">
        <v>25</v>
      </c>
    </row>
    <row r="150" spans="1:16">
      <c r="A150" s="11" t="s">
        <v>386</v>
      </c>
      <c r="B150" s="2" t="s">
        <v>387</v>
      </c>
      <c r="C150" s="2">
        <v>24</v>
      </c>
      <c r="D150" s="2">
        <f>E150*C150/1000</f>
        <v>4.08</v>
      </c>
      <c r="E150" s="2">
        <v>170</v>
      </c>
      <c r="F150" s="2" t="s">
        <v>18</v>
      </c>
      <c r="G150" s="2" t="s">
        <v>80</v>
      </c>
      <c r="H150" s="2" t="s">
        <v>388</v>
      </c>
      <c r="I150" s="2" t="s">
        <v>389</v>
      </c>
      <c r="J150" s="2" t="s">
        <v>22</v>
      </c>
      <c r="K150" s="2" t="s">
        <v>83</v>
      </c>
      <c r="L150" s="2" t="s">
        <v>24</v>
      </c>
      <c r="M150" s="2">
        <v>0</v>
      </c>
      <c r="N150" s="2" t="str">
        <f>VLOOKUP(A150, zcorin_converter!A:L, 12, FALSE)</f>
        <v>Bag in Box</v>
      </c>
      <c r="O150" s="2">
        <v>0</v>
      </c>
      <c r="P150" s="2" t="s">
        <v>25</v>
      </c>
    </row>
    <row r="151" spans="1:16">
      <c r="A151" s="11" t="s">
        <v>390</v>
      </c>
      <c r="B151" s="2" t="s">
        <v>391</v>
      </c>
      <c r="C151" s="2">
        <v>10</v>
      </c>
      <c r="D151" s="2">
        <f>E151*C151/1000</f>
        <v>7</v>
      </c>
      <c r="E151" s="2">
        <v>700</v>
      </c>
      <c r="F151" s="2" t="s">
        <v>18</v>
      </c>
      <c r="G151" s="2" t="s">
        <v>80</v>
      </c>
      <c r="H151" s="2" t="s">
        <v>384</v>
      </c>
      <c r="I151" s="2" t="s">
        <v>385</v>
      </c>
      <c r="J151" s="2" t="s">
        <v>22</v>
      </c>
      <c r="K151" s="2" t="s">
        <v>83</v>
      </c>
      <c r="L151" s="2" t="s">
        <v>24</v>
      </c>
      <c r="M151" s="2">
        <v>0</v>
      </c>
      <c r="N151" s="2" t="str">
        <f>VLOOKUP(A151, zcorin_converter!A:L, 12, FALSE)</f>
        <v>Bag in Box</v>
      </c>
      <c r="O151" s="2">
        <v>0</v>
      </c>
      <c r="P151" s="2" t="s">
        <v>25</v>
      </c>
    </row>
    <row r="152" spans="1:16">
      <c r="A152" s="11" t="s">
        <v>392</v>
      </c>
      <c r="B152" s="2" t="s">
        <v>393</v>
      </c>
      <c r="C152" s="2">
        <v>24</v>
      </c>
      <c r="D152" s="2">
        <f>E152*C152/1000</f>
        <v>9.6</v>
      </c>
      <c r="E152" s="2">
        <v>400</v>
      </c>
      <c r="F152" s="2" t="s">
        <v>18</v>
      </c>
      <c r="G152" s="2" t="s">
        <v>107</v>
      </c>
      <c r="H152" s="2" t="s">
        <v>394</v>
      </c>
      <c r="I152" s="2" t="s">
        <v>30</v>
      </c>
      <c r="J152" s="2" t="s">
        <v>22</v>
      </c>
      <c r="K152" s="2" t="s">
        <v>110</v>
      </c>
      <c r="L152" s="2" t="s">
        <v>24</v>
      </c>
      <c r="M152" s="2">
        <v>0</v>
      </c>
      <c r="N152" s="2" t="str">
        <f>VLOOKUP(A152, zcorin_converter!A:L, 12, FALSE)</f>
        <v>Bag in Box</v>
      </c>
      <c r="O152" s="2">
        <v>0</v>
      </c>
      <c r="P152" s="2" t="s">
        <v>25</v>
      </c>
    </row>
    <row r="153" spans="1:16">
      <c r="A153" s="11" t="s">
        <v>395</v>
      </c>
      <c r="B153" s="2" t="s">
        <v>396</v>
      </c>
      <c r="C153" s="2">
        <v>12</v>
      </c>
      <c r="D153" s="2">
        <f>E153*C153/1000</f>
        <v>4.8</v>
      </c>
      <c r="E153" s="2">
        <v>400</v>
      </c>
      <c r="F153" s="2" t="s">
        <v>18</v>
      </c>
      <c r="G153" s="2" t="s">
        <v>19</v>
      </c>
      <c r="H153" s="2" t="s">
        <v>20</v>
      </c>
      <c r="I153" s="2" t="s">
        <v>21</v>
      </c>
      <c r="J153" s="2" t="s">
        <v>22</v>
      </c>
      <c r="K153" s="2" t="s">
        <v>23</v>
      </c>
      <c r="L153" s="2" t="s">
        <v>24</v>
      </c>
      <c r="M153" s="2">
        <v>0</v>
      </c>
      <c r="N153" s="2" t="str">
        <f>VLOOKUP(A153, zcorin_converter!A:L, 12, FALSE)</f>
        <v>Canning</v>
      </c>
      <c r="O153" s="2">
        <v>0</v>
      </c>
      <c r="P153" s="2" t="s">
        <v>25</v>
      </c>
    </row>
    <row r="154" spans="1:16">
      <c r="A154" s="11" t="s">
        <v>397</v>
      </c>
      <c r="B154" s="2" t="s">
        <v>144</v>
      </c>
      <c r="C154" s="2">
        <v>3</v>
      </c>
      <c r="D154" s="2">
        <f t="shared" ref="D154:D174" si="11">C154*E154/1000</f>
        <v>2.7</v>
      </c>
      <c r="E154" s="2">
        <v>900</v>
      </c>
      <c r="F154" s="2" t="s">
        <v>71</v>
      </c>
      <c r="G154" s="2" t="s">
        <v>29</v>
      </c>
      <c r="H154" s="2" t="s">
        <v>29</v>
      </c>
      <c r="I154" s="2" t="s">
        <v>51</v>
      </c>
      <c r="J154" s="2" t="s">
        <v>22</v>
      </c>
      <c r="K154" s="2" t="s">
        <v>29</v>
      </c>
      <c r="L154" s="2" t="s">
        <v>24</v>
      </c>
      <c r="M154" s="2">
        <v>0</v>
      </c>
      <c r="N154" s="2" t="str">
        <f>VLOOKUP(A154, zcorin_converter!A:L, 12, FALSE)</f>
        <v>Canning</v>
      </c>
      <c r="O154" s="2">
        <v>0</v>
      </c>
      <c r="P154" s="2" t="s">
        <v>25</v>
      </c>
    </row>
    <row r="155" spans="1:16">
      <c r="A155" s="11" t="s">
        <v>398</v>
      </c>
      <c r="B155" s="2" t="s">
        <v>399</v>
      </c>
      <c r="C155" s="2">
        <v>24</v>
      </c>
      <c r="D155" s="2">
        <f t="shared" si="11"/>
        <v>9.6</v>
      </c>
      <c r="E155" s="2">
        <v>400</v>
      </c>
      <c r="F155" s="2" t="s">
        <v>147</v>
      </c>
      <c r="G155" s="2" t="s">
        <v>29</v>
      </c>
      <c r="H155" s="2" t="s">
        <v>29</v>
      </c>
      <c r="I155" s="2" t="s">
        <v>250</v>
      </c>
      <c r="J155" s="2" t="s">
        <v>250</v>
      </c>
      <c r="K155" s="2" t="s">
        <v>29</v>
      </c>
      <c r="L155" s="2" t="s">
        <v>24</v>
      </c>
      <c r="M155" s="2">
        <v>0</v>
      </c>
      <c r="N155" s="2" t="str">
        <f>VLOOKUP(A155, zcorin_converter!A:L, 12, FALSE)</f>
        <v>Canning</v>
      </c>
      <c r="O155" s="2">
        <v>0</v>
      </c>
      <c r="P155" s="2" t="s">
        <v>25</v>
      </c>
    </row>
    <row r="156" spans="1:16">
      <c r="A156" s="11" t="s">
        <v>400</v>
      </c>
      <c r="B156" s="2" t="s">
        <v>401</v>
      </c>
      <c r="C156" s="2">
        <v>24</v>
      </c>
      <c r="D156" s="2">
        <f t="shared" si="11"/>
        <v>9.6</v>
      </c>
      <c r="E156" s="2">
        <v>400</v>
      </c>
      <c r="F156" s="2" t="s">
        <v>147</v>
      </c>
      <c r="G156" s="2" t="s">
        <v>29</v>
      </c>
      <c r="H156" s="2" t="s">
        <v>29</v>
      </c>
      <c r="I156" s="2" t="s">
        <v>22</v>
      </c>
      <c r="J156" s="2" t="s">
        <v>22</v>
      </c>
      <c r="K156" s="2" t="s">
        <v>29</v>
      </c>
      <c r="L156" s="2" t="s">
        <v>24</v>
      </c>
      <c r="M156" s="2">
        <v>0</v>
      </c>
      <c r="N156" s="2" t="str">
        <f>VLOOKUP(A156, zcorin_converter!A:L, 12, FALSE)</f>
        <v>Canning</v>
      </c>
      <c r="O156" s="2">
        <v>0</v>
      </c>
      <c r="P156" s="2" t="s">
        <v>25</v>
      </c>
    </row>
    <row r="157" spans="1:16">
      <c r="A157" s="11" t="s">
        <v>402</v>
      </c>
      <c r="B157" s="2" t="s">
        <v>403</v>
      </c>
      <c r="C157" s="2">
        <v>24</v>
      </c>
      <c r="D157" s="2">
        <f t="shared" si="11"/>
        <v>9.6</v>
      </c>
      <c r="E157" s="2">
        <v>400</v>
      </c>
      <c r="F157" s="2" t="s">
        <v>147</v>
      </c>
      <c r="G157" s="2" t="s">
        <v>29</v>
      </c>
      <c r="H157" s="2" t="s">
        <v>29</v>
      </c>
      <c r="I157" s="2" t="s">
        <v>38</v>
      </c>
      <c r="J157" s="2" t="s">
        <v>38</v>
      </c>
      <c r="K157" s="2" t="s">
        <v>29</v>
      </c>
      <c r="L157" s="2" t="s">
        <v>24</v>
      </c>
      <c r="M157" s="2">
        <v>0</v>
      </c>
      <c r="N157" s="2" t="str">
        <f>VLOOKUP(A157, zcorin_converter!A:L, 12, FALSE)</f>
        <v>Canning</v>
      </c>
      <c r="O157" s="2">
        <v>0</v>
      </c>
      <c r="P157" s="2" t="s">
        <v>25</v>
      </c>
    </row>
    <row r="158" spans="1:16">
      <c r="A158" s="11" t="s">
        <v>404</v>
      </c>
      <c r="B158" s="2" t="s">
        <v>405</v>
      </c>
      <c r="C158" s="2">
        <v>24</v>
      </c>
      <c r="D158" s="2">
        <f t="shared" si="11"/>
        <v>9.6</v>
      </c>
      <c r="E158" s="2">
        <v>400</v>
      </c>
      <c r="F158" s="2" t="s">
        <v>147</v>
      </c>
      <c r="G158" s="2" t="s">
        <v>29</v>
      </c>
      <c r="H158" s="2" t="s">
        <v>29</v>
      </c>
      <c r="I158" s="2" t="s">
        <v>42</v>
      </c>
      <c r="J158" s="2" t="s">
        <v>42</v>
      </c>
      <c r="K158" s="2" t="s">
        <v>29</v>
      </c>
      <c r="L158" s="2" t="s">
        <v>24</v>
      </c>
      <c r="M158" s="2">
        <v>0</v>
      </c>
      <c r="N158" s="2" t="str">
        <f>VLOOKUP(A158, zcorin_converter!A:L, 12, FALSE)</f>
        <v>Canning</v>
      </c>
      <c r="O158" s="2">
        <v>0</v>
      </c>
      <c r="P158" s="2" t="s">
        <v>25</v>
      </c>
    </row>
    <row r="159" spans="1:16">
      <c r="A159" s="11" t="s">
        <v>406</v>
      </c>
      <c r="B159" s="2" t="s">
        <v>407</v>
      </c>
      <c r="C159" s="2">
        <v>24</v>
      </c>
      <c r="D159" s="2">
        <f t="shared" si="11"/>
        <v>9.6</v>
      </c>
      <c r="E159" s="2">
        <v>400</v>
      </c>
      <c r="F159" s="2" t="s">
        <v>137</v>
      </c>
      <c r="G159" s="2" t="s">
        <v>29</v>
      </c>
      <c r="H159" s="2" t="s">
        <v>29</v>
      </c>
      <c r="I159" s="2" t="s">
        <v>38</v>
      </c>
      <c r="J159" s="2" t="s">
        <v>38</v>
      </c>
      <c r="K159" s="2" t="s">
        <v>29</v>
      </c>
      <c r="L159" s="2" t="s">
        <v>24</v>
      </c>
      <c r="M159" s="2">
        <v>0</v>
      </c>
      <c r="N159" s="2" t="str">
        <f>VLOOKUP(A159, zcorin_converter!A:L, 12, FALSE)</f>
        <v>Canning</v>
      </c>
      <c r="O159" s="2">
        <v>0</v>
      </c>
      <c r="P159" s="2" t="s">
        <v>25</v>
      </c>
    </row>
    <row r="160" spans="1:16">
      <c r="A160" s="11" t="s">
        <v>408</v>
      </c>
      <c r="B160" s="2" t="s">
        <v>409</v>
      </c>
      <c r="C160" s="2">
        <v>24</v>
      </c>
      <c r="D160" s="2">
        <f t="shared" si="11"/>
        <v>9.6</v>
      </c>
      <c r="E160" s="2">
        <v>400</v>
      </c>
      <c r="F160" s="2" t="s">
        <v>137</v>
      </c>
      <c r="G160" s="2" t="s">
        <v>29</v>
      </c>
      <c r="H160" s="2" t="s">
        <v>29</v>
      </c>
      <c r="I160" s="2" t="s">
        <v>42</v>
      </c>
      <c r="J160" s="2" t="s">
        <v>42</v>
      </c>
      <c r="K160" s="2" t="s">
        <v>29</v>
      </c>
      <c r="L160" s="2" t="s">
        <v>24</v>
      </c>
      <c r="M160" s="2">
        <v>0</v>
      </c>
      <c r="N160" s="2" t="str">
        <f>VLOOKUP(A160, zcorin_converter!A:L, 12, FALSE)</f>
        <v>Canning</v>
      </c>
      <c r="O160" s="2">
        <v>0</v>
      </c>
      <c r="P160" s="2" t="s">
        <v>25</v>
      </c>
    </row>
    <row r="161" spans="1:16">
      <c r="A161" s="11" t="s">
        <v>410</v>
      </c>
      <c r="B161" s="2" t="s">
        <v>411</v>
      </c>
      <c r="C161" s="2">
        <v>12</v>
      </c>
      <c r="D161" s="2">
        <f t="shared" si="11"/>
        <v>9.6</v>
      </c>
      <c r="E161" s="2">
        <v>800</v>
      </c>
      <c r="F161" s="2" t="s">
        <v>137</v>
      </c>
      <c r="G161" s="2" t="s">
        <v>29</v>
      </c>
      <c r="H161" s="2" t="s">
        <v>29</v>
      </c>
      <c r="I161" s="2" t="s">
        <v>38</v>
      </c>
      <c r="J161" s="2" t="s">
        <v>38</v>
      </c>
      <c r="K161" s="2" t="s">
        <v>29</v>
      </c>
      <c r="L161" s="2" t="s">
        <v>24</v>
      </c>
      <c r="M161" s="2">
        <v>0</v>
      </c>
      <c r="N161" s="2" t="str">
        <f>VLOOKUP(A161, zcorin_converter!A:L, 12, FALSE)</f>
        <v>Canning</v>
      </c>
      <c r="O161" s="2">
        <v>0</v>
      </c>
      <c r="P161" s="2" t="s">
        <v>25</v>
      </c>
    </row>
    <row r="162" spans="1:16">
      <c r="A162" s="11" t="s">
        <v>412</v>
      </c>
      <c r="B162" s="2" t="s">
        <v>413</v>
      </c>
      <c r="C162" s="2">
        <v>24</v>
      </c>
      <c r="D162" s="2">
        <f t="shared" si="11"/>
        <v>9.6</v>
      </c>
      <c r="E162" s="2">
        <v>400</v>
      </c>
      <c r="F162" s="2" t="s">
        <v>147</v>
      </c>
      <c r="G162" s="2" t="s">
        <v>29</v>
      </c>
      <c r="H162" s="2" t="s">
        <v>29</v>
      </c>
      <c r="I162" s="2" t="s">
        <v>38</v>
      </c>
      <c r="J162" s="2" t="s">
        <v>38</v>
      </c>
      <c r="K162" s="2" t="s">
        <v>29</v>
      </c>
      <c r="L162" s="2" t="s">
        <v>24</v>
      </c>
      <c r="M162" s="2">
        <v>0</v>
      </c>
      <c r="N162" s="2" t="str">
        <f>VLOOKUP(A162, zcorin_converter!A:L, 12, FALSE)</f>
        <v>Canning</v>
      </c>
      <c r="O162" s="2">
        <v>0</v>
      </c>
      <c r="P162" s="2" t="s">
        <v>25</v>
      </c>
    </row>
    <row r="163" spans="1:16">
      <c r="A163" s="11" t="s">
        <v>414</v>
      </c>
      <c r="B163" s="2" t="s">
        <v>415</v>
      </c>
      <c r="C163" s="2">
        <v>12</v>
      </c>
      <c r="D163" s="2">
        <f t="shared" si="11"/>
        <v>9.6</v>
      </c>
      <c r="E163" s="2">
        <v>800</v>
      </c>
      <c r="F163" s="2" t="s">
        <v>147</v>
      </c>
      <c r="G163" s="2" t="s">
        <v>29</v>
      </c>
      <c r="H163" s="2" t="s">
        <v>29</v>
      </c>
      <c r="I163" s="2" t="s">
        <v>38</v>
      </c>
      <c r="J163" s="2" t="s">
        <v>38</v>
      </c>
      <c r="K163" s="2" t="s">
        <v>29</v>
      </c>
      <c r="L163" s="2" t="s">
        <v>24</v>
      </c>
      <c r="M163" s="2">
        <v>0</v>
      </c>
      <c r="N163" s="2" t="str">
        <f>VLOOKUP(A163, zcorin_converter!A:L, 12, FALSE)</f>
        <v>Canning</v>
      </c>
      <c r="O163" s="2">
        <v>0</v>
      </c>
      <c r="P163" s="2" t="s">
        <v>25</v>
      </c>
    </row>
    <row r="164" spans="1:16">
      <c r="A164" s="11" t="s">
        <v>416</v>
      </c>
      <c r="B164" s="2" t="s">
        <v>417</v>
      </c>
      <c r="C164" s="2">
        <v>12</v>
      </c>
      <c r="D164" s="2">
        <f t="shared" si="11"/>
        <v>9.6</v>
      </c>
      <c r="E164" s="2">
        <v>800</v>
      </c>
      <c r="F164" s="2" t="s">
        <v>147</v>
      </c>
      <c r="G164" s="2" t="s">
        <v>29</v>
      </c>
      <c r="H164" s="2" t="s">
        <v>29</v>
      </c>
      <c r="I164" s="2" t="s">
        <v>42</v>
      </c>
      <c r="J164" s="2" t="s">
        <v>42</v>
      </c>
      <c r="K164" s="2" t="s">
        <v>29</v>
      </c>
      <c r="L164" s="2" t="s">
        <v>24</v>
      </c>
      <c r="M164" s="2">
        <v>0</v>
      </c>
      <c r="N164" s="2" t="str">
        <f>VLOOKUP(A164, zcorin_converter!A:L, 12, FALSE)</f>
        <v>Canning</v>
      </c>
      <c r="O164" s="2">
        <v>0</v>
      </c>
      <c r="P164" s="2" t="s">
        <v>25</v>
      </c>
    </row>
    <row r="165" spans="1:16">
      <c r="A165" s="11" t="s">
        <v>418</v>
      </c>
      <c r="B165" s="2" t="s">
        <v>419</v>
      </c>
      <c r="C165" s="2">
        <v>12</v>
      </c>
      <c r="D165" s="2">
        <f t="shared" si="11"/>
        <v>9.6</v>
      </c>
      <c r="E165" s="2">
        <v>800</v>
      </c>
      <c r="F165" s="2" t="s">
        <v>147</v>
      </c>
      <c r="G165" s="2" t="s">
        <v>29</v>
      </c>
      <c r="H165" s="2" t="s">
        <v>29</v>
      </c>
      <c r="I165" s="2" t="s">
        <v>156</v>
      </c>
      <c r="J165" s="2" t="s">
        <v>156</v>
      </c>
      <c r="K165" s="2" t="s">
        <v>29</v>
      </c>
      <c r="L165" s="2" t="s">
        <v>24</v>
      </c>
      <c r="M165" s="2">
        <v>0</v>
      </c>
      <c r="N165" s="2" t="str">
        <f>VLOOKUP(A165, zcorin_converter!A:L, 12, FALSE)</f>
        <v>Canning</v>
      </c>
      <c r="O165" s="2">
        <v>0</v>
      </c>
      <c r="P165" s="2" t="s">
        <v>25</v>
      </c>
    </row>
    <row r="166" spans="1:16">
      <c r="A166" s="11" t="s">
        <v>420</v>
      </c>
      <c r="B166" s="2" t="s">
        <v>421</v>
      </c>
      <c r="C166" s="2">
        <v>12</v>
      </c>
      <c r="D166" s="2">
        <f t="shared" si="11"/>
        <v>9.6</v>
      </c>
      <c r="E166" s="2">
        <v>800</v>
      </c>
      <c r="F166" s="2" t="s">
        <v>147</v>
      </c>
      <c r="G166" s="2" t="s">
        <v>29</v>
      </c>
      <c r="H166" s="2" t="s">
        <v>29</v>
      </c>
      <c r="I166" s="2" t="s">
        <v>38</v>
      </c>
      <c r="J166" s="2" t="s">
        <v>38</v>
      </c>
      <c r="K166" s="2" t="s">
        <v>29</v>
      </c>
      <c r="L166" s="2" t="s">
        <v>24</v>
      </c>
      <c r="M166" s="2">
        <v>0</v>
      </c>
      <c r="N166" s="2" t="str">
        <f>VLOOKUP(A166, zcorin_converter!A:L, 12, FALSE)</f>
        <v>Canning</v>
      </c>
      <c r="O166" s="2">
        <v>0</v>
      </c>
      <c r="P166" s="2" t="s">
        <v>25</v>
      </c>
    </row>
    <row r="167" spans="1:16">
      <c r="A167" s="11" t="s">
        <v>422</v>
      </c>
      <c r="B167" s="2" t="s">
        <v>423</v>
      </c>
      <c r="C167" s="2">
        <v>12</v>
      </c>
      <c r="D167" s="2">
        <f t="shared" si="11"/>
        <v>9.6</v>
      </c>
      <c r="E167" s="2">
        <v>800</v>
      </c>
      <c r="F167" s="2" t="s">
        <v>147</v>
      </c>
      <c r="G167" s="2" t="s">
        <v>29</v>
      </c>
      <c r="H167" s="2" t="s">
        <v>29</v>
      </c>
      <c r="I167" s="2" t="s">
        <v>42</v>
      </c>
      <c r="J167" s="2" t="s">
        <v>42</v>
      </c>
      <c r="K167" s="2" t="s">
        <v>29</v>
      </c>
      <c r="L167" s="2" t="s">
        <v>24</v>
      </c>
      <c r="M167" s="2">
        <v>0</v>
      </c>
      <c r="N167" s="2" t="str">
        <f>VLOOKUP(A167, zcorin_converter!A:L, 12, FALSE)</f>
        <v>Canning</v>
      </c>
      <c r="O167" s="2">
        <v>0</v>
      </c>
      <c r="P167" s="2" t="s">
        <v>25</v>
      </c>
    </row>
    <row r="168" spans="1:16">
      <c r="A168" s="11" t="s">
        <v>424</v>
      </c>
      <c r="B168" s="2" t="s">
        <v>425</v>
      </c>
      <c r="C168" s="2">
        <v>12</v>
      </c>
      <c r="D168" s="2">
        <f t="shared" si="11"/>
        <v>9.6</v>
      </c>
      <c r="E168" s="2">
        <v>800</v>
      </c>
      <c r="F168" s="2" t="s">
        <v>147</v>
      </c>
      <c r="G168" s="2" t="s">
        <v>29</v>
      </c>
      <c r="H168" s="2" t="s">
        <v>29</v>
      </c>
      <c r="I168" s="2" t="s">
        <v>156</v>
      </c>
      <c r="J168" s="2" t="s">
        <v>156</v>
      </c>
      <c r="K168" s="2" t="s">
        <v>29</v>
      </c>
      <c r="L168" s="2" t="s">
        <v>24</v>
      </c>
      <c r="M168" s="2">
        <v>0</v>
      </c>
      <c r="N168" s="2" t="str">
        <f>VLOOKUP(A168, zcorin_converter!A:L, 12, FALSE)</f>
        <v>Canning</v>
      </c>
      <c r="O168" s="2">
        <v>0</v>
      </c>
      <c r="P168" s="2" t="s">
        <v>25</v>
      </c>
    </row>
    <row r="169" spans="1:16">
      <c r="A169" s="11" t="s">
        <v>426</v>
      </c>
      <c r="B169" s="2" t="s">
        <v>427</v>
      </c>
      <c r="C169" s="2">
        <v>12</v>
      </c>
      <c r="D169" s="2">
        <f t="shared" si="11"/>
        <v>9.6</v>
      </c>
      <c r="E169" s="2">
        <v>800</v>
      </c>
      <c r="F169" s="2" t="s">
        <v>50</v>
      </c>
      <c r="G169" s="2" t="s">
        <v>29</v>
      </c>
      <c r="H169" s="2" t="s">
        <v>29</v>
      </c>
      <c r="I169" s="2" t="s">
        <v>42</v>
      </c>
      <c r="J169" s="2" t="s">
        <v>42</v>
      </c>
      <c r="K169" s="2" t="s">
        <v>29</v>
      </c>
      <c r="L169" s="2" t="s">
        <v>24</v>
      </c>
      <c r="M169" s="2">
        <v>0</v>
      </c>
      <c r="N169" s="2" t="str">
        <f>VLOOKUP(A169, zcorin_converter!A:L, 12, FALSE)</f>
        <v>Canning</v>
      </c>
      <c r="O169" s="2">
        <v>0</v>
      </c>
      <c r="P169" s="2" t="s">
        <v>25</v>
      </c>
    </row>
    <row r="170" spans="1:16">
      <c r="A170" s="11" t="s">
        <v>428</v>
      </c>
      <c r="B170" s="2" t="s">
        <v>429</v>
      </c>
      <c r="C170" s="2">
        <v>12</v>
      </c>
      <c r="D170" s="2">
        <f t="shared" si="11"/>
        <v>9.6</v>
      </c>
      <c r="E170" s="2">
        <v>800</v>
      </c>
      <c r="F170" s="2" t="s">
        <v>50</v>
      </c>
      <c r="G170" s="2" t="s">
        <v>29</v>
      </c>
      <c r="H170" s="2" t="s">
        <v>29</v>
      </c>
      <c r="I170" s="2" t="s">
        <v>156</v>
      </c>
      <c r="J170" s="2" t="s">
        <v>156</v>
      </c>
      <c r="K170" s="2" t="s">
        <v>29</v>
      </c>
      <c r="L170" s="2" t="s">
        <v>24</v>
      </c>
      <c r="M170" s="2">
        <v>0</v>
      </c>
      <c r="N170" s="2" t="str">
        <f>VLOOKUP(A170, zcorin_converter!A:L, 12, FALSE)</f>
        <v>Canning</v>
      </c>
      <c r="O170" s="2">
        <v>0</v>
      </c>
      <c r="P170" s="2" t="s">
        <v>25</v>
      </c>
    </row>
    <row r="171" spans="1:16">
      <c r="A171" s="11" t="s">
        <v>430</v>
      </c>
      <c r="B171" s="2" t="s">
        <v>431</v>
      </c>
      <c r="C171" s="2">
        <v>12</v>
      </c>
      <c r="D171" s="2">
        <f t="shared" si="11"/>
        <v>9.6</v>
      </c>
      <c r="E171" s="2">
        <v>800</v>
      </c>
      <c r="F171" s="2" t="s">
        <v>100</v>
      </c>
      <c r="G171" s="2" t="s">
        <v>29</v>
      </c>
      <c r="H171" s="2" t="s">
        <v>29</v>
      </c>
      <c r="I171" s="2" t="s">
        <v>38</v>
      </c>
      <c r="J171" s="2" t="s">
        <v>38</v>
      </c>
      <c r="K171" s="2" t="s">
        <v>29</v>
      </c>
      <c r="L171" s="2" t="s">
        <v>24</v>
      </c>
      <c r="M171" s="2">
        <v>0</v>
      </c>
      <c r="N171" s="2" t="str">
        <f>VLOOKUP(A171, zcorin_converter!A:L, 12, FALSE)</f>
        <v>Canning</v>
      </c>
      <c r="O171" s="2">
        <v>0</v>
      </c>
      <c r="P171" s="2" t="s">
        <v>25</v>
      </c>
    </row>
    <row r="172" spans="1:16">
      <c r="A172" s="11" t="s">
        <v>432</v>
      </c>
      <c r="B172" s="2" t="s">
        <v>433</v>
      </c>
      <c r="C172" s="2">
        <v>12</v>
      </c>
      <c r="D172" s="2">
        <f t="shared" si="11"/>
        <v>9.6</v>
      </c>
      <c r="E172" s="2">
        <v>800</v>
      </c>
      <c r="F172" s="2" t="s">
        <v>137</v>
      </c>
      <c r="G172" s="2" t="s">
        <v>29</v>
      </c>
      <c r="H172" s="2" t="s">
        <v>29</v>
      </c>
      <c r="I172" s="2" t="s">
        <v>42</v>
      </c>
      <c r="J172" s="2" t="s">
        <v>42</v>
      </c>
      <c r="K172" s="2" t="s">
        <v>29</v>
      </c>
      <c r="L172" s="2" t="s">
        <v>24</v>
      </c>
      <c r="M172" s="2">
        <v>0</v>
      </c>
      <c r="N172" s="2" t="str">
        <f>VLOOKUP(A172, zcorin_converter!A:L, 12, FALSE)</f>
        <v>Canning</v>
      </c>
      <c r="O172" s="2">
        <v>0</v>
      </c>
      <c r="P172" s="2" t="s">
        <v>25</v>
      </c>
    </row>
    <row r="173" spans="1:16">
      <c r="A173" s="11" t="s">
        <v>434</v>
      </c>
      <c r="B173" s="2" t="s">
        <v>435</v>
      </c>
      <c r="C173" s="2">
        <v>12</v>
      </c>
      <c r="D173" s="2">
        <f t="shared" si="11"/>
        <v>9.6</v>
      </c>
      <c r="E173" s="2">
        <v>800</v>
      </c>
      <c r="F173" s="2" t="s">
        <v>137</v>
      </c>
      <c r="G173" s="2" t="s">
        <v>29</v>
      </c>
      <c r="H173" s="2" t="s">
        <v>29</v>
      </c>
      <c r="I173" s="2" t="s">
        <v>156</v>
      </c>
      <c r="J173" s="2" t="s">
        <v>156</v>
      </c>
      <c r="K173" s="2" t="s">
        <v>29</v>
      </c>
      <c r="L173" s="2" t="s">
        <v>24</v>
      </c>
      <c r="M173" s="2">
        <v>0</v>
      </c>
      <c r="N173" s="2" t="str">
        <f>VLOOKUP(A173, zcorin_converter!A:L, 12, FALSE)</f>
        <v>Canning</v>
      </c>
      <c r="O173" s="2">
        <v>0</v>
      </c>
      <c r="P173" s="2" t="s">
        <v>25</v>
      </c>
    </row>
    <row r="174" spans="1:16">
      <c r="A174" s="11" t="s">
        <v>436</v>
      </c>
      <c r="B174" s="2" t="s">
        <v>437</v>
      </c>
      <c r="C174" s="2">
        <v>12</v>
      </c>
      <c r="D174" s="2">
        <f t="shared" si="11"/>
        <v>9.6</v>
      </c>
      <c r="E174" s="2">
        <v>800</v>
      </c>
      <c r="F174" s="2" t="s">
        <v>100</v>
      </c>
      <c r="G174" s="2" t="s">
        <v>29</v>
      </c>
      <c r="H174" s="2" t="s">
        <v>29</v>
      </c>
      <c r="I174" s="2" t="s">
        <v>42</v>
      </c>
      <c r="J174" s="2" t="s">
        <v>42</v>
      </c>
      <c r="K174" s="2" t="s">
        <v>29</v>
      </c>
      <c r="L174" s="2" t="s">
        <v>24</v>
      </c>
      <c r="M174" s="2">
        <v>0</v>
      </c>
      <c r="N174" s="2" t="str">
        <f>VLOOKUP(A174, zcorin_converter!A:L, 12, FALSE)</f>
        <v>Canning</v>
      </c>
      <c r="O174" s="2">
        <v>0</v>
      </c>
      <c r="P174" s="2" t="s">
        <v>25</v>
      </c>
    </row>
    <row r="175" spans="1:16">
      <c r="A175" s="11" t="s">
        <v>438</v>
      </c>
      <c r="B175" s="2" t="s">
        <v>439</v>
      </c>
      <c r="C175" s="2">
        <v>24</v>
      </c>
      <c r="D175" s="2">
        <f t="shared" ref="D175:D194" si="12">E175*C175/1000</f>
        <v>4.8</v>
      </c>
      <c r="E175" s="2">
        <v>200</v>
      </c>
      <c r="F175" s="2" t="s">
        <v>18</v>
      </c>
      <c r="G175" s="2" t="s">
        <v>107</v>
      </c>
      <c r="H175" s="2" t="s">
        <v>120</v>
      </c>
      <c r="I175" s="2" t="s">
        <v>56</v>
      </c>
      <c r="J175" s="2" t="s">
        <v>22</v>
      </c>
      <c r="K175" s="2" t="s">
        <v>110</v>
      </c>
      <c r="L175" s="2" t="s">
        <v>24</v>
      </c>
      <c r="M175" s="2">
        <v>0</v>
      </c>
      <c r="N175" s="2" t="str">
        <f>VLOOKUP(A175, zcorin_converter!A:L, 12, FALSE)</f>
        <v>Bag in Box</v>
      </c>
      <c r="O175" s="2">
        <v>0</v>
      </c>
      <c r="P175" s="2" t="s">
        <v>25</v>
      </c>
    </row>
    <row r="176" spans="1:16">
      <c r="A176" s="11" t="s">
        <v>440</v>
      </c>
      <c r="B176" s="2" t="s">
        <v>441</v>
      </c>
      <c r="C176" s="2">
        <v>24</v>
      </c>
      <c r="D176" s="2">
        <f t="shared" si="12"/>
        <v>9.6</v>
      </c>
      <c r="E176" s="2">
        <v>400</v>
      </c>
      <c r="F176" s="2" t="s">
        <v>18</v>
      </c>
      <c r="G176" s="2" t="s">
        <v>107</v>
      </c>
      <c r="H176" s="2" t="s">
        <v>115</v>
      </c>
      <c r="I176" s="2" t="s">
        <v>62</v>
      </c>
      <c r="J176" s="2" t="s">
        <v>22</v>
      </c>
      <c r="K176" s="2" t="s">
        <v>110</v>
      </c>
      <c r="L176" s="2" t="s">
        <v>24</v>
      </c>
      <c r="M176" s="2">
        <v>0</v>
      </c>
      <c r="N176" s="2" t="str">
        <f>VLOOKUP(A176, zcorin_converter!A:L, 12, FALSE)</f>
        <v>Bag in Box</v>
      </c>
      <c r="O176" s="2">
        <v>0</v>
      </c>
      <c r="P176" s="2" t="s">
        <v>25</v>
      </c>
    </row>
    <row r="177" spans="1:16">
      <c r="A177" s="11" t="s">
        <v>442</v>
      </c>
      <c r="B177" s="2" t="s">
        <v>443</v>
      </c>
      <c r="C177" s="2">
        <v>24</v>
      </c>
      <c r="D177" s="2">
        <f t="shared" si="12"/>
        <v>9.6</v>
      </c>
      <c r="E177" s="2">
        <v>400</v>
      </c>
      <c r="F177" s="2" t="s">
        <v>18</v>
      </c>
      <c r="G177" s="2" t="s">
        <v>107</v>
      </c>
      <c r="H177" s="2" t="s">
        <v>123</v>
      </c>
      <c r="I177" s="2" t="s">
        <v>51</v>
      </c>
      <c r="J177" s="2" t="s">
        <v>22</v>
      </c>
      <c r="K177" s="2" t="s">
        <v>110</v>
      </c>
      <c r="L177" s="2" t="s">
        <v>24</v>
      </c>
      <c r="M177" s="2">
        <v>0</v>
      </c>
      <c r="N177" s="2" t="str">
        <f>VLOOKUP(A177, zcorin_converter!A:L, 12, FALSE)</f>
        <v>Bag in Box</v>
      </c>
      <c r="O177" s="2">
        <v>0</v>
      </c>
      <c r="P177" s="2" t="s">
        <v>25</v>
      </c>
    </row>
    <row r="178" spans="1:16">
      <c r="A178" s="11" t="s">
        <v>444</v>
      </c>
      <c r="B178" s="2" t="s">
        <v>445</v>
      </c>
      <c r="C178" s="2">
        <v>24</v>
      </c>
      <c r="D178" s="2">
        <f t="shared" si="12"/>
        <v>9.6</v>
      </c>
      <c r="E178" s="2">
        <v>400</v>
      </c>
      <c r="F178" s="2" t="s">
        <v>18</v>
      </c>
      <c r="G178" s="2" t="s">
        <v>107</v>
      </c>
      <c r="H178" s="2" t="s">
        <v>123</v>
      </c>
      <c r="I178" s="2" t="s">
        <v>51</v>
      </c>
      <c r="J178" s="2" t="s">
        <v>22</v>
      </c>
      <c r="K178" s="2" t="s">
        <v>110</v>
      </c>
      <c r="L178" s="2" t="s">
        <v>24</v>
      </c>
      <c r="M178" s="2">
        <v>0</v>
      </c>
      <c r="N178" s="2" t="str">
        <f>VLOOKUP(A178, zcorin_converter!A:L, 12, FALSE)</f>
        <v>Bag in Box</v>
      </c>
      <c r="O178" s="2">
        <v>0</v>
      </c>
      <c r="P178" s="2" t="s">
        <v>25</v>
      </c>
    </row>
    <row r="179" spans="1:16">
      <c r="A179" s="11" t="s">
        <v>446</v>
      </c>
      <c r="B179" s="2" t="s">
        <v>447</v>
      </c>
      <c r="C179" s="2">
        <v>10</v>
      </c>
      <c r="D179" s="2">
        <f t="shared" si="12"/>
        <v>7</v>
      </c>
      <c r="E179" s="2">
        <v>700</v>
      </c>
      <c r="F179" s="2" t="s">
        <v>18</v>
      </c>
      <c r="G179" s="2" t="s">
        <v>107</v>
      </c>
      <c r="H179" s="2" t="s">
        <v>115</v>
      </c>
      <c r="I179" s="2" t="s">
        <v>62</v>
      </c>
      <c r="J179" s="2" t="s">
        <v>22</v>
      </c>
      <c r="K179" s="2" t="s">
        <v>110</v>
      </c>
      <c r="L179" s="2" t="s">
        <v>24</v>
      </c>
      <c r="M179" s="2">
        <v>0</v>
      </c>
      <c r="N179" s="2" t="str">
        <f>VLOOKUP(A179, zcorin_converter!A:L, 12, FALSE)</f>
        <v>Bag in Box</v>
      </c>
      <c r="O179" s="2">
        <v>0</v>
      </c>
      <c r="P179" s="2" t="s">
        <v>25</v>
      </c>
    </row>
    <row r="180" spans="1:16">
      <c r="A180" s="11" t="s">
        <v>448</v>
      </c>
      <c r="B180" s="2" t="s">
        <v>449</v>
      </c>
      <c r="C180" s="2">
        <v>10</v>
      </c>
      <c r="D180" s="2">
        <f t="shared" si="12"/>
        <v>7</v>
      </c>
      <c r="E180" s="2">
        <v>700</v>
      </c>
      <c r="F180" s="2" t="s">
        <v>18</v>
      </c>
      <c r="G180" s="2" t="s">
        <v>107</v>
      </c>
      <c r="H180" s="2" t="s">
        <v>123</v>
      </c>
      <c r="I180" s="2" t="s">
        <v>51</v>
      </c>
      <c r="J180" s="2" t="s">
        <v>22</v>
      </c>
      <c r="K180" s="2" t="s">
        <v>110</v>
      </c>
      <c r="L180" s="2" t="s">
        <v>24</v>
      </c>
      <c r="M180" s="2">
        <v>0</v>
      </c>
      <c r="N180" s="2" t="str">
        <f>VLOOKUP(A180, zcorin_converter!A:L, 12, FALSE)</f>
        <v>Bag in Box</v>
      </c>
      <c r="O180" s="2">
        <v>0</v>
      </c>
      <c r="P180" s="2" t="s">
        <v>25</v>
      </c>
    </row>
    <row r="181" spans="1:16">
      <c r="A181" s="11" t="s">
        <v>450</v>
      </c>
      <c r="B181" s="2" t="s">
        <v>451</v>
      </c>
      <c r="C181" s="2">
        <v>10</v>
      </c>
      <c r="D181" s="2">
        <f t="shared" si="12"/>
        <v>7</v>
      </c>
      <c r="E181" s="2">
        <v>700</v>
      </c>
      <c r="F181" s="2" t="s">
        <v>18</v>
      </c>
      <c r="G181" s="2" t="s">
        <v>107</v>
      </c>
      <c r="H181" s="2" t="s">
        <v>123</v>
      </c>
      <c r="I181" s="2" t="s">
        <v>51</v>
      </c>
      <c r="J181" s="2" t="s">
        <v>22</v>
      </c>
      <c r="K181" s="2" t="s">
        <v>110</v>
      </c>
      <c r="L181" s="2" t="s">
        <v>24</v>
      </c>
      <c r="M181" s="2">
        <v>0</v>
      </c>
      <c r="N181" s="2" t="str">
        <f>VLOOKUP(A181, zcorin_converter!A:L, 12, FALSE)</f>
        <v>Bag in Box</v>
      </c>
      <c r="O181" s="2">
        <v>0</v>
      </c>
      <c r="P181" s="2" t="s">
        <v>25</v>
      </c>
    </row>
    <row r="182" spans="1:16">
      <c r="A182" s="11" t="s">
        <v>452</v>
      </c>
      <c r="B182" s="2" t="s">
        <v>453</v>
      </c>
      <c r="C182" s="2">
        <v>6</v>
      </c>
      <c r="D182" s="2">
        <f t="shared" si="12"/>
        <v>2.4</v>
      </c>
      <c r="E182" s="2">
        <v>400</v>
      </c>
      <c r="F182" s="2" t="s">
        <v>354</v>
      </c>
      <c r="G182" s="2" t="s">
        <v>29</v>
      </c>
      <c r="H182" s="2" t="s">
        <v>29</v>
      </c>
      <c r="I182" s="2" t="s">
        <v>355</v>
      </c>
      <c r="J182" s="2" t="s">
        <v>22</v>
      </c>
      <c r="K182" s="2" t="s">
        <v>29</v>
      </c>
      <c r="L182" s="2" t="s">
        <v>24</v>
      </c>
      <c r="M182" s="2">
        <v>0</v>
      </c>
      <c r="N182" s="2" t="str">
        <f>VLOOKUP(A182, zcorin_converter!A:L, 12, FALSE)</f>
        <v>Canning</v>
      </c>
      <c r="O182" s="2">
        <v>0</v>
      </c>
      <c r="P182" s="2" t="s">
        <v>25</v>
      </c>
    </row>
    <row r="183" spans="1:16">
      <c r="A183" s="12" t="s">
        <v>454</v>
      </c>
      <c r="B183" s="2" t="s">
        <v>455</v>
      </c>
      <c r="C183" s="2">
        <v>6</v>
      </c>
      <c r="D183" s="2">
        <f t="shared" si="12"/>
        <v>2.4</v>
      </c>
      <c r="E183" s="2">
        <v>400</v>
      </c>
      <c r="F183" s="2" t="s">
        <v>354</v>
      </c>
      <c r="G183" s="2" t="s">
        <v>29</v>
      </c>
      <c r="H183" s="2" t="s">
        <v>29</v>
      </c>
      <c r="I183" s="2" t="s">
        <v>355</v>
      </c>
      <c r="J183" s="2" t="s">
        <v>22</v>
      </c>
      <c r="K183" s="2" t="s">
        <v>29</v>
      </c>
      <c r="L183" s="2" t="s">
        <v>24</v>
      </c>
      <c r="M183" s="2">
        <v>0</v>
      </c>
      <c r="N183" s="2" t="str">
        <f>VLOOKUP(A183, zcorin_converter!A:L, 12, FALSE)</f>
        <v>Canning</v>
      </c>
      <c r="O183" s="2">
        <v>0</v>
      </c>
      <c r="P183" s="2" t="s">
        <v>25</v>
      </c>
    </row>
    <row r="184" spans="1:16">
      <c r="A184" s="11" t="s">
        <v>456</v>
      </c>
      <c r="B184" s="2" t="s">
        <v>457</v>
      </c>
      <c r="C184" s="2">
        <v>24</v>
      </c>
      <c r="D184" s="2">
        <f t="shared" si="12"/>
        <v>4.8</v>
      </c>
      <c r="E184" s="2">
        <v>200</v>
      </c>
      <c r="F184" s="2" t="s">
        <v>18</v>
      </c>
      <c r="G184" s="2" t="s">
        <v>80</v>
      </c>
      <c r="H184" s="2" t="s">
        <v>81</v>
      </c>
      <c r="I184" s="2" t="s">
        <v>82</v>
      </c>
      <c r="J184" s="2" t="s">
        <v>38</v>
      </c>
      <c r="K184" s="2" t="s">
        <v>83</v>
      </c>
      <c r="L184" s="2" t="s">
        <v>24</v>
      </c>
      <c r="M184" s="2">
        <v>0</v>
      </c>
      <c r="N184" s="2" t="str">
        <f>VLOOKUP(A184, zcorin_converter!A:L, 12, FALSE)</f>
        <v>Bag in Box</v>
      </c>
      <c r="O184" s="2">
        <v>0</v>
      </c>
      <c r="P184" s="2" t="s">
        <v>25</v>
      </c>
    </row>
    <row r="185" spans="1:16">
      <c r="A185" s="11" t="s">
        <v>458</v>
      </c>
      <c r="B185" s="2" t="s">
        <v>459</v>
      </c>
      <c r="C185" s="2">
        <v>24</v>
      </c>
      <c r="D185" s="2">
        <f t="shared" si="12"/>
        <v>4.8</v>
      </c>
      <c r="E185" s="2">
        <v>200</v>
      </c>
      <c r="F185" s="2" t="s">
        <v>18</v>
      </c>
      <c r="G185" s="2" t="s">
        <v>80</v>
      </c>
      <c r="H185" s="2" t="s">
        <v>92</v>
      </c>
      <c r="I185" s="2" t="s">
        <v>93</v>
      </c>
      <c r="J185" s="2" t="s">
        <v>42</v>
      </c>
      <c r="K185" s="2" t="s">
        <v>83</v>
      </c>
      <c r="L185" s="2" t="s">
        <v>24</v>
      </c>
      <c r="M185" s="2">
        <v>0</v>
      </c>
      <c r="N185" s="2" t="str">
        <f>VLOOKUP(A185, zcorin_converter!A:L, 12, FALSE)</f>
        <v>Bag in Box</v>
      </c>
      <c r="O185" s="2">
        <v>0</v>
      </c>
      <c r="P185" s="2" t="s">
        <v>25</v>
      </c>
    </row>
    <row r="186" spans="1:16">
      <c r="A186" s="11" t="s">
        <v>460</v>
      </c>
      <c r="B186" s="2" t="s">
        <v>461</v>
      </c>
      <c r="C186" s="2">
        <v>24</v>
      </c>
      <c r="D186" s="2">
        <f t="shared" si="12"/>
        <v>9.6</v>
      </c>
      <c r="E186" s="2">
        <v>400</v>
      </c>
      <c r="F186" s="2" t="s">
        <v>18</v>
      </c>
      <c r="G186" s="2" t="s">
        <v>80</v>
      </c>
      <c r="H186" s="2" t="s">
        <v>81</v>
      </c>
      <c r="I186" s="2" t="s">
        <v>82</v>
      </c>
      <c r="J186" s="2" t="s">
        <v>38</v>
      </c>
      <c r="K186" s="2" t="s">
        <v>83</v>
      </c>
      <c r="L186" s="2" t="s">
        <v>24</v>
      </c>
      <c r="M186" s="2">
        <v>0</v>
      </c>
      <c r="N186" s="2" t="str">
        <f>VLOOKUP(A186, zcorin_converter!A:L, 12, FALSE)</f>
        <v>Bag in Box</v>
      </c>
      <c r="O186" s="2">
        <v>0</v>
      </c>
      <c r="P186" s="2" t="s">
        <v>25</v>
      </c>
    </row>
    <row r="187" spans="1:16">
      <c r="A187" s="11" t="s">
        <v>462</v>
      </c>
      <c r="B187" s="2" t="s">
        <v>463</v>
      </c>
      <c r="C187" s="2">
        <v>24</v>
      </c>
      <c r="D187" s="2">
        <f t="shared" si="12"/>
        <v>9.6</v>
      </c>
      <c r="E187" s="2">
        <v>400</v>
      </c>
      <c r="F187" s="2" t="s">
        <v>18</v>
      </c>
      <c r="G187" s="2" t="s">
        <v>80</v>
      </c>
      <c r="H187" s="2" t="s">
        <v>92</v>
      </c>
      <c r="I187" s="2" t="s">
        <v>93</v>
      </c>
      <c r="J187" s="2" t="s">
        <v>42</v>
      </c>
      <c r="K187" s="2" t="s">
        <v>83</v>
      </c>
      <c r="L187" s="2" t="s">
        <v>24</v>
      </c>
      <c r="M187" s="2">
        <v>0</v>
      </c>
      <c r="N187" s="2" t="str">
        <f>VLOOKUP(A187, zcorin_converter!A:L, 12, FALSE)</f>
        <v>Bag in Box</v>
      </c>
      <c r="O187" s="2">
        <v>0</v>
      </c>
      <c r="P187" s="2" t="s">
        <v>25</v>
      </c>
    </row>
    <row r="188" spans="1:16">
      <c r="A188" s="11" t="s">
        <v>464</v>
      </c>
      <c r="B188" s="2" t="s">
        <v>465</v>
      </c>
      <c r="C188" s="2">
        <v>6</v>
      </c>
      <c r="D188" s="2">
        <f t="shared" si="12"/>
        <v>10.8</v>
      </c>
      <c r="E188" s="2">
        <v>1800</v>
      </c>
      <c r="F188" s="2" t="s">
        <v>18</v>
      </c>
      <c r="G188" s="2" t="s">
        <v>80</v>
      </c>
      <c r="H188" s="2" t="s">
        <v>81</v>
      </c>
      <c r="I188" s="2" t="s">
        <v>82</v>
      </c>
      <c r="J188" s="2" t="s">
        <v>38</v>
      </c>
      <c r="K188" s="2" t="s">
        <v>83</v>
      </c>
      <c r="L188" s="2" t="s">
        <v>24</v>
      </c>
      <c r="M188" s="2">
        <v>0</v>
      </c>
      <c r="N188" s="2" t="str">
        <f>VLOOKUP(A188, zcorin_converter!A:L, 12, FALSE)</f>
        <v>Bag in Box</v>
      </c>
      <c r="O188" s="2">
        <v>0</v>
      </c>
      <c r="P188" s="2" t="s">
        <v>25</v>
      </c>
    </row>
    <row r="189" spans="1:16">
      <c r="A189" s="11" t="s">
        <v>466</v>
      </c>
      <c r="B189" s="2" t="s">
        <v>467</v>
      </c>
      <c r="C189" s="2">
        <v>6</v>
      </c>
      <c r="D189" s="2">
        <f t="shared" si="12"/>
        <v>10.8</v>
      </c>
      <c r="E189" s="2">
        <v>1800</v>
      </c>
      <c r="F189" s="2" t="s">
        <v>18</v>
      </c>
      <c r="G189" s="2" t="s">
        <v>80</v>
      </c>
      <c r="H189" s="2" t="s">
        <v>92</v>
      </c>
      <c r="I189" s="2" t="s">
        <v>93</v>
      </c>
      <c r="J189" s="2" t="s">
        <v>42</v>
      </c>
      <c r="K189" s="2" t="s">
        <v>83</v>
      </c>
      <c r="L189" s="2" t="s">
        <v>24</v>
      </c>
      <c r="M189" s="2">
        <v>0</v>
      </c>
      <c r="N189" s="2" t="str">
        <f>VLOOKUP(A189, zcorin_converter!A:L, 12, FALSE)</f>
        <v>Bag in Box</v>
      </c>
      <c r="O189" s="2">
        <v>0</v>
      </c>
      <c r="P189" s="2" t="s">
        <v>25</v>
      </c>
    </row>
    <row r="190" spans="1:16">
      <c r="A190" s="11" t="s">
        <v>468</v>
      </c>
      <c r="B190" s="2" t="s">
        <v>469</v>
      </c>
      <c r="C190" s="2">
        <v>12</v>
      </c>
      <c r="D190" s="2">
        <f t="shared" si="12"/>
        <v>9.6</v>
      </c>
      <c r="E190" s="2">
        <v>800</v>
      </c>
      <c r="F190" s="2" t="s">
        <v>18</v>
      </c>
      <c r="G190" s="2" t="s">
        <v>80</v>
      </c>
      <c r="H190" s="2" t="s">
        <v>81</v>
      </c>
      <c r="I190" s="2" t="s">
        <v>82</v>
      </c>
      <c r="J190" s="2" t="s">
        <v>38</v>
      </c>
      <c r="K190" s="2" t="s">
        <v>83</v>
      </c>
      <c r="L190" s="2" t="s">
        <v>24</v>
      </c>
      <c r="M190" s="2">
        <v>0</v>
      </c>
      <c r="N190" s="2" t="str">
        <f>VLOOKUP(A190, zcorin_converter!A:L, 12, FALSE)</f>
        <v>Canning</v>
      </c>
      <c r="O190" s="2">
        <v>0</v>
      </c>
      <c r="P190" s="2" t="s">
        <v>25</v>
      </c>
    </row>
    <row r="191" spans="1:16">
      <c r="A191" s="11" t="s">
        <v>470</v>
      </c>
      <c r="B191" s="2" t="s">
        <v>471</v>
      </c>
      <c r="C191" s="2">
        <v>12</v>
      </c>
      <c r="D191" s="2">
        <f t="shared" si="12"/>
        <v>9.6</v>
      </c>
      <c r="E191" s="2">
        <v>800</v>
      </c>
      <c r="F191" s="2" t="s">
        <v>18</v>
      </c>
      <c r="G191" s="2" t="s">
        <v>80</v>
      </c>
      <c r="H191" s="2" t="s">
        <v>92</v>
      </c>
      <c r="I191" s="2" t="s">
        <v>93</v>
      </c>
      <c r="J191" s="2" t="s">
        <v>42</v>
      </c>
      <c r="K191" s="2" t="s">
        <v>83</v>
      </c>
      <c r="L191" s="2" t="s">
        <v>24</v>
      </c>
      <c r="M191" s="2">
        <v>0</v>
      </c>
      <c r="N191" s="2" t="str">
        <f>VLOOKUP(A191, zcorin_converter!A:L, 12, FALSE)</f>
        <v>Canning</v>
      </c>
      <c r="O191" s="2">
        <v>0</v>
      </c>
      <c r="P191" s="2" t="s">
        <v>25</v>
      </c>
    </row>
    <row r="192" spans="1:16">
      <c r="A192" s="11" t="s">
        <v>472</v>
      </c>
      <c r="B192" s="2" t="s">
        <v>473</v>
      </c>
      <c r="C192" s="2">
        <v>24</v>
      </c>
      <c r="D192" s="2">
        <f t="shared" si="12"/>
        <v>3.84</v>
      </c>
      <c r="E192" s="2">
        <v>160</v>
      </c>
      <c r="F192" s="2" t="s">
        <v>18</v>
      </c>
      <c r="G192" s="2" t="s">
        <v>80</v>
      </c>
      <c r="H192" s="2" t="s">
        <v>189</v>
      </c>
      <c r="I192" s="2" t="s">
        <v>190</v>
      </c>
      <c r="J192" s="2" t="s">
        <v>38</v>
      </c>
      <c r="K192" s="2" t="s">
        <v>83</v>
      </c>
      <c r="L192" s="2" t="s">
        <v>24</v>
      </c>
      <c r="M192" s="2">
        <v>0</v>
      </c>
      <c r="N192" s="2" t="str">
        <f>VLOOKUP(A192, zcorin_converter!A:L, 12, FALSE)</f>
        <v>Bag in Box</v>
      </c>
      <c r="O192" s="2">
        <v>0</v>
      </c>
      <c r="P192" s="2" t="s">
        <v>25</v>
      </c>
    </row>
    <row r="193" spans="1:16">
      <c r="A193" s="11" t="s">
        <v>474</v>
      </c>
      <c r="B193" s="2" t="s">
        <v>475</v>
      </c>
      <c r="C193" s="2">
        <v>24</v>
      </c>
      <c r="D193" s="2">
        <f t="shared" si="12"/>
        <v>8.64</v>
      </c>
      <c r="E193" s="2">
        <v>360</v>
      </c>
      <c r="F193" s="2" t="s">
        <v>18</v>
      </c>
      <c r="G193" s="2" t="s">
        <v>80</v>
      </c>
      <c r="H193" s="2" t="s">
        <v>189</v>
      </c>
      <c r="I193" s="2" t="s">
        <v>190</v>
      </c>
      <c r="J193" s="2" t="s">
        <v>38</v>
      </c>
      <c r="K193" s="2" t="s">
        <v>83</v>
      </c>
      <c r="L193" s="2" t="s">
        <v>24</v>
      </c>
      <c r="M193" s="2">
        <v>0</v>
      </c>
      <c r="N193" s="2" t="str">
        <f>VLOOKUP(A193, zcorin_converter!A:L, 12, FALSE)</f>
        <v>Bag in Box</v>
      </c>
      <c r="O193" s="2">
        <v>0</v>
      </c>
      <c r="P193" s="2" t="s">
        <v>25</v>
      </c>
    </row>
    <row r="194" spans="1:16">
      <c r="A194" s="11" t="s">
        <v>476</v>
      </c>
      <c r="B194" s="2" t="s">
        <v>477</v>
      </c>
      <c r="C194" s="2">
        <v>10</v>
      </c>
      <c r="D194" s="2">
        <f t="shared" si="12"/>
        <v>7</v>
      </c>
      <c r="E194" s="2">
        <v>700</v>
      </c>
      <c r="F194" s="2" t="s">
        <v>18</v>
      </c>
      <c r="G194" s="2" t="s">
        <v>80</v>
      </c>
      <c r="H194" s="2" t="s">
        <v>189</v>
      </c>
      <c r="I194" s="2" t="s">
        <v>190</v>
      </c>
      <c r="J194" s="2" t="s">
        <v>38</v>
      </c>
      <c r="K194" s="2" t="s">
        <v>83</v>
      </c>
      <c r="L194" s="2" t="s">
        <v>24</v>
      </c>
      <c r="M194" s="2">
        <v>0</v>
      </c>
      <c r="N194" s="2" t="str">
        <f>VLOOKUP(A194, zcorin_converter!A:L, 12, FALSE)</f>
        <v>Bag in Box</v>
      </c>
      <c r="O194" s="2">
        <v>0</v>
      </c>
      <c r="P194" s="2" t="s">
        <v>25</v>
      </c>
    </row>
    <row r="195" spans="1:16">
      <c r="A195" s="11" t="s">
        <v>478</v>
      </c>
      <c r="B195" s="2" t="s">
        <v>479</v>
      </c>
      <c r="C195" s="2">
        <v>12</v>
      </c>
      <c r="D195" s="2">
        <f>C195*E195/1000</f>
        <v>4.8</v>
      </c>
      <c r="E195" s="2">
        <v>400</v>
      </c>
      <c r="F195" s="2" t="s">
        <v>50</v>
      </c>
      <c r="G195" s="2" t="s">
        <v>29</v>
      </c>
      <c r="H195" s="2" t="s">
        <v>29</v>
      </c>
      <c r="I195" s="2" t="s">
        <v>21</v>
      </c>
      <c r="J195" s="2" t="s">
        <v>22</v>
      </c>
      <c r="K195" s="2" t="s">
        <v>29</v>
      </c>
      <c r="L195" s="2" t="s">
        <v>24</v>
      </c>
      <c r="M195" s="2">
        <v>0</v>
      </c>
      <c r="N195" s="2" t="str">
        <f>VLOOKUP(A195, zcorin_converter!A:L, 12, FALSE)</f>
        <v>Bag in Box</v>
      </c>
      <c r="O195" s="2">
        <v>0</v>
      </c>
      <c r="P195" s="2" t="s">
        <v>25</v>
      </c>
    </row>
    <row r="196" spans="1:16">
      <c r="A196" s="12" t="s">
        <v>480</v>
      </c>
      <c r="B196" s="2" t="s">
        <v>481</v>
      </c>
      <c r="C196" s="2">
        <v>6</v>
      </c>
      <c r="D196" s="2">
        <f>E196*C196/1000</f>
        <v>2.4</v>
      </c>
      <c r="E196" s="2">
        <v>400</v>
      </c>
      <c r="F196" s="2" t="s">
        <v>140</v>
      </c>
      <c r="G196" s="2" t="s">
        <v>29</v>
      </c>
      <c r="H196" s="2" t="s">
        <v>29</v>
      </c>
      <c r="I196" s="2" t="s">
        <v>355</v>
      </c>
      <c r="J196" s="2" t="s">
        <v>22</v>
      </c>
      <c r="K196" s="2" t="s">
        <v>29</v>
      </c>
      <c r="L196" s="2" t="s">
        <v>24</v>
      </c>
      <c r="M196" s="2">
        <v>0</v>
      </c>
      <c r="N196" s="2" t="str">
        <f>VLOOKUP(A196, zcorin_converter!A:L, 12, FALSE)</f>
        <v>Canning</v>
      </c>
      <c r="O196" s="2">
        <v>0</v>
      </c>
      <c r="P196" s="2" t="s">
        <v>25</v>
      </c>
    </row>
    <row r="197" spans="1:16">
      <c r="A197" s="11" t="s">
        <v>482</v>
      </c>
      <c r="B197" s="2" t="s">
        <v>483</v>
      </c>
      <c r="C197" s="2">
        <v>24</v>
      </c>
      <c r="D197" s="2">
        <f t="shared" ref="D197:D208" si="13">C197*E197/1000</f>
        <v>9.6</v>
      </c>
      <c r="E197" s="2">
        <v>400</v>
      </c>
      <c r="F197" s="2" t="s">
        <v>28</v>
      </c>
      <c r="G197" s="2" t="s">
        <v>29</v>
      </c>
      <c r="H197" s="2" t="s">
        <v>29</v>
      </c>
      <c r="I197" s="2" t="s">
        <v>51</v>
      </c>
      <c r="J197" s="2" t="s">
        <v>22</v>
      </c>
      <c r="K197" s="2" t="s">
        <v>29</v>
      </c>
      <c r="L197" s="2" t="s">
        <v>24</v>
      </c>
      <c r="M197" s="2">
        <v>0</v>
      </c>
      <c r="N197" s="2" t="str">
        <f>VLOOKUP(A197, zcorin_converter!A:L, 12, FALSE)</f>
        <v>Bag in Box</v>
      </c>
      <c r="O197" s="2">
        <v>0</v>
      </c>
      <c r="P197" s="2" t="s">
        <v>25</v>
      </c>
    </row>
    <row r="198" spans="1:16">
      <c r="A198" s="11" t="s">
        <v>484</v>
      </c>
      <c r="B198" s="2" t="s">
        <v>485</v>
      </c>
      <c r="C198" s="2">
        <v>24</v>
      </c>
      <c r="D198" s="2">
        <f t="shared" si="13"/>
        <v>9.6</v>
      </c>
      <c r="E198" s="2">
        <v>400</v>
      </c>
      <c r="F198" s="2" t="s">
        <v>28</v>
      </c>
      <c r="G198" s="2" t="s">
        <v>29</v>
      </c>
      <c r="H198" s="2" t="s">
        <v>29</v>
      </c>
      <c r="I198" s="2" t="s">
        <v>56</v>
      </c>
      <c r="J198" s="2" t="s">
        <v>22</v>
      </c>
      <c r="K198" s="2" t="s">
        <v>29</v>
      </c>
      <c r="L198" s="2" t="s">
        <v>24</v>
      </c>
      <c r="M198" s="2">
        <v>0</v>
      </c>
      <c r="N198" s="2" t="str">
        <f>VLOOKUP(A198, zcorin_converter!A:L, 12, FALSE)</f>
        <v>Bag in Box</v>
      </c>
      <c r="O198" s="2">
        <v>0</v>
      </c>
      <c r="P198" s="2" t="s">
        <v>25</v>
      </c>
    </row>
    <row r="199" spans="1:16">
      <c r="A199" s="11" t="s">
        <v>486</v>
      </c>
      <c r="B199" s="2" t="s">
        <v>487</v>
      </c>
      <c r="C199" s="2">
        <v>24</v>
      </c>
      <c r="D199" s="2">
        <f t="shared" si="13"/>
        <v>9.6</v>
      </c>
      <c r="E199" s="2">
        <v>400</v>
      </c>
      <c r="F199" s="2" t="s">
        <v>140</v>
      </c>
      <c r="G199" s="2" t="s">
        <v>29</v>
      </c>
      <c r="H199" s="2" t="s">
        <v>29</v>
      </c>
      <c r="I199" s="2" t="s">
        <v>156</v>
      </c>
      <c r="J199" s="2" t="s">
        <v>156</v>
      </c>
      <c r="K199" s="2" t="s">
        <v>29</v>
      </c>
      <c r="L199" s="2" t="s">
        <v>47</v>
      </c>
      <c r="M199" s="2">
        <f>2400/24</f>
        <v>100</v>
      </c>
      <c r="N199" s="2" t="str">
        <f>VLOOKUP(A199, zcorin_converter!A:L, 12, FALSE)</f>
        <v>Bag in Box</v>
      </c>
      <c r="O199" s="2" t="s">
        <v>205</v>
      </c>
      <c r="P199" s="2" t="s">
        <v>25</v>
      </c>
    </row>
    <row r="200" spans="1:16">
      <c r="A200" s="11" t="s">
        <v>488</v>
      </c>
      <c r="B200" s="2" t="s">
        <v>489</v>
      </c>
      <c r="C200" s="2">
        <v>24</v>
      </c>
      <c r="D200" s="2">
        <f t="shared" si="13"/>
        <v>9.6</v>
      </c>
      <c r="E200" s="2">
        <v>400</v>
      </c>
      <c r="F200" s="2" t="s">
        <v>140</v>
      </c>
      <c r="G200" s="2" t="s">
        <v>29</v>
      </c>
      <c r="H200" s="2" t="s">
        <v>29</v>
      </c>
      <c r="I200" s="2" t="s">
        <v>156</v>
      </c>
      <c r="J200" s="2" t="s">
        <v>156</v>
      </c>
      <c r="K200" s="2" t="s">
        <v>29</v>
      </c>
      <c r="L200" s="2" t="s">
        <v>47</v>
      </c>
      <c r="M200" s="2">
        <f>2400/24</f>
        <v>100</v>
      </c>
      <c r="N200" s="2" t="str">
        <f>VLOOKUP(A200, zcorin_converter!A:L, 12, FALSE)</f>
        <v>Bag in Box</v>
      </c>
      <c r="O200" s="2" t="s">
        <v>205</v>
      </c>
      <c r="P200" s="2" t="s">
        <v>25</v>
      </c>
    </row>
    <row r="201" spans="1:16">
      <c r="A201" s="11" t="s">
        <v>490</v>
      </c>
      <c r="B201" s="2" t="s">
        <v>491</v>
      </c>
      <c r="C201" s="2">
        <v>24</v>
      </c>
      <c r="D201" s="2">
        <f t="shared" si="13"/>
        <v>9.6</v>
      </c>
      <c r="E201" s="2">
        <v>400</v>
      </c>
      <c r="F201" s="2" t="s">
        <v>140</v>
      </c>
      <c r="G201" s="2" t="s">
        <v>29</v>
      </c>
      <c r="H201" s="2" t="s">
        <v>29</v>
      </c>
      <c r="I201" s="2" t="s">
        <v>38</v>
      </c>
      <c r="J201" s="2" t="s">
        <v>38</v>
      </c>
      <c r="K201" s="2" t="s">
        <v>29</v>
      </c>
      <c r="L201" s="2" t="s">
        <v>24</v>
      </c>
      <c r="M201" s="2">
        <v>0</v>
      </c>
      <c r="N201" s="2" t="str">
        <f>VLOOKUP(A201, zcorin_converter!A:L, 12, FALSE)</f>
        <v>Bag in Box</v>
      </c>
      <c r="O201" s="2">
        <v>0</v>
      </c>
      <c r="P201" s="2" t="s">
        <v>25</v>
      </c>
    </row>
    <row r="202" spans="1:16">
      <c r="A202" s="11" t="s">
        <v>492</v>
      </c>
      <c r="B202" s="2" t="s">
        <v>493</v>
      </c>
      <c r="C202" s="2">
        <v>24</v>
      </c>
      <c r="D202" s="2">
        <f t="shared" si="13"/>
        <v>9.6</v>
      </c>
      <c r="E202" s="2">
        <v>400</v>
      </c>
      <c r="F202" s="2" t="s">
        <v>140</v>
      </c>
      <c r="G202" s="2" t="s">
        <v>29</v>
      </c>
      <c r="H202" s="2" t="s">
        <v>29</v>
      </c>
      <c r="I202" s="2" t="s">
        <v>42</v>
      </c>
      <c r="J202" s="2" t="s">
        <v>42</v>
      </c>
      <c r="K202" s="2" t="s">
        <v>29</v>
      </c>
      <c r="L202" s="2" t="s">
        <v>24</v>
      </c>
      <c r="M202" s="2">
        <v>0</v>
      </c>
      <c r="N202" s="2" t="str">
        <f>VLOOKUP(A202, zcorin_converter!A:L, 12, FALSE)</f>
        <v>Bag in Box</v>
      </c>
      <c r="O202" s="2">
        <v>0</v>
      </c>
      <c r="P202" s="2" t="s">
        <v>25</v>
      </c>
    </row>
    <row r="203" spans="1:16">
      <c r="A203" s="11" t="s">
        <v>494</v>
      </c>
      <c r="B203" s="2" t="s">
        <v>495</v>
      </c>
      <c r="C203" s="2">
        <v>24</v>
      </c>
      <c r="D203" s="2">
        <f t="shared" si="13"/>
        <v>4.8</v>
      </c>
      <c r="E203" s="2">
        <v>200</v>
      </c>
      <c r="F203" s="2" t="s">
        <v>140</v>
      </c>
      <c r="G203" s="2" t="s">
        <v>29</v>
      </c>
      <c r="H203" s="2" t="s">
        <v>29</v>
      </c>
      <c r="I203" s="2" t="s">
        <v>38</v>
      </c>
      <c r="J203" s="2" t="s">
        <v>38</v>
      </c>
      <c r="K203" s="2" t="s">
        <v>29</v>
      </c>
      <c r="L203" s="2" t="s">
        <v>24</v>
      </c>
      <c r="M203" s="2">
        <v>0</v>
      </c>
      <c r="N203" s="2" t="str">
        <f>VLOOKUP(A203, zcorin_converter!A:L, 12, FALSE)</f>
        <v>Bag in Box</v>
      </c>
      <c r="O203" s="2">
        <v>0</v>
      </c>
      <c r="P203" s="2" t="s">
        <v>25</v>
      </c>
    </row>
    <row r="204" spans="1:16">
      <c r="A204" s="11" t="s">
        <v>496</v>
      </c>
      <c r="B204" s="2" t="s">
        <v>497</v>
      </c>
      <c r="C204" s="2">
        <v>24</v>
      </c>
      <c r="D204" s="2">
        <f t="shared" si="13"/>
        <v>4.8</v>
      </c>
      <c r="E204" s="2">
        <v>200</v>
      </c>
      <c r="F204" s="2" t="s">
        <v>140</v>
      </c>
      <c r="G204" s="2" t="s">
        <v>29</v>
      </c>
      <c r="H204" s="2" t="s">
        <v>29</v>
      </c>
      <c r="I204" s="2" t="s">
        <v>42</v>
      </c>
      <c r="J204" s="2" t="s">
        <v>42</v>
      </c>
      <c r="K204" s="2" t="s">
        <v>29</v>
      </c>
      <c r="L204" s="2" t="s">
        <v>24</v>
      </c>
      <c r="M204" s="2">
        <v>0</v>
      </c>
      <c r="N204" s="2" t="str">
        <f>VLOOKUP(A204, zcorin_converter!A:L, 12, FALSE)</f>
        <v>Bag in Box</v>
      </c>
      <c r="O204" s="2">
        <v>0</v>
      </c>
      <c r="P204" s="2" t="s">
        <v>25</v>
      </c>
    </row>
    <row r="205" spans="1:16">
      <c r="A205" s="11" t="s">
        <v>498</v>
      </c>
      <c r="B205" s="2" t="s">
        <v>499</v>
      </c>
      <c r="C205" s="2">
        <v>24</v>
      </c>
      <c r="D205" s="2">
        <f t="shared" si="13"/>
        <v>9.6</v>
      </c>
      <c r="E205" s="2">
        <v>400</v>
      </c>
      <c r="F205" s="2" t="s">
        <v>28</v>
      </c>
      <c r="G205" s="2" t="s">
        <v>29</v>
      </c>
      <c r="H205" s="2" t="s">
        <v>29</v>
      </c>
      <c r="I205" s="2" t="s">
        <v>30</v>
      </c>
      <c r="J205" s="2" t="s">
        <v>22</v>
      </c>
      <c r="K205" s="2" t="s">
        <v>29</v>
      </c>
      <c r="L205" s="2" t="s">
        <v>24</v>
      </c>
      <c r="M205" s="2">
        <v>0</v>
      </c>
      <c r="N205" s="2" t="str">
        <f>VLOOKUP(A205, zcorin_converter!A:L, 12, FALSE)</f>
        <v>Canning</v>
      </c>
      <c r="O205" s="2">
        <v>0</v>
      </c>
      <c r="P205" s="2" t="s">
        <v>25</v>
      </c>
    </row>
    <row r="206" spans="1:16">
      <c r="A206" s="11" t="s">
        <v>500</v>
      </c>
      <c r="B206" s="2" t="s">
        <v>501</v>
      </c>
      <c r="C206" s="2">
        <v>24</v>
      </c>
      <c r="D206" s="2">
        <f t="shared" si="13"/>
        <v>9.6</v>
      </c>
      <c r="E206" s="2">
        <v>400</v>
      </c>
      <c r="F206" s="2" t="s">
        <v>502</v>
      </c>
      <c r="G206" s="2" t="s">
        <v>29</v>
      </c>
      <c r="H206" s="2" t="s">
        <v>29</v>
      </c>
      <c r="I206" s="2" t="s">
        <v>62</v>
      </c>
      <c r="J206" s="2" t="s">
        <v>22</v>
      </c>
      <c r="K206" s="2" t="s">
        <v>29</v>
      </c>
      <c r="L206" s="2" t="s">
        <v>24</v>
      </c>
      <c r="M206" s="2">
        <v>0</v>
      </c>
      <c r="N206" s="2" t="str">
        <f>VLOOKUP(A206, zcorin_converter!A:L, 12, FALSE)</f>
        <v>Canning</v>
      </c>
      <c r="O206" s="2">
        <v>0</v>
      </c>
      <c r="P206" s="2" t="s">
        <v>25</v>
      </c>
    </row>
    <row r="207" spans="1:16">
      <c r="A207" s="11" t="s">
        <v>503</v>
      </c>
      <c r="B207" s="2" t="s">
        <v>504</v>
      </c>
      <c r="C207" s="2">
        <v>24</v>
      </c>
      <c r="D207" s="2">
        <f t="shared" si="13"/>
        <v>9.6</v>
      </c>
      <c r="E207" s="2">
        <v>400</v>
      </c>
      <c r="F207" s="2" t="s">
        <v>502</v>
      </c>
      <c r="G207" s="2" t="s">
        <v>29</v>
      </c>
      <c r="H207" s="2" t="s">
        <v>29</v>
      </c>
      <c r="I207" s="2" t="s">
        <v>56</v>
      </c>
      <c r="J207" s="2" t="s">
        <v>22</v>
      </c>
      <c r="K207" s="2" t="s">
        <v>29</v>
      </c>
      <c r="L207" s="2" t="s">
        <v>24</v>
      </c>
      <c r="M207" s="2">
        <v>0</v>
      </c>
      <c r="N207" s="2" t="str">
        <f>VLOOKUP(A207, zcorin_converter!A:L, 12, FALSE)</f>
        <v>Canning</v>
      </c>
      <c r="O207" s="2">
        <v>0</v>
      </c>
      <c r="P207" s="2" t="s">
        <v>25</v>
      </c>
    </row>
    <row r="208" spans="1:16">
      <c r="A208" s="11" t="s">
        <v>505</v>
      </c>
      <c r="B208" s="2" t="s">
        <v>506</v>
      </c>
      <c r="C208" s="2">
        <v>24</v>
      </c>
      <c r="D208" s="2">
        <f t="shared" si="13"/>
        <v>9.6</v>
      </c>
      <c r="E208" s="2">
        <v>400</v>
      </c>
      <c r="F208" s="2" t="s">
        <v>147</v>
      </c>
      <c r="G208" s="2" t="s">
        <v>29</v>
      </c>
      <c r="H208" s="2" t="s">
        <v>29</v>
      </c>
      <c r="I208" s="2" t="s">
        <v>21</v>
      </c>
      <c r="J208" s="2" t="s">
        <v>22</v>
      </c>
      <c r="K208" s="2" t="s">
        <v>29</v>
      </c>
      <c r="L208" s="2" t="s">
        <v>24</v>
      </c>
      <c r="M208" s="2">
        <v>0</v>
      </c>
      <c r="N208" s="2" t="str">
        <f>VLOOKUP(A208, zcorin_converter!A:L, 12, FALSE)</f>
        <v>Canning</v>
      </c>
      <c r="O208" s="2">
        <v>0</v>
      </c>
      <c r="P208" s="2" t="s">
        <v>25</v>
      </c>
    </row>
    <row r="209" spans="1:16">
      <c r="A209" s="11" t="s">
        <v>507</v>
      </c>
      <c r="B209" s="2" t="s">
        <v>508</v>
      </c>
      <c r="C209" s="2">
        <v>12</v>
      </c>
      <c r="D209" s="2">
        <f t="shared" ref="D209:D214" si="14">E209*C209/1000</f>
        <v>9.6</v>
      </c>
      <c r="E209" s="2">
        <v>800</v>
      </c>
      <c r="F209" s="2" t="s">
        <v>18</v>
      </c>
      <c r="G209" s="2" t="s">
        <v>19</v>
      </c>
      <c r="H209" s="2" t="s">
        <v>167</v>
      </c>
      <c r="I209" s="2" t="s">
        <v>156</v>
      </c>
      <c r="J209" s="2" t="s">
        <v>156</v>
      </c>
      <c r="K209" s="2" t="s">
        <v>23</v>
      </c>
      <c r="L209" s="2" t="s">
        <v>24</v>
      </c>
      <c r="M209" s="2">
        <v>0</v>
      </c>
      <c r="N209" s="2" t="str">
        <f>VLOOKUP(A209, zcorin_converter!A:L, 12, FALSE)</f>
        <v>Canning</v>
      </c>
      <c r="O209" s="2">
        <v>0</v>
      </c>
      <c r="P209" s="2" t="s">
        <v>25</v>
      </c>
    </row>
    <row r="210" spans="1:16">
      <c r="A210" s="11" t="s">
        <v>509</v>
      </c>
      <c r="B210" s="2" t="s">
        <v>510</v>
      </c>
      <c r="C210" s="2">
        <v>12</v>
      </c>
      <c r="D210" s="2">
        <f t="shared" si="14"/>
        <v>9.6</v>
      </c>
      <c r="E210" s="2">
        <v>800</v>
      </c>
      <c r="F210" s="2" t="s">
        <v>18</v>
      </c>
      <c r="G210" s="2" t="s">
        <v>19</v>
      </c>
      <c r="H210" s="2" t="s">
        <v>167</v>
      </c>
      <c r="I210" s="2" t="s">
        <v>156</v>
      </c>
      <c r="J210" s="2" t="s">
        <v>156</v>
      </c>
      <c r="K210" s="2" t="s">
        <v>23</v>
      </c>
      <c r="L210" s="2" t="s">
        <v>24</v>
      </c>
      <c r="M210" s="2">
        <v>0</v>
      </c>
      <c r="N210" s="2" t="str">
        <f>VLOOKUP(A210, zcorin_converter!A:L, 12, FALSE)</f>
        <v>Canning</v>
      </c>
      <c r="O210" s="2">
        <v>0</v>
      </c>
      <c r="P210" s="2" t="s">
        <v>25</v>
      </c>
    </row>
    <row r="211" spans="1:16">
      <c r="A211" s="11" t="s">
        <v>511</v>
      </c>
      <c r="B211" s="2" t="s">
        <v>512</v>
      </c>
      <c r="C211" s="2">
        <v>24</v>
      </c>
      <c r="D211" s="2">
        <f t="shared" si="14"/>
        <v>9.6</v>
      </c>
      <c r="E211" s="2">
        <v>400</v>
      </c>
      <c r="F211" s="2" t="s">
        <v>18</v>
      </c>
      <c r="G211" s="2" t="s">
        <v>19</v>
      </c>
      <c r="H211" s="2" t="s">
        <v>167</v>
      </c>
      <c r="I211" s="2" t="s">
        <v>156</v>
      </c>
      <c r="J211" s="2" t="s">
        <v>156</v>
      </c>
      <c r="K211" s="2" t="s">
        <v>23</v>
      </c>
      <c r="L211" s="2" t="s">
        <v>47</v>
      </c>
      <c r="M211" s="2">
        <f>2400/24</f>
        <v>100</v>
      </c>
      <c r="N211" s="2" t="str">
        <f>VLOOKUP(A211, zcorin_converter!A:L, 12, FALSE)</f>
        <v>Bag in Box</v>
      </c>
      <c r="O211" s="2" t="s">
        <v>205</v>
      </c>
      <c r="P211" s="2" t="s">
        <v>25</v>
      </c>
    </row>
    <row r="212" spans="1:16">
      <c r="A212" s="11" t="s">
        <v>513</v>
      </c>
      <c r="B212" s="2" t="s">
        <v>514</v>
      </c>
      <c r="C212" s="2">
        <v>24</v>
      </c>
      <c r="D212" s="2">
        <f t="shared" si="14"/>
        <v>9.6</v>
      </c>
      <c r="E212" s="2">
        <v>400</v>
      </c>
      <c r="F212" s="2" t="s">
        <v>18</v>
      </c>
      <c r="G212" s="2" t="s">
        <v>19</v>
      </c>
      <c r="H212" s="2" t="s">
        <v>167</v>
      </c>
      <c r="I212" s="2" t="s">
        <v>156</v>
      </c>
      <c r="J212" s="2" t="s">
        <v>156</v>
      </c>
      <c r="K212" s="2" t="s">
        <v>23</v>
      </c>
      <c r="L212" s="2" t="s">
        <v>47</v>
      </c>
      <c r="M212" s="2">
        <v>100</v>
      </c>
      <c r="N212" s="2" t="str">
        <f>VLOOKUP(A212, zcorin_converter!A:L, 12, FALSE)</f>
        <v>Bag in Box</v>
      </c>
      <c r="O212" s="2" t="s">
        <v>205</v>
      </c>
      <c r="P212" s="2" t="s">
        <v>25</v>
      </c>
    </row>
    <row r="213" spans="1:16">
      <c r="A213" s="11" t="s">
        <v>515</v>
      </c>
      <c r="B213" s="2" t="s">
        <v>516</v>
      </c>
      <c r="C213" s="2">
        <v>6</v>
      </c>
      <c r="D213" s="2">
        <f t="shared" si="14"/>
        <v>10.8</v>
      </c>
      <c r="E213" s="2">
        <v>1800</v>
      </c>
      <c r="F213" s="2" t="s">
        <v>18</v>
      </c>
      <c r="G213" s="2" t="s">
        <v>19</v>
      </c>
      <c r="H213" s="2" t="s">
        <v>167</v>
      </c>
      <c r="I213" s="2" t="s">
        <v>156</v>
      </c>
      <c r="J213" s="2" t="s">
        <v>156</v>
      </c>
      <c r="K213" s="2" t="s">
        <v>23</v>
      </c>
      <c r="L213" s="2" t="s">
        <v>47</v>
      </c>
      <c r="M213" s="2">
        <f>3000/24</f>
        <v>125</v>
      </c>
      <c r="N213" s="2" t="str">
        <f>VLOOKUP(A213, zcorin_converter!A:L, 12, FALSE)</f>
        <v>Bag in Box</v>
      </c>
      <c r="O213" s="2" t="s">
        <v>216</v>
      </c>
      <c r="P213" s="2" t="s">
        <v>25</v>
      </c>
    </row>
    <row r="214" spans="1:16">
      <c r="A214" s="11" t="s">
        <v>517</v>
      </c>
      <c r="B214" s="2" t="s">
        <v>518</v>
      </c>
      <c r="C214" s="2">
        <v>6</v>
      </c>
      <c r="D214" s="2">
        <f t="shared" si="14"/>
        <v>10.8</v>
      </c>
      <c r="E214" s="2">
        <v>1800</v>
      </c>
      <c r="F214" s="2" t="s">
        <v>18</v>
      </c>
      <c r="G214" s="2" t="s">
        <v>19</v>
      </c>
      <c r="H214" s="2" t="s">
        <v>167</v>
      </c>
      <c r="I214" s="2" t="s">
        <v>156</v>
      </c>
      <c r="J214" s="2" t="s">
        <v>156</v>
      </c>
      <c r="K214" s="2" t="s">
        <v>23</v>
      </c>
      <c r="L214" s="2" t="s">
        <v>47</v>
      </c>
      <c r="M214" s="2">
        <f>3000/24</f>
        <v>125</v>
      </c>
      <c r="N214" s="2" t="str">
        <f>VLOOKUP(A214, zcorin_converter!A:L, 12, FALSE)</f>
        <v>Bag in Box</v>
      </c>
      <c r="O214" s="2" t="s">
        <v>216</v>
      </c>
      <c r="P214" s="2" t="s">
        <v>25</v>
      </c>
    </row>
    <row r="215" spans="1:16">
      <c r="A215" s="11" t="s">
        <v>519</v>
      </c>
      <c r="B215" s="2" t="s">
        <v>520</v>
      </c>
      <c r="C215" s="2">
        <v>10</v>
      </c>
      <c r="D215" s="2">
        <f>E215*C215/1000</f>
        <v>8</v>
      </c>
      <c r="E215" s="2">
        <v>800</v>
      </c>
      <c r="F215" s="2" t="s">
        <v>18</v>
      </c>
      <c r="G215" s="2" t="s">
        <v>19</v>
      </c>
      <c r="H215" s="2" t="s">
        <v>41</v>
      </c>
      <c r="I215" s="2" t="s">
        <v>42</v>
      </c>
      <c r="J215" s="2" t="s">
        <v>42</v>
      </c>
      <c r="K215" s="2" t="s">
        <v>23</v>
      </c>
      <c r="L215" s="2" t="s">
        <v>24</v>
      </c>
      <c r="M215" s="2">
        <v>0</v>
      </c>
      <c r="N215" s="2" t="str">
        <f>VLOOKUP(A215, zcorin_converter!A:L, 12, FALSE)</f>
        <v>Bag in Box</v>
      </c>
      <c r="O215" s="2">
        <v>0</v>
      </c>
      <c r="P215" s="2" t="s">
        <v>25</v>
      </c>
    </row>
    <row r="216" spans="1:16">
      <c r="A216" s="11" t="s">
        <v>521</v>
      </c>
      <c r="B216" s="2" t="s">
        <v>522</v>
      </c>
      <c r="C216" s="2">
        <v>24</v>
      </c>
      <c r="D216" s="2">
        <f>E216*C216/1000</f>
        <v>9.6</v>
      </c>
      <c r="E216" s="2">
        <v>400</v>
      </c>
      <c r="F216" s="2" t="s">
        <v>18</v>
      </c>
      <c r="G216" s="2" t="s">
        <v>19</v>
      </c>
      <c r="H216" s="2" t="s">
        <v>36</v>
      </c>
      <c r="I216" s="2" t="s">
        <v>37</v>
      </c>
      <c r="J216" s="2" t="s">
        <v>38</v>
      </c>
      <c r="K216" s="2" t="s">
        <v>23</v>
      </c>
      <c r="L216" s="2" t="s">
        <v>24</v>
      </c>
      <c r="M216" s="2">
        <v>0</v>
      </c>
      <c r="N216" s="2" t="str">
        <f>VLOOKUP(A216, zcorin_converter!A:L, 12, FALSE)</f>
        <v>Bag in Box</v>
      </c>
      <c r="O216" s="2">
        <v>0</v>
      </c>
      <c r="P216" s="2" t="s">
        <v>25</v>
      </c>
    </row>
    <row r="217" spans="1:16">
      <c r="A217" s="11" t="s">
        <v>523</v>
      </c>
      <c r="B217" s="2" t="s">
        <v>524</v>
      </c>
      <c r="C217" s="2">
        <v>10</v>
      </c>
      <c r="D217" s="2">
        <f>E217*C217/1000</f>
        <v>8</v>
      </c>
      <c r="E217" s="2">
        <v>800</v>
      </c>
      <c r="F217" s="2" t="s">
        <v>18</v>
      </c>
      <c r="G217" s="2" t="s">
        <v>19</v>
      </c>
      <c r="H217" s="2" t="s">
        <v>36</v>
      </c>
      <c r="I217" s="2" t="s">
        <v>37</v>
      </c>
      <c r="J217" s="2" t="s">
        <v>38</v>
      </c>
      <c r="K217" s="2" t="s">
        <v>23</v>
      </c>
      <c r="L217" s="2" t="s">
        <v>24</v>
      </c>
      <c r="M217" s="2">
        <v>0</v>
      </c>
      <c r="N217" s="2" t="str">
        <f>VLOOKUP(A217, zcorin_converter!A:L, 12, FALSE)</f>
        <v>Bag in Box</v>
      </c>
      <c r="O217" s="2">
        <v>0</v>
      </c>
      <c r="P217" s="2" t="s">
        <v>25</v>
      </c>
    </row>
    <row r="218" spans="1:16">
      <c r="A218" s="11" t="s">
        <v>525</v>
      </c>
      <c r="B218" s="2" t="s">
        <v>526</v>
      </c>
      <c r="C218" s="2">
        <v>24</v>
      </c>
      <c r="D218" s="2">
        <f>E218*C218/1000</f>
        <v>9.6</v>
      </c>
      <c r="E218" s="2">
        <v>400</v>
      </c>
      <c r="F218" s="2" t="s">
        <v>18</v>
      </c>
      <c r="G218" s="2" t="s">
        <v>19</v>
      </c>
      <c r="H218" s="2" t="s">
        <v>41</v>
      </c>
      <c r="I218" s="2" t="s">
        <v>42</v>
      </c>
      <c r="J218" s="2" t="s">
        <v>42</v>
      </c>
      <c r="K218" s="2" t="s">
        <v>23</v>
      </c>
      <c r="L218" s="2" t="s">
        <v>24</v>
      </c>
      <c r="M218" s="2">
        <v>0</v>
      </c>
      <c r="N218" s="2" t="str">
        <f>VLOOKUP(A218, zcorin_converter!A:L, 12, FALSE)</f>
        <v>Bag in Box</v>
      </c>
      <c r="O218" s="2">
        <v>0</v>
      </c>
      <c r="P218" s="2" t="s">
        <v>25</v>
      </c>
    </row>
    <row r="219" spans="1:16">
      <c r="A219" s="11" t="s">
        <v>527</v>
      </c>
      <c r="B219" s="2" t="s">
        <v>528</v>
      </c>
      <c r="C219" s="2">
        <v>24</v>
      </c>
      <c r="D219" s="2">
        <f>E219*C219/1000</f>
        <v>9.6</v>
      </c>
      <c r="E219" s="2">
        <v>400</v>
      </c>
      <c r="F219" s="2" t="s">
        <v>18</v>
      </c>
      <c r="G219" s="2" t="s">
        <v>19</v>
      </c>
      <c r="H219" s="2" t="s">
        <v>20</v>
      </c>
      <c r="I219" s="2" t="s">
        <v>38</v>
      </c>
      <c r="J219" s="2" t="s">
        <v>38</v>
      </c>
      <c r="K219" s="2" t="s">
        <v>23</v>
      </c>
      <c r="L219" s="2" t="s">
        <v>24</v>
      </c>
      <c r="M219" s="2">
        <v>0</v>
      </c>
      <c r="N219" s="2" t="str">
        <f>VLOOKUP(A219, zcorin_converter!A:L, 12, FALSE)</f>
        <v>Bag in Box</v>
      </c>
      <c r="O219" s="2">
        <v>0</v>
      </c>
      <c r="P219" s="2" t="s">
        <v>25</v>
      </c>
    </row>
    <row r="220" spans="1:16">
      <c r="A220" s="11" t="s">
        <v>529</v>
      </c>
      <c r="B220" s="2" t="s">
        <v>530</v>
      </c>
      <c r="C220" s="2">
        <v>24</v>
      </c>
      <c r="D220" s="2">
        <f t="shared" ref="D220:D233" si="15">C220*E220/1000</f>
        <v>9.6</v>
      </c>
      <c r="E220" s="2">
        <v>400</v>
      </c>
      <c r="F220" s="2" t="s">
        <v>18</v>
      </c>
      <c r="G220" s="2" t="s">
        <v>107</v>
      </c>
      <c r="H220" s="2" t="s">
        <v>531</v>
      </c>
      <c r="I220" s="2" t="s">
        <v>532</v>
      </c>
      <c r="J220" s="2" t="s">
        <v>42</v>
      </c>
      <c r="K220" s="2" t="s">
        <v>110</v>
      </c>
      <c r="L220" s="2" t="s">
        <v>24</v>
      </c>
      <c r="M220" s="2">
        <v>0</v>
      </c>
      <c r="N220" s="2" t="str">
        <f>VLOOKUP(A220, zcorin_converter!A:L, 12, FALSE)</f>
        <v>Bag in Box</v>
      </c>
      <c r="O220" s="2">
        <v>0</v>
      </c>
      <c r="P220" s="2" t="s">
        <v>25</v>
      </c>
    </row>
    <row r="221" spans="1:16">
      <c r="A221" s="11" t="s">
        <v>533</v>
      </c>
      <c r="B221" s="2" t="s">
        <v>534</v>
      </c>
      <c r="C221" s="2">
        <v>12</v>
      </c>
      <c r="D221" s="2">
        <f t="shared" si="15"/>
        <v>4.8</v>
      </c>
      <c r="E221" s="2">
        <v>400</v>
      </c>
      <c r="F221" s="2" t="s">
        <v>18</v>
      </c>
      <c r="G221" s="2" t="s">
        <v>535</v>
      </c>
      <c r="H221" s="2" t="s">
        <v>536</v>
      </c>
      <c r="I221" s="2" t="s">
        <v>535</v>
      </c>
      <c r="J221" s="2" t="s">
        <v>22</v>
      </c>
      <c r="K221" s="2" t="s">
        <v>535</v>
      </c>
      <c r="L221" s="2" t="s">
        <v>24</v>
      </c>
      <c r="M221" s="2">
        <v>0</v>
      </c>
      <c r="N221" s="2" t="str">
        <f>VLOOKUP(A221, zcorin_converter!A:L, 12, FALSE)</f>
        <v>Canning</v>
      </c>
      <c r="O221" s="2">
        <v>0</v>
      </c>
      <c r="P221" s="2" t="s">
        <v>25</v>
      </c>
    </row>
    <row r="222" spans="1:16">
      <c r="A222" s="11" t="s">
        <v>537</v>
      </c>
      <c r="B222" s="2" t="s">
        <v>538</v>
      </c>
      <c r="C222" s="2">
        <v>24</v>
      </c>
      <c r="D222" s="2">
        <f t="shared" si="15"/>
        <v>9.6</v>
      </c>
      <c r="E222" s="2">
        <v>400</v>
      </c>
      <c r="F222" s="2" t="s">
        <v>18</v>
      </c>
      <c r="G222" s="2" t="s">
        <v>80</v>
      </c>
      <c r="H222" s="2" t="s">
        <v>81</v>
      </c>
      <c r="I222" s="2" t="s">
        <v>82</v>
      </c>
      <c r="J222" s="2" t="s">
        <v>38</v>
      </c>
      <c r="K222" s="2" t="s">
        <v>83</v>
      </c>
      <c r="L222" s="2" t="s">
        <v>24</v>
      </c>
      <c r="M222" s="2">
        <v>0</v>
      </c>
      <c r="N222" s="2" t="str">
        <f>VLOOKUP(A222, zcorin_converter!A:L, 12, FALSE)</f>
        <v>Bag in Box</v>
      </c>
      <c r="O222" s="2">
        <v>0</v>
      </c>
      <c r="P222" s="2" t="s">
        <v>25</v>
      </c>
    </row>
    <row r="223" spans="1:16">
      <c r="A223" s="11" t="s">
        <v>539</v>
      </c>
      <c r="B223" s="2" t="s">
        <v>540</v>
      </c>
      <c r="C223" s="2">
        <v>24</v>
      </c>
      <c r="D223" s="2">
        <f t="shared" si="15"/>
        <v>9.6</v>
      </c>
      <c r="E223" s="2">
        <v>400</v>
      </c>
      <c r="F223" s="2" t="s">
        <v>18</v>
      </c>
      <c r="G223" s="2" t="s">
        <v>80</v>
      </c>
      <c r="H223" s="2" t="s">
        <v>92</v>
      </c>
      <c r="I223" s="2" t="s">
        <v>93</v>
      </c>
      <c r="J223" s="2" t="s">
        <v>42</v>
      </c>
      <c r="K223" s="2" t="s">
        <v>83</v>
      </c>
      <c r="L223" s="2" t="s">
        <v>24</v>
      </c>
      <c r="M223" s="2">
        <v>0</v>
      </c>
      <c r="N223" s="2" t="str">
        <f>VLOOKUP(A223, zcorin_converter!A:L, 12, FALSE)</f>
        <v>Bag in Box</v>
      </c>
      <c r="O223" s="2">
        <v>0</v>
      </c>
      <c r="P223" s="2" t="s">
        <v>25</v>
      </c>
    </row>
    <row r="224" spans="1:16">
      <c r="A224" s="11" t="s">
        <v>541</v>
      </c>
      <c r="B224" s="2" t="s">
        <v>542</v>
      </c>
      <c r="C224" s="2">
        <v>12</v>
      </c>
      <c r="D224" s="2">
        <f t="shared" si="15"/>
        <v>9.6</v>
      </c>
      <c r="E224" s="2">
        <v>800</v>
      </c>
      <c r="F224" s="2" t="s">
        <v>18</v>
      </c>
      <c r="G224" s="2" t="s">
        <v>80</v>
      </c>
      <c r="H224" s="2" t="s">
        <v>92</v>
      </c>
      <c r="I224" s="2" t="s">
        <v>93</v>
      </c>
      <c r="J224" s="2" t="s">
        <v>42</v>
      </c>
      <c r="K224" s="2" t="s">
        <v>83</v>
      </c>
      <c r="L224" s="2" t="s">
        <v>24</v>
      </c>
      <c r="M224" s="2">
        <v>0</v>
      </c>
      <c r="N224" s="2" t="str">
        <f>VLOOKUP(A224, zcorin_converter!A:L, 12, FALSE)</f>
        <v>Canning</v>
      </c>
      <c r="O224" s="2">
        <v>0</v>
      </c>
      <c r="P224" s="2" t="s">
        <v>25</v>
      </c>
    </row>
    <row r="225" spans="1:16">
      <c r="A225" s="11" t="s">
        <v>543</v>
      </c>
      <c r="B225" s="2" t="s">
        <v>544</v>
      </c>
      <c r="C225" s="2">
        <v>6</v>
      </c>
      <c r="D225" s="2">
        <f t="shared" si="15"/>
        <v>10.8</v>
      </c>
      <c r="E225" s="2">
        <v>1800</v>
      </c>
      <c r="F225" s="2" t="s">
        <v>18</v>
      </c>
      <c r="G225" s="2" t="s">
        <v>80</v>
      </c>
      <c r="H225" s="2" t="s">
        <v>81</v>
      </c>
      <c r="I225" s="2" t="s">
        <v>82</v>
      </c>
      <c r="J225" s="2" t="s">
        <v>38</v>
      </c>
      <c r="K225" s="2" t="s">
        <v>83</v>
      </c>
      <c r="L225" s="2" t="s">
        <v>24</v>
      </c>
      <c r="M225" s="2">
        <v>0</v>
      </c>
      <c r="N225" s="2" t="str">
        <f>VLOOKUP(A225, zcorin_converter!A:L, 12, FALSE)</f>
        <v>Bag in Box</v>
      </c>
      <c r="O225" s="2">
        <v>0</v>
      </c>
      <c r="P225" s="2" t="s">
        <v>25</v>
      </c>
    </row>
    <row r="226" spans="1:16">
      <c r="A226" s="11" t="s">
        <v>545</v>
      </c>
      <c r="B226" s="2" t="s">
        <v>546</v>
      </c>
      <c r="C226" s="2">
        <v>6</v>
      </c>
      <c r="D226" s="2">
        <f t="shared" si="15"/>
        <v>10.8</v>
      </c>
      <c r="E226" s="2">
        <v>1800</v>
      </c>
      <c r="F226" s="2" t="s">
        <v>18</v>
      </c>
      <c r="G226" s="2" t="s">
        <v>80</v>
      </c>
      <c r="H226" s="2" t="s">
        <v>92</v>
      </c>
      <c r="I226" s="2" t="s">
        <v>93</v>
      </c>
      <c r="J226" s="2" t="s">
        <v>42</v>
      </c>
      <c r="K226" s="2" t="s">
        <v>83</v>
      </c>
      <c r="L226" s="2" t="s">
        <v>24</v>
      </c>
      <c r="M226" s="2">
        <v>0</v>
      </c>
      <c r="N226" s="2" t="str">
        <f>VLOOKUP(A226, zcorin_converter!A:L, 12, FALSE)</f>
        <v>Bag in Box</v>
      </c>
      <c r="O226" s="2">
        <v>0</v>
      </c>
      <c r="P226" s="2" t="s">
        <v>25</v>
      </c>
    </row>
    <row r="227" spans="1:16">
      <c r="A227" s="11" t="s">
        <v>547</v>
      </c>
      <c r="B227" s="2" t="s">
        <v>548</v>
      </c>
      <c r="C227" s="2">
        <v>12</v>
      </c>
      <c r="D227" s="2">
        <f t="shared" si="15"/>
        <v>9.6</v>
      </c>
      <c r="E227" s="2">
        <v>800</v>
      </c>
      <c r="F227" s="2" t="s">
        <v>18</v>
      </c>
      <c r="G227" s="2" t="s">
        <v>80</v>
      </c>
      <c r="H227" s="2" t="s">
        <v>81</v>
      </c>
      <c r="I227" s="2" t="s">
        <v>82</v>
      </c>
      <c r="J227" s="2" t="s">
        <v>38</v>
      </c>
      <c r="K227" s="2" t="s">
        <v>83</v>
      </c>
      <c r="L227" s="2" t="s">
        <v>24</v>
      </c>
      <c r="M227" s="2">
        <v>0</v>
      </c>
      <c r="N227" s="2" t="str">
        <f>VLOOKUP(A227, zcorin_converter!A:L, 12, FALSE)</f>
        <v>Canning</v>
      </c>
      <c r="O227" s="2">
        <v>0</v>
      </c>
      <c r="P227" s="2" t="s">
        <v>25</v>
      </c>
    </row>
    <row r="228" spans="1:16">
      <c r="A228" s="11" t="s">
        <v>549</v>
      </c>
      <c r="B228" s="2" t="s">
        <v>550</v>
      </c>
      <c r="C228" s="2">
        <v>12</v>
      </c>
      <c r="D228" s="2">
        <f t="shared" si="15"/>
        <v>9.6</v>
      </c>
      <c r="E228" s="2">
        <v>800</v>
      </c>
      <c r="F228" s="2" t="s">
        <v>18</v>
      </c>
      <c r="G228" s="2" t="s">
        <v>80</v>
      </c>
      <c r="H228" s="2" t="s">
        <v>551</v>
      </c>
      <c r="I228" s="2" t="s">
        <v>238</v>
      </c>
      <c r="J228" s="2" t="s">
        <v>156</v>
      </c>
      <c r="K228" s="2" t="s">
        <v>83</v>
      </c>
      <c r="L228" s="2" t="s">
        <v>24</v>
      </c>
      <c r="M228" s="2">
        <v>0</v>
      </c>
      <c r="N228" s="2" t="str">
        <f>VLOOKUP(A228, zcorin_converter!A:L, 12, FALSE)</f>
        <v>Canning</v>
      </c>
      <c r="O228" s="2">
        <v>0</v>
      </c>
      <c r="P228" s="2" t="s">
        <v>25</v>
      </c>
    </row>
    <row r="229" spans="1:16">
      <c r="A229" s="11" t="s">
        <v>552</v>
      </c>
      <c r="B229" s="2" t="s">
        <v>553</v>
      </c>
      <c r="C229" s="2">
        <v>12</v>
      </c>
      <c r="D229" s="2">
        <f t="shared" si="15"/>
        <v>9.6</v>
      </c>
      <c r="E229" s="2">
        <v>800</v>
      </c>
      <c r="F229" s="2" t="s">
        <v>18</v>
      </c>
      <c r="G229" s="2" t="s">
        <v>80</v>
      </c>
      <c r="H229" s="2" t="s">
        <v>551</v>
      </c>
      <c r="I229" s="2" t="s">
        <v>238</v>
      </c>
      <c r="J229" s="2" t="s">
        <v>156</v>
      </c>
      <c r="K229" s="2" t="s">
        <v>83</v>
      </c>
      <c r="L229" s="2" t="s">
        <v>24</v>
      </c>
      <c r="M229" s="2">
        <v>0</v>
      </c>
      <c r="N229" s="2" t="str">
        <f>VLOOKUP(A229, zcorin_converter!A:L, 12, FALSE)</f>
        <v>Canning</v>
      </c>
      <c r="O229" s="2">
        <v>0</v>
      </c>
      <c r="P229" s="2" t="s">
        <v>25</v>
      </c>
    </row>
    <row r="230" spans="1:16">
      <c r="A230" s="11" t="s">
        <v>554</v>
      </c>
      <c r="B230" s="2" t="s">
        <v>555</v>
      </c>
      <c r="C230" s="2">
        <v>12</v>
      </c>
      <c r="D230" s="2">
        <f t="shared" si="15"/>
        <v>9.6</v>
      </c>
      <c r="E230" s="2">
        <v>800</v>
      </c>
      <c r="F230" s="2" t="s">
        <v>18</v>
      </c>
      <c r="G230" s="2" t="s">
        <v>80</v>
      </c>
      <c r="H230" s="2" t="s">
        <v>556</v>
      </c>
      <c r="I230" s="2" t="s">
        <v>238</v>
      </c>
      <c r="J230" s="2" t="s">
        <v>156</v>
      </c>
      <c r="K230" s="2" t="s">
        <v>83</v>
      </c>
      <c r="L230" s="2" t="s">
        <v>24</v>
      </c>
      <c r="M230" s="2">
        <v>0</v>
      </c>
      <c r="N230" s="2" t="str">
        <f>VLOOKUP(A230, zcorin_converter!A:L, 12, FALSE)</f>
        <v>Canning</v>
      </c>
      <c r="O230" s="2">
        <v>0</v>
      </c>
      <c r="P230" s="2" t="s">
        <v>25</v>
      </c>
    </row>
    <row r="231" spans="1:16">
      <c r="A231" s="11" t="s">
        <v>557</v>
      </c>
      <c r="B231" s="2" t="s">
        <v>558</v>
      </c>
      <c r="C231" s="2">
        <v>12</v>
      </c>
      <c r="D231" s="2">
        <f t="shared" si="15"/>
        <v>9.6</v>
      </c>
      <c r="E231" s="2">
        <v>800</v>
      </c>
      <c r="F231" s="2" t="s">
        <v>18</v>
      </c>
      <c r="G231" s="2" t="s">
        <v>80</v>
      </c>
      <c r="H231" s="2" t="s">
        <v>556</v>
      </c>
      <c r="I231" s="2" t="s">
        <v>238</v>
      </c>
      <c r="J231" s="2" t="s">
        <v>156</v>
      </c>
      <c r="K231" s="2" t="s">
        <v>83</v>
      </c>
      <c r="L231" s="2" t="s">
        <v>24</v>
      </c>
      <c r="M231" s="2">
        <v>0</v>
      </c>
      <c r="N231" s="2" t="str">
        <f>VLOOKUP(A231, zcorin_converter!A:L, 12, FALSE)</f>
        <v>Canning</v>
      </c>
      <c r="O231" s="2">
        <v>0</v>
      </c>
      <c r="P231" s="2" t="s">
        <v>25</v>
      </c>
    </row>
    <row r="232" spans="1:16">
      <c r="A232" s="11" t="s">
        <v>559</v>
      </c>
      <c r="B232" s="2" t="s">
        <v>560</v>
      </c>
      <c r="C232" s="2">
        <v>24</v>
      </c>
      <c r="D232" s="2">
        <f t="shared" si="15"/>
        <v>4.8</v>
      </c>
      <c r="E232" s="2">
        <v>200</v>
      </c>
      <c r="F232" s="2" t="s">
        <v>18</v>
      </c>
      <c r="G232" s="2" t="s">
        <v>80</v>
      </c>
      <c r="H232" s="2" t="s">
        <v>81</v>
      </c>
      <c r="I232" s="2" t="s">
        <v>82</v>
      </c>
      <c r="J232" s="2" t="s">
        <v>38</v>
      </c>
      <c r="K232" s="2" t="s">
        <v>83</v>
      </c>
      <c r="L232" s="2" t="s">
        <v>24</v>
      </c>
      <c r="M232" s="2">
        <v>0</v>
      </c>
      <c r="N232" s="2" t="str">
        <f>VLOOKUP(A232, zcorin_converter!A:L, 12, FALSE)</f>
        <v>Bag in Box</v>
      </c>
      <c r="O232" s="2">
        <v>0</v>
      </c>
      <c r="P232" s="2" t="s">
        <v>25</v>
      </c>
    </row>
    <row r="233" spans="1:16">
      <c r="A233" s="11" t="s">
        <v>561</v>
      </c>
      <c r="B233" s="2" t="s">
        <v>562</v>
      </c>
      <c r="C233" s="2">
        <v>24</v>
      </c>
      <c r="D233" s="2">
        <f t="shared" si="15"/>
        <v>4.8</v>
      </c>
      <c r="E233" s="2">
        <v>200</v>
      </c>
      <c r="F233" s="2" t="s">
        <v>18</v>
      </c>
      <c r="G233" s="2" t="s">
        <v>80</v>
      </c>
      <c r="H233" s="2" t="s">
        <v>92</v>
      </c>
      <c r="I233" s="2" t="s">
        <v>93</v>
      </c>
      <c r="J233" s="2" t="s">
        <v>42</v>
      </c>
      <c r="K233" s="2" t="s">
        <v>83</v>
      </c>
      <c r="L233" s="2" t="s">
        <v>24</v>
      </c>
      <c r="M233" s="2">
        <v>0</v>
      </c>
      <c r="N233" s="2" t="str">
        <f>VLOOKUP(A233, zcorin_converter!A:L, 12, FALSE)</f>
        <v>Bag in Box</v>
      </c>
      <c r="O233" s="2">
        <v>0</v>
      </c>
      <c r="P233" s="2" t="s">
        <v>25</v>
      </c>
    </row>
    <row r="234" spans="1:16">
      <c r="A234" s="11" t="s">
        <v>563</v>
      </c>
      <c r="B234" s="2" t="s">
        <v>564</v>
      </c>
      <c r="C234" s="2">
        <v>6</v>
      </c>
      <c r="D234" s="2">
        <f>E234*C234/1000</f>
        <v>2.4</v>
      </c>
      <c r="E234" s="2">
        <v>400</v>
      </c>
      <c r="F234" s="2" t="s">
        <v>140</v>
      </c>
      <c r="G234" s="2" t="s">
        <v>29</v>
      </c>
      <c r="H234" s="2" t="s">
        <v>29</v>
      </c>
      <c r="I234" s="2" t="s">
        <v>355</v>
      </c>
      <c r="J234" s="2" t="s">
        <v>22</v>
      </c>
      <c r="K234" s="2" t="s">
        <v>29</v>
      </c>
      <c r="L234" s="2" t="s">
        <v>24</v>
      </c>
      <c r="M234" s="2">
        <v>0</v>
      </c>
      <c r="N234" s="2" t="str">
        <f>VLOOKUP(A234, zcorin_converter!A:L, 12, FALSE)</f>
        <v>Canning</v>
      </c>
      <c r="O234" s="2">
        <v>0</v>
      </c>
      <c r="P234" s="2" t="s">
        <v>25</v>
      </c>
    </row>
    <row r="235" spans="1:16">
      <c r="A235" s="11" t="s">
        <v>565</v>
      </c>
      <c r="B235" s="2" t="s">
        <v>566</v>
      </c>
      <c r="C235" s="2">
        <v>24</v>
      </c>
      <c r="D235" s="2">
        <f>C235*E235/1000</f>
        <v>9.6</v>
      </c>
      <c r="E235" s="2">
        <v>400</v>
      </c>
      <c r="F235" s="2" t="s">
        <v>28</v>
      </c>
      <c r="G235" s="2" t="s">
        <v>29</v>
      </c>
      <c r="H235" s="2" t="s">
        <v>29</v>
      </c>
      <c r="I235" s="2" t="s">
        <v>51</v>
      </c>
      <c r="J235" s="2" t="s">
        <v>22</v>
      </c>
      <c r="K235" s="2" t="s">
        <v>29</v>
      </c>
      <c r="L235" s="2" t="s">
        <v>24</v>
      </c>
      <c r="M235" s="2">
        <v>0</v>
      </c>
      <c r="N235" s="2" t="str">
        <f>VLOOKUP(A235, zcorin_converter!A:L, 12, FALSE)</f>
        <v>Bag in Box</v>
      </c>
      <c r="O235" s="2">
        <v>0</v>
      </c>
      <c r="P235" s="2" t="s">
        <v>25</v>
      </c>
    </row>
    <row r="236" spans="1:16">
      <c r="A236" s="11" t="s">
        <v>567</v>
      </c>
      <c r="B236" s="2" t="s">
        <v>568</v>
      </c>
      <c r="C236" s="2">
        <v>24</v>
      </c>
      <c r="D236" s="2">
        <f>C236*E236/1000</f>
        <v>9.6</v>
      </c>
      <c r="E236" s="2">
        <v>400</v>
      </c>
      <c r="F236" s="2" t="s">
        <v>28</v>
      </c>
      <c r="G236" s="2" t="s">
        <v>29</v>
      </c>
      <c r="H236" s="2" t="s">
        <v>29</v>
      </c>
      <c r="I236" s="2" t="s">
        <v>56</v>
      </c>
      <c r="J236" s="2" t="s">
        <v>22</v>
      </c>
      <c r="K236" s="2" t="s">
        <v>29</v>
      </c>
      <c r="L236" s="2" t="s">
        <v>24</v>
      </c>
      <c r="M236" s="2">
        <v>0</v>
      </c>
      <c r="N236" s="2" t="str">
        <f>VLOOKUP(A236, zcorin_converter!A:L, 12, FALSE)</f>
        <v>Bag in Box</v>
      </c>
      <c r="O236" s="2">
        <v>0</v>
      </c>
      <c r="P236" s="2" t="s">
        <v>25</v>
      </c>
    </row>
    <row r="237" spans="1:16">
      <c r="A237" s="11" t="s">
        <v>569</v>
      </c>
      <c r="B237" s="2" t="s">
        <v>570</v>
      </c>
      <c r="C237" s="2">
        <v>12</v>
      </c>
      <c r="D237" s="2">
        <f>C237*E237/1000</f>
        <v>4.8</v>
      </c>
      <c r="E237" s="2">
        <v>400</v>
      </c>
      <c r="F237" s="2" t="s">
        <v>50</v>
      </c>
      <c r="G237" s="2" t="s">
        <v>29</v>
      </c>
      <c r="H237" s="2" t="s">
        <v>29</v>
      </c>
      <c r="I237" s="2" t="s">
        <v>51</v>
      </c>
      <c r="J237" s="2" t="s">
        <v>22</v>
      </c>
      <c r="K237" s="2" t="s">
        <v>29</v>
      </c>
      <c r="L237" s="2" t="s">
        <v>24</v>
      </c>
      <c r="M237" s="2">
        <v>0</v>
      </c>
      <c r="N237" s="2" t="str">
        <f>VLOOKUP(A237, zcorin_converter!A:L, 12, FALSE)</f>
        <v>Bag in Box</v>
      </c>
      <c r="O237" s="2">
        <v>0</v>
      </c>
      <c r="P237" s="2" t="s">
        <v>25</v>
      </c>
    </row>
    <row r="238" spans="1:16">
      <c r="A238" s="11" t="s">
        <v>571</v>
      </c>
      <c r="B238" s="2" t="s">
        <v>572</v>
      </c>
      <c r="C238" s="2">
        <v>24</v>
      </c>
      <c r="D238" s="2">
        <f>C238*E238/1000</f>
        <v>9.6</v>
      </c>
      <c r="E238" s="2">
        <v>400</v>
      </c>
      <c r="F238" s="2" t="s">
        <v>50</v>
      </c>
      <c r="G238" s="2" t="s">
        <v>29</v>
      </c>
      <c r="H238" s="2" t="s">
        <v>29</v>
      </c>
      <c r="I238" s="2" t="s">
        <v>56</v>
      </c>
      <c r="J238" s="2" t="s">
        <v>22</v>
      </c>
      <c r="K238" s="2" t="s">
        <v>29</v>
      </c>
      <c r="L238" s="2" t="s">
        <v>24</v>
      </c>
      <c r="M238" s="2">
        <v>0</v>
      </c>
      <c r="N238" s="2" t="str">
        <f>VLOOKUP(A238, zcorin_converter!A:L, 12, FALSE)</f>
        <v>Bag in Box</v>
      </c>
      <c r="O238" s="2">
        <v>0</v>
      </c>
      <c r="P238" s="2" t="s">
        <v>25</v>
      </c>
    </row>
    <row r="239" spans="1:16">
      <c r="A239" s="11" t="s">
        <v>573</v>
      </c>
      <c r="B239" s="2" t="s">
        <v>574</v>
      </c>
      <c r="C239" s="2">
        <v>24</v>
      </c>
      <c r="D239" s="2">
        <f t="shared" ref="D239:D244" si="16">E239*C239/1000</f>
        <v>9.6</v>
      </c>
      <c r="E239" s="2">
        <v>400</v>
      </c>
      <c r="F239" s="2" t="s">
        <v>18</v>
      </c>
      <c r="G239" s="2" t="s">
        <v>107</v>
      </c>
      <c r="H239" s="2" t="s">
        <v>115</v>
      </c>
      <c r="I239" s="2" t="s">
        <v>62</v>
      </c>
      <c r="J239" s="2" t="s">
        <v>22</v>
      </c>
      <c r="K239" s="2" t="s">
        <v>110</v>
      </c>
      <c r="L239" s="2" t="s">
        <v>24</v>
      </c>
      <c r="M239" s="2">
        <v>0</v>
      </c>
      <c r="N239" s="2" t="str">
        <f>VLOOKUP(A239, zcorin_converter!A:L, 12, FALSE)</f>
        <v>Bag in Box</v>
      </c>
      <c r="O239" s="2">
        <v>0</v>
      </c>
      <c r="P239" s="2" t="s">
        <v>25</v>
      </c>
    </row>
    <row r="240" spans="1:16">
      <c r="A240" s="11" t="s">
        <v>575</v>
      </c>
      <c r="B240" s="2" t="s">
        <v>576</v>
      </c>
      <c r="C240" s="2">
        <v>24</v>
      </c>
      <c r="D240" s="2">
        <f t="shared" si="16"/>
        <v>4.8</v>
      </c>
      <c r="E240" s="2">
        <v>200</v>
      </c>
      <c r="F240" s="2" t="s">
        <v>18</v>
      </c>
      <c r="G240" s="2" t="s">
        <v>107</v>
      </c>
      <c r="H240" s="2" t="s">
        <v>120</v>
      </c>
      <c r="I240" s="2" t="s">
        <v>56</v>
      </c>
      <c r="J240" s="2" t="s">
        <v>22</v>
      </c>
      <c r="K240" s="2" t="s">
        <v>110</v>
      </c>
      <c r="L240" s="2" t="s">
        <v>24</v>
      </c>
      <c r="M240" s="2">
        <v>0</v>
      </c>
      <c r="N240" s="2" t="str">
        <f>VLOOKUP(A240, zcorin_converter!A:L, 12, FALSE)</f>
        <v>Bag in Box</v>
      </c>
      <c r="O240" s="2">
        <v>0</v>
      </c>
      <c r="P240" s="2" t="s">
        <v>25</v>
      </c>
    </row>
    <row r="241" spans="1:16">
      <c r="A241" s="11" t="s">
        <v>577</v>
      </c>
      <c r="B241" s="2" t="s">
        <v>578</v>
      </c>
      <c r="C241" s="2">
        <v>24</v>
      </c>
      <c r="D241" s="2">
        <f t="shared" si="16"/>
        <v>9.6</v>
      </c>
      <c r="E241" s="2">
        <v>400</v>
      </c>
      <c r="F241" s="2" t="s">
        <v>18</v>
      </c>
      <c r="G241" s="2" t="s">
        <v>107</v>
      </c>
      <c r="H241" s="2" t="s">
        <v>123</v>
      </c>
      <c r="I241" s="2" t="s">
        <v>51</v>
      </c>
      <c r="J241" s="2" t="s">
        <v>22</v>
      </c>
      <c r="K241" s="2" t="s">
        <v>110</v>
      </c>
      <c r="L241" s="2" t="s">
        <v>24</v>
      </c>
      <c r="M241" s="2">
        <v>0</v>
      </c>
      <c r="N241" s="2" t="str">
        <f>VLOOKUP(A241, zcorin_converter!A:L, 12, FALSE)</f>
        <v>Bag in Box</v>
      </c>
      <c r="O241" s="2">
        <v>0</v>
      </c>
      <c r="P241" s="2" t="s">
        <v>25</v>
      </c>
    </row>
    <row r="242" spans="1:16">
      <c r="A242" s="11" t="s">
        <v>579</v>
      </c>
      <c r="B242" s="2" t="s">
        <v>580</v>
      </c>
      <c r="C242" s="2">
        <v>24</v>
      </c>
      <c r="D242" s="2">
        <f t="shared" si="16"/>
        <v>9.6</v>
      </c>
      <c r="E242" s="2">
        <v>400</v>
      </c>
      <c r="F242" s="2" t="s">
        <v>18</v>
      </c>
      <c r="G242" s="2" t="s">
        <v>107</v>
      </c>
      <c r="H242" s="2" t="s">
        <v>123</v>
      </c>
      <c r="I242" s="2" t="s">
        <v>51</v>
      </c>
      <c r="J242" s="2" t="s">
        <v>22</v>
      </c>
      <c r="K242" s="2" t="s">
        <v>110</v>
      </c>
      <c r="L242" s="2" t="s">
        <v>24</v>
      </c>
      <c r="M242" s="2">
        <v>0</v>
      </c>
      <c r="N242" s="2" t="str">
        <f>VLOOKUP(A242, zcorin_converter!A:L, 12, FALSE)</f>
        <v>Bag in Box</v>
      </c>
      <c r="O242" s="2">
        <v>0</v>
      </c>
      <c r="P242" s="2" t="s">
        <v>25</v>
      </c>
    </row>
    <row r="243" spans="1:16">
      <c r="A243" s="11" t="s">
        <v>581</v>
      </c>
      <c r="B243" s="2" t="s">
        <v>582</v>
      </c>
      <c r="C243" s="2">
        <v>10</v>
      </c>
      <c r="D243" s="2">
        <f t="shared" si="16"/>
        <v>7</v>
      </c>
      <c r="E243" s="2">
        <v>700</v>
      </c>
      <c r="F243" s="2" t="s">
        <v>18</v>
      </c>
      <c r="G243" s="2" t="s">
        <v>107</v>
      </c>
      <c r="H243" s="2" t="s">
        <v>123</v>
      </c>
      <c r="I243" s="2" t="s">
        <v>51</v>
      </c>
      <c r="J243" s="2" t="s">
        <v>22</v>
      </c>
      <c r="K243" s="2" t="s">
        <v>110</v>
      </c>
      <c r="L243" s="2" t="s">
        <v>24</v>
      </c>
      <c r="M243" s="2">
        <v>0</v>
      </c>
      <c r="N243" s="2" t="str">
        <f>VLOOKUP(A243, zcorin_converter!A:L, 12, FALSE)</f>
        <v>Bag in Box</v>
      </c>
      <c r="O243" s="2">
        <v>0</v>
      </c>
      <c r="P243" s="2" t="s">
        <v>25</v>
      </c>
    </row>
    <row r="244" spans="1:16">
      <c r="A244" s="11" t="s">
        <v>583</v>
      </c>
      <c r="B244" s="2" t="s">
        <v>584</v>
      </c>
      <c r="C244" s="2">
        <v>10</v>
      </c>
      <c r="D244" s="2">
        <f t="shared" si="16"/>
        <v>7</v>
      </c>
      <c r="E244" s="2">
        <v>700</v>
      </c>
      <c r="F244" s="2" t="s">
        <v>18</v>
      </c>
      <c r="G244" s="2" t="s">
        <v>107</v>
      </c>
      <c r="H244" s="2" t="s">
        <v>123</v>
      </c>
      <c r="I244" s="2" t="s">
        <v>51</v>
      </c>
      <c r="J244" s="2" t="s">
        <v>22</v>
      </c>
      <c r="K244" s="2" t="s">
        <v>110</v>
      </c>
      <c r="L244" s="2" t="s">
        <v>24</v>
      </c>
      <c r="M244" s="2">
        <v>0</v>
      </c>
      <c r="N244" s="2" t="str">
        <f>VLOOKUP(A244, zcorin_converter!A:L, 12, FALSE)</f>
        <v>Bag in Box</v>
      </c>
      <c r="O244" s="2">
        <v>0</v>
      </c>
      <c r="P244" s="2" t="s">
        <v>25</v>
      </c>
    </row>
    <row r="245" spans="1:16">
      <c r="A245" s="11" t="s">
        <v>585</v>
      </c>
      <c r="B245" s="2" t="s">
        <v>586</v>
      </c>
      <c r="C245" s="2">
        <v>12</v>
      </c>
      <c r="D245" s="2">
        <f>C245*E245/1000</f>
        <v>9.6</v>
      </c>
      <c r="E245" s="2">
        <v>800</v>
      </c>
      <c r="F245" s="2" t="s">
        <v>50</v>
      </c>
      <c r="G245" s="2" t="s">
        <v>29</v>
      </c>
      <c r="H245" s="2" t="s">
        <v>29</v>
      </c>
      <c r="I245" s="2" t="s">
        <v>156</v>
      </c>
      <c r="J245" s="2" t="s">
        <v>156</v>
      </c>
      <c r="K245" s="2" t="s">
        <v>29</v>
      </c>
      <c r="L245" s="2" t="s">
        <v>24</v>
      </c>
      <c r="M245" s="2">
        <v>0</v>
      </c>
      <c r="N245" s="2" t="str">
        <f>VLOOKUP(A245, zcorin_converter!A:L, 12, FALSE)</f>
        <v>Canning</v>
      </c>
      <c r="O245" s="2">
        <v>0</v>
      </c>
      <c r="P245" s="2" t="s">
        <v>25</v>
      </c>
    </row>
    <row r="246" spans="1:16">
      <c r="A246" s="11" t="s">
        <v>587</v>
      </c>
      <c r="B246" s="2" t="s">
        <v>588</v>
      </c>
      <c r="C246" s="2">
        <v>12</v>
      </c>
      <c r="D246" s="2">
        <f>C246*E246/1000</f>
        <v>9.6</v>
      </c>
      <c r="E246" s="2">
        <v>800</v>
      </c>
      <c r="F246" s="2" t="s">
        <v>50</v>
      </c>
      <c r="G246" s="2" t="s">
        <v>29</v>
      </c>
      <c r="H246" s="2" t="s">
        <v>29</v>
      </c>
      <c r="I246" s="2" t="s">
        <v>38</v>
      </c>
      <c r="J246" s="2" t="s">
        <v>38</v>
      </c>
      <c r="K246" s="2" t="s">
        <v>29</v>
      </c>
      <c r="L246" s="2" t="s">
        <v>24</v>
      </c>
      <c r="M246" s="2">
        <v>0</v>
      </c>
      <c r="N246" s="2" t="str">
        <f>VLOOKUP(A246, zcorin_converter!A:L, 12, FALSE)</f>
        <v>Canning</v>
      </c>
      <c r="O246" s="2">
        <v>0</v>
      </c>
      <c r="P246" s="2" t="s">
        <v>25</v>
      </c>
    </row>
    <row r="247" spans="1:16">
      <c r="A247" s="11" t="s">
        <v>589</v>
      </c>
      <c r="B247" s="2" t="s">
        <v>590</v>
      </c>
      <c r="C247" s="2">
        <v>24</v>
      </c>
      <c r="D247" s="2">
        <f>C247*E247/1000</f>
        <v>9.6</v>
      </c>
      <c r="E247" s="2">
        <v>400</v>
      </c>
      <c r="F247" s="2" t="s">
        <v>50</v>
      </c>
      <c r="G247" s="2" t="s">
        <v>29</v>
      </c>
      <c r="H247" s="2" t="s">
        <v>29</v>
      </c>
      <c r="I247" s="2" t="s">
        <v>38</v>
      </c>
      <c r="J247" s="2" t="s">
        <v>38</v>
      </c>
      <c r="K247" s="2" t="s">
        <v>29</v>
      </c>
      <c r="L247" s="2" t="s">
        <v>24</v>
      </c>
      <c r="M247" s="2">
        <v>0</v>
      </c>
      <c r="N247" s="2" t="str">
        <f>VLOOKUP(A247, zcorin_converter!A:L, 12, FALSE)</f>
        <v>Canning</v>
      </c>
      <c r="O247" s="2">
        <v>0</v>
      </c>
      <c r="P247" s="2" t="s">
        <v>25</v>
      </c>
    </row>
    <row r="248" spans="1:16">
      <c r="A248" s="11" t="s">
        <v>591</v>
      </c>
      <c r="B248" s="2" t="s">
        <v>592</v>
      </c>
      <c r="C248" s="2">
        <v>12</v>
      </c>
      <c r="D248" s="2">
        <f>C248*E248/1000</f>
        <v>9.6</v>
      </c>
      <c r="E248" s="2">
        <v>800</v>
      </c>
      <c r="F248" s="2" t="s">
        <v>50</v>
      </c>
      <c r="G248" s="2" t="s">
        <v>29</v>
      </c>
      <c r="H248" s="2" t="s">
        <v>29</v>
      </c>
      <c r="I248" s="2" t="s">
        <v>42</v>
      </c>
      <c r="J248" s="2" t="s">
        <v>42</v>
      </c>
      <c r="K248" s="2" t="s">
        <v>29</v>
      </c>
      <c r="L248" s="2" t="s">
        <v>24</v>
      </c>
      <c r="M248" s="2">
        <v>0</v>
      </c>
      <c r="N248" s="2" t="str">
        <f>VLOOKUP(A248, zcorin_converter!A:L, 12, FALSE)</f>
        <v>Canning</v>
      </c>
      <c r="O248" s="2">
        <v>0</v>
      </c>
      <c r="P248" s="2" t="s">
        <v>25</v>
      </c>
    </row>
    <row r="249" spans="1:16">
      <c r="A249" s="11" t="s">
        <v>593</v>
      </c>
      <c r="B249" s="2" t="s">
        <v>594</v>
      </c>
      <c r="C249" s="2">
        <v>12</v>
      </c>
      <c r="D249" s="2">
        <f>C249*E249/1000</f>
        <v>4.8</v>
      </c>
      <c r="E249" s="2">
        <v>400</v>
      </c>
      <c r="F249" s="2" t="s">
        <v>50</v>
      </c>
      <c r="G249" s="2" t="s">
        <v>29</v>
      </c>
      <c r="H249" s="2" t="s">
        <v>29</v>
      </c>
      <c r="I249" s="2" t="s">
        <v>21</v>
      </c>
      <c r="J249" s="2" t="s">
        <v>22</v>
      </c>
      <c r="K249" s="2" t="s">
        <v>29</v>
      </c>
      <c r="L249" s="2" t="s">
        <v>24</v>
      </c>
      <c r="M249" s="2">
        <v>0</v>
      </c>
      <c r="N249" s="2" t="str">
        <f>VLOOKUP(A249, zcorin_converter!A:L, 12, FALSE)</f>
        <v>Bag in Box</v>
      </c>
      <c r="O249" s="2">
        <v>0</v>
      </c>
      <c r="P249" s="2" t="s">
        <v>25</v>
      </c>
    </row>
    <row r="250" spans="1:16">
      <c r="A250" s="11" t="s">
        <v>595</v>
      </c>
      <c r="B250" s="2" t="s">
        <v>596</v>
      </c>
      <c r="C250" s="2">
        <v>12</v>
      </c>
      <c r="D250" s="2">
        <f t="shared" ref="D250:D256" si="17">E250*C250/1000</f>
        <v>9.6</v>
      </c>
      <c r="E250" s="2">
        <v>800</v>
      </c>
      <c r="F250" s="2" t="s">
        <v>18</v>
      </c>
      <c r="G250" s="2" t="s">
        <v>80</v>
      </c>
      <c r="H250" s="2" t="s">
        <v>556</v>
      </c>
      <c r="I250" s="2" t="s">
        <v>238</v>
      </c>
      <c r="J250" s="2" t="s">
        <v>156</v>
      </c>
      <c r="K250" s="2" t="s">
        <v>83</v>
      </c>
      <c r="L250" s="2" t="s">
        <v>24</v>
      </c>
      <c r="M250" s="2">
        <v>0</v>
      </c>
      <c r="N250" s="2" t="str">
        <f>VLOOKUP(A250, zcorin_converter!A:L, 12, FALSE)</f>
        <v>Canning</v>
      </c>
      <c r="O250" s="2">
        <v>0</v>
      </c>
      <c r="P250" s="2" t="s">
        <v>25</v>
      </c>
    </row>
    <row r="251" spans="1:16">
      <c r="A251" s="11" t="s">
        <v>597</v>
      </c>
      <c r="B251" s="2" t="s">
        <v>598</v>
      </c>
      <c r="C251" s="2">
        <v>12</v>
      </c>
      <c r="D251" s="2">
        <f t="shared" si="17"/>
        <v>9.6</v>
      </c>
      <c r="E251" s="2">
        <v>800</v>
      </c>
      <c r="F251" s="2" t="s">
        <v>18</v>
      </c>
      <c r="G251" s="2" t="s">
        <v>80</v>
      </c>
      <c r="H251" s="2" t="s">
        <v>556</v>
      </c>
      <c r="I251" s="2" t="s">
        <v>238</v>
      </c>
      <c r="J251" s="2" t="s">
        <v>156</v>
      </c>
      <c r="K251" s="2" t="s">
        <v>83</v>
      </c>
      <c r="L251" s="2" t="s">
        <v>24</v>
      </c>
      <c r="M251" s="2">
        <v>0</v>
      </c>
      <c r="N251" s="2" t="str">
        <f>VLOOKUP(A251, zcorin_converter!A:L, 12, FALSE)</f>
        <v>Canning</v>
      </c>
      <c r="O251" s="2">
        <v>0</v>
      </c>
      <c r="P251" s="2" t="s">
        <v>25</v>
      </c>
    </row>
    <row r="252" spans="1:16">
      <c r="A252" s="11" t="s">
        <v>599</v>
      </c>
      <c r="B252" s="2" t="s">
        <v>600</v>
      </c>
      <c r="C252" s="2">
        <v>12</v>
      </c>
      <c r="D252" s="2">
        <f t="shared" si="17"/>
        <v>9.6</v>
      </c>
      <c r="E252" s="2">
        <v>800</v>
      </c>
      <c r="F252" s="2" t="s">
        <v>18</v>
      </c>
      <c r="G252" s="2" t="s">
        <v>80</v>
      </c>
      <c r="H252" s="2" t="s">
        <v>551</v>
      </c>
      <c r="I252" s="2" t="s">
        <v>238</v>
      </c>
      <c r="J252" s="2" t="s">
        <v>156</v>
      </c>
      <c r="K252" s="2" t="s">
        <v>83</v>
      </c>
      <c r="L252" s="2" t="s">
        <v>24</v>
      </c>
      <c r="M252" s="2">
        <v>0</v>
      </c>
      <c r="N252" s="2" t="str">
        <f>VLOOKUP(A252, zcorin_converter!A:L, 12, FALSE)</f>
        <v>Canning</v>
      </c>
      <c r="O252" s="2">
        <v>0</v>
      </c>
      <c r="P252" s="2" t="s">
        <v>25</v>
      </c>
    </row>
    <row r="253" spans="1:16">
      <c r="A253" s="11" t="s">
        <v>601</v>
      </c>
      <c r="B253" s="2" t="s">
        <v>602</v>
      </c>
      <c r="C253" s="2">
        <v>12</v>
      </c>
      <c r="D253" s="2">
        <f t="shared" si="17"/>
        <v>9.6</v>
      </c>
      <c r="E253" s="2">
        <v>800</v>
      </c>
      <c r="F253" s="2" t="s">
        <v>18</v>
      </c>
      <c r="G253" s="2" t="s">
        <v>80</v>
      </c>
      <c r="H253" s="2" t="s">
        <v>551</v>
      </c>
      <c r="I253" s="2" t="s">
        <v>238</v>
      </c>
      <c r="J253" s="2" t="s">
        <v>156</v>
      </c>
      <c r="K253" s="2" t="s">
        <v>83</v>
      </c>
      <c r="L253" s="2" t="s">
        <v>24</v>
      </c>
      <c r="M253" s="2">
        <v>0</v>
      </c>
      <c r="N253" s="2" t="str">
        <f>VLOOKUP(A253, zcorin_converter!A:L, 12, FALSE)</f>
        <v>Canning</v>
      </c>
      <c r="O253" s="2">
        <v>0</v>
      </c>
      <c r="P253" s="2" t="s">
        <v>25</v>
      </c>
    </row>
    <row r="254" spans="1:16">
      <c r="A254" s="11" t="s">
        <v>603</v>
      </c>
      <c r="B254" s="2" t="s">
        <v>604</v>
      </c>
      <c r="C254" s="2">
        <v>24</v>
      </c>
      <c r="D254" s="2">
        <f t="shared" si="17"/>
        <v>4.8</v>
      </c>
      <c r="E254" s="2">
        <v>200</v>
      </c>
      <c r="F254" s="2" t="s">
        <v>18</v>
      </c>
      <c r="G254" s="2" t="s">
        <v>107</v>
      </c>
      <c r="H254" s="2" t="s">
        <v>108</v>
      </c>
      <c r="I254" s="2" t="s">
        <v>109</v>
      </c>
      <c r="J254" s="2" t="s">
        <v>22</v>
      </c>
      <c r="K254" s="2" t="s">
        <v>110</v>
      </c>
      <c r="L254" s="2" t="s">
        <v>24</v>
      </c>
      <c r="M254" s="2">
        <v>0</v>
      </c>
      <c r="N254" s="2" t="str">
        <f>VLOOKUP(A254, zcorin_converter!A:L, 12, FALSE)</f>
        <v>Bag in Box</v>
      </c>
      <c r="O254" s="2">
        <v>0</v>
      </c>
      <c r="P254" s="2" t="s">
        <v>25</v>
      </c>
    </row>
    <row r="255" spans="1:16">
      <c r="A255" s="11" t="s">
        <v>605</v>
      </c>
      <c r="B255" s="2" t="s">
        <v>606</v>
      </c>
      <c r="C255" s="2">
        <v>24</v>
      </c>
      <c r="D255" s="2">
        <f t="shared" si="17"/>
        <v>4.8</v>
      </c>
      <c r="E255" s="2">
        <v>200</v>
      </c>
      <c r="F255" s="2" t="s">
        <v>18</v>
      </c>
      <c r="G255" s="2" t="s">
        <v>107</v>
      </c>
      <c r="H255" s="2" t="s">
        <v>120</v>
      </c>
      <c r="I255" s="2" t="s">
        <v>56</v>
      </c>
      <c r="J255" s="2" t="s">
        <v>22</v>
      </c>
      <c r="K255" s="2" t="s">
        <v>110</v>
      </c>
      <c r="L255" s="2" t="s">
        <v>24</v>
      </c>
      <c r="M255" s="2">
        <v>0</v>
      </c>
      <c r="N255" s="2" t="str">
        <f>VLOOKUP(A255, zcorin_converter!A:L, 12, FALSE)</f>
        <v>Bag in Box</v>
      </c>
      <c r="O255" s="2">
        <v>0</v>
      </c>
      <c r="P255" s="2" t="s">
        <v>25</v>
      </c>
    </row>
    <row r="256" spans="1:16">
      <c r="A256" s="11" t="s">
        <v>607</v>
      </c>
      <c r="B256" s="2" t="s">
        <v>608</v>
      </c>
      <c r="C256" s="2">
        <v>24</v>
      </c>
      <c r="D256" s="2">
        <f t="shared" si="17"/>
        <v>4.8</v>
      </c>
      <c r="E256" s="2">
        <v>200</v>
      </c>
      <c r="F256" s="2" t="s">
        <v>18</v>
      </c>
      <c r="G256" s="2" t="s">
        <v>107</v>
      </c>
      <c r="H256" s="2" t="s">
        <v>132</v>
      </c>
      <c r="I256" s="2" t="s">
        <v>21</v>
      </c>
      <c r="J256" s="2" t="s">
        <v>22</v>
      </c>
      <c r="K256" s="2" t="s">
        <v>110</v>
      </c>
      <c r="L256" s="2" t="s">
        <v>24</v>
      </c>
      <c r="M256" s="2">
        <v>0</v>
      </c>
      <c r="N256" s="2" t="str">
        <f>VLOOKUP(A256, zcorin_converter!A:L, 12, FALSE)</f>
        <v>Bag in Box</v>
      </c>
      <c r="O256" s="2">
        <v>0</v>
      </c>
      <c r="P256" s="2" t="s">
        <v>25</v>
      </c>
    </row>
    <row r="257" spans="1:16">
      <c r="A257" s="11" t="s">
        <v>609</v>
      </c>
      <c r="B257" s="2" t="s">
        <v>610</v>
      </c>
      <c r="C257" s="2">
        <v>24</v>
      </c>
      <c r="D257" s="2">
        <f>C257*E257/1000</f>
        <v>4.8</v>
      </c>
      <c r="E257" s="2">
        <v>200</v>
      </c>
      <c r="F257" s="2" t="s">
        <v>59</v>
      </c>
      <c r="G257" s="2" t="s">
        <v>29</v>
      </c>
      <c r="H257" s="2" t="s">
        <v>29</v>
      </c>
      <c r="I257" s="2" t="s">
        <v>62</v>
      </c>
      <c r="J257" s="2" t="s">
        <v>22</v>
      </c>
      <c r="K257" s="2" t="s">
        <v>29</v>
      </c>
      <c r="L257" s="2" t="s">
        <v>24</v>
      </c>
      <c r="M257" s="2">
        <v>0</v>
      </c>
      <c r="N257" s="2" t="str">
        <f>VLOOKUP(A257, zcorin_converter!A:L, 12, FALSE)</f>
        <v>Bag in Box</v>
      </c>
      <c r="O257" s="2">
        <v>0</v>
      </c>
      <c r="P257" s="2" t="s">
        <v>25</v>
      </c>
    </row>
    <row r="258" spans="1:16">
      <c r="A258" s="11" t="s">
        <v>611</v>
      </c>
      <c r="B258" s="2" t="s">
        <v>612</v>
      </c>
      <c r="C258" s="2">
        <v>24</v>
      </c>
      <c r="D258" s="2">
        <f>E258*C258/1000</f>
        <v>4.08</v>
      </c>
      <c r="E258" s="2">
        <v>170</v>
      </c>
      <c r="F258" s="2" t="s">
        <v>18</v>
      </c>
      <c r="G258" s="2" t="s">
        <v>80</v>
      </c>
      <c r="H258" s="2" t="s">
        <v>388</v>
      </c>
      <c r="I258" s="2" t="s">
        <v>389</v>
      </c>
      <c r="J258" s="2" t="s">
        <v>22</v>
      </c>
      <c r="K258" s="2" t="s">
        <v>83</v>
      </c>
      <c r="L258" s="2" t="s">
        <v>24</v>
      </c>
      <c r="M258" s="2">
        <v>0</v>
      </c>
      <c r="N258" s="2" t="str">
        <f>VLOOKUP(A258, zcorin_converter!A:L, 12, FALSE)</f>
        <v>Bag in Box</v>
      </c>
      <c r="O258" s="2">
        <v>0</v>
      </c>
      <c r="P258" s="2" t="s">
        <v>25</v>
      </c>
    </row>
    <row r="259" spans="1:16">
      <c r="A259" s="11" t="s">
        <v>613</v>
      </c>
      <c r="B259" s="2" t="s">
        <v>614</v>
      </c>
      <c r="C259" s="2">
        <v>24</v>
      </c>
      <c r="D259" s="2">
        <f>E259*C259/1000</f>
        <v>9.6</v>
      </c>
      <c r="E259" s="2">
        <v>400</v>
      </c>
      <c r="F259" s="2" t="s">
        <v>18</v>
      </c>
      <c r="G259" s="2" t="s">
        <v>19</v>
      </c>
      <c r="H259" s="2" t="s">
        <v>20</v>
      </c>
      <c r="I259" s="2" t="s">
        <v>30</v>
      </c>
      <c r="J259" s="2" t="s">
        <v>22</v>
      </c>
      <c r="K259" s="2" t="s">
        <v>23</v>
      </c>
      <c r="L259" s="2" t="s">
        <v>24</v>
      </c>
      <c r="M259" s="2">
        <v>0</v>
      </c>
      <c r="N259" s="2" t="str">
        <f>VLOOKUP(A259, zcorin_converter!A:L, 12, FALSE)</f>
        <v>Canning</v>
      </c>
      <c r="O259" s="2">
        <v>0</v>
      </c>
      <c r="P259" s="2" t="s">
        <v>25</v>
      </c>
    </row>
    <row r="260" spans="1:16">
      <c r="A260" s="11" t="s">
        <v>615</v>
      </c>
      <c r="B260" s="2" t="s">
        <v>616</v>
      </c>
      <c r="C260" s="2">
        <v>48</v>
      </c>
      <c r="D260" s="2">
        <v>7.2</v>
      </c>
      <c r="E260" s="2">
        <v>150</v>
      </c>
      <c r="F260" s="2" t="s">
        <v>18</v>
      </c>
      <c r="G260" s="2" t="s">
        <v>107</v>
      </c>
      <c r="H260" s="2" t="s">
        <v>617</v>
      </c>
      <c r="I260" s="2" t="s">
        <v>618</v>
      </c>
      <c r="J260" s="2" t="s">
        <v>156</v>
      </c>
      <c r="K260" s="2" t="s">
        <v>110</v>
      </c>
      <c r="L260" s="2" t="s">
        <v>47</v>
      </c>
      <c r="M260" s="2">
        <f>2900/24</f>
        <v>120.83333333333333</v>
      </c>
      <c r="N260" s="2" t="str">
        <f>VLOOKUP(A260, zcorin_converter!A:L, 12, FALSE)</f>
        <v>Bag in Box</v>
      </c>
      <c r="O260" s="2" t="s">
        <v>377</v>
      </c>
      <c r="P260" s="2" t="s">
        <v>25</v>
      </c>
    </row>
    <row r="261" spans="1:16">
      <c r="A261" s="11" t="s">
        <v>619</v>
      </c>
      <c r="B261" s="2" t="s">
        <v>620</v>
      </c>
      <c r="C261" s="2">
        <v>21</v>
      </c>
      <c r="D261" s="2">
        <f t="shared" ref="D261:D271" si="18">C261*E261/1000</f>
        <v>8.4</v>
      </c>
      <c r="E261" s="2">
        <v>400</v>
      </c>
      <c r="F261" s="2" t="s">
        <v>18</v>
      </c>
      <c r="G261" s="2" t="s">
        <v>107</v>
      </c>
      <c r="H261" s="2" t="s">
        <v>617</v>
      </c>
      <c r="I261" s="2" t="s">
        <v>618</v>
      </c>
      <c r="J261" s="2" t="s">
        <v>156</v>
      </c>
      <c r="K261" s="2" t="s">
        <v>110</v>
      </c>
      <c r="L261" s="2" t="s">
        <v>47</v>
      </c>
      <c r="M261" s="2">
        <f>5200/24</f>
        <v>216.66666666666666</v>
      </c>
      <c r="N261" s="2" t="str">
        <f>VLOOKUP(A261, zcorin_converter!A:L, 12, FALSE)</f>
        <v>Bag in Box</v>
      </c>
      <c r="O261" s="2" t="s">
        <v>362</v>
      </c>
      <c r="P261" s="2" t="s">
        <v>25</v>
      </c>
    </row>
    <row r="262" spans="1:16">
      <c r="A262" s="11" t="s">
        <v>621</v>
      </c>
      <c r="B262" s="2" t="s">
        <v>622</v>
      </c>
      <c r="C262" s="2">
        <v>12</v>
      </c>
      <c r="D262" s="2">
        <f t="shared" si="18"/>
        <v>7.2</v>
      </c>
      <c r="E262" s="2">
        <v>600</v>
      </c>
      <c r="F262" s="2" t="s">
        <v>18</v>
      </c>
      <c r="G262" s="2" t="s">
        <v>107</v>
      </c>
      <c r="H262" s="2" t="s">
        <v>617</v>
      </c>
      <c r="I262" s="2" t="s">
        <v>618</v>
      </c>
      <c r="J262" s="2" t="s">
        <v>156</v>
      </c>
      <c r="K262" s="2" t="s">
        <v>110</v>
      </c>
      <c r="L262" s="2" t="s">
        <v>47</v>
      </c>
      <c r="M262" s="2">
        <f>8000/24</f>
        <v>333.33333333333331</v>
      </c>
      <c r="N262" s="2" t="str">
        <f>VLOOKUP(A262, zcorin_converter!A:L, 12, FALSE)</f>
        <v>Bag in Box</v>
      </c>
      <c r="O262" s="2" t="s">
        <v>623</v>
      </c>
      <c r="P262" s="2" t="s">
        <v>25</v>
      </c>
    </row>
    <row r="263" spans="1:16">
      <c r="A263" s="11" t="s">
        <v>624</v>
      </c>
      <c r="B263" s="2" t="s">
        <v>625</v>
      </c>
      <c r="C263" s="2">
        <v>48</v>
      </c>
      <c r="D263" s="2">
        <f t="shared" si="18"/>
        <v>7.2</v>
      </c>
      <c r="E263" s="2">
        <v>150</v>
      </c>
      <c r="F263" s="2" t="s">
        <v>18</v>
      </c>
      <c r="G263" s="2" t="s">
        <v>107</v>
      </c>
      <c r="H263" s="2" t="s">
        <v>617</v>
      </c>
      <c r="I263" s="2" t="s">
        <v>618</v>
      </c>
      <c r="J263" s="2" t="s">
        <v>156</v>
      </c>
      <c r="K263" s="2" t="s">
        <v>110</v>
      </c>
      <c r="L263" s="2" t="s">
        <v>47</v>
      </c>
      <c r="M263" s="2">
        <f>2900/24</f>
        <v>120.83333333333333</v>
      </c>
      <c r="N263" s="2" t="str">
        <f>VLOOKUP(A263, zcorin_converter!A:L, 12, FALSE)</f>
        <v>Bag in Box</v>
      </c>
      <c r="O263" s="2" t="s">
        <v>377</v>
      </c>
      <c r="P263" s="2" t="s">
        <v>25</v>
      </c>
    </row>
    <row r="264" spans="1:16">
      <c r="A264" s="11" t="s">
        <v>626</v>
      </c>
      <c r="B264" s="2" t="s">
        <v>627</v>
      </c>
      <c r="C264" s="2">
        <v>21</v>
      </c>
      <c r="D264" s="2">
        <f t="shared" si="18"/>
        <v>8.4</v>
      </c>
      <c r="E264" s="2">
        <v>400</v>
      </c>
      <c r="F264" s="2" t="s">
        <v>18</v>
      </c>
      <c r="G264" s="2" t="s">
        <v>107</v>
      </c>
      <c r="H264" s="2" t="s">
        <v>617</v>
      </c>
      <c r="I264" s="2" t="s">
        <v>618</v>
      </c>
      <c r="J264" s="2" t="s">
        <v>156</v>
      </c>
      <c r="K264" s="2" t="s">
        <v>110</v>
      </c>
      <c r="L264" s="2" t="s">
        <v>47</v>
      </c>
      <c r="M264" s="2">
        <f>5200/24</f>
        <v>216.66666666666666</v>
      </c>
      <c r="N264" s="2" t="str">
        <f>VLOOKUP(A264, zcorin_converter!A:L, 12, FALSE)</f>
        <v>Bag in Box</v>
      </c>
      <c r="O264" s="2" t="s">
        <v>362</v>
      </c>
      <c r="P264" s="2" t="s">
        <v>25</v>
      </c>
    </row>
    <row r="265" spans="1:16">
      <c r="A265" s="11" t="s">
        <v>628</v>
      </c>
      <c r="B265" s="2" t="s">
        <v>629</v>
      </c>
      <c r="C265" s="2">
        <v>12</v>
      </c>
      <c r="D265" s="2">
        <f t="shared" si="18"/>
        <v>7.2</v>
      </c>
      <c r="E265" s="2">
        <v>600</v>
      </c>
      <c r="F265" s="2" t="s">
        <v>18</v>
      </c>
      <c r="G265" s="2" t="s">
        <v>107</v>
      </c>
      <c r="H265" s="2" t="s">
        <v>617</v>
      </c>
      <c r="I265" s="2" t="s">
        <v>618</v>
      </c>
      <c r="J265" s="2" t="s">
        <v>156</v>
      </c>
      <c r="K265" s="2" t="s">
        <v>110</v>
      </c>
      <c r="L265" s="2" t="s">
        <v>47</v>
      </c>
      <c r="M265" s="2">
        <f>8000/24</f>
        <v>333.33333333333331</v>
      </c>
      <c r="N265" s="2" t="str">
        <f>VLOOKUP(A265, zcorin_converter!A:L, 12, FALSE)</f>
        <v>Bag in Box</v>
      </c>
      <c r="O265" s="2" t="s">
        <v>623</v>
      </c>
      <c r="P265" s="2" t="s">
        <v>25</v>
      </c>
    </row>
    <row r="266" spans="1:16">
      <c r="A266" s="11" t="s">
        <v>630</v>
      </c>
      <c r="B266" s="2" t="s">
        <v>631</v>
      </c>
      <c r="C266" s="2">
        <v>48</v>
      </c>
      <c r="D266" s="2">
        <f t="shared" si="18"/>
        <v>7.2</v>
      </c>
      <c r="E266" s="2">
        <v>150</v>
      </c>
      <c r="F266" s="2" t="s">
        <v>18</v>
      </c>
      <c r="G266" s="2" t="s">
        <v>107</v>
      </c>
      <c r="H266" s="2" t="s">
        <v>632</v>
      </c>
      <c r="I266" s="2" t="s">
        <v>618</v>
      </c>
      <c r="J266" s="2" t="s">
        <v>156</v>
      </c>
      <c r="K266" s="2" t="s">
        <v>110</v>
      </c>
      <c r="L266" s="2" t="s">
        <v>47</v>
      </c>
      <c r="M266" s="2">
        <f>2900/24</f>
        <v>120.83333333333333</v>
      </c>
      <c r="N266" s="2" t="str">
        <f>VLOOKUP(A266, zcorin_converter!A:L, 12, FALSE)</f>
        <v>Bag in Box</v>
      </c>
      <c r="O266" s="2" t="s">
        <v>377</v>
      </c>
      <c r="P266" s="2" t="s">
        <v>25</v>
      </c>
    </row>
    <row r="267" spans="1:16">
      <c r="A267" s="11" t="s">
        <v>633</v>
      </c>
      <c r="B267" s="2" t="s">
        <v>634</v>
      </c>
      <c r="C267" s="2">
        <v>21</v>
      </c>
      <c r="D267" s="2">
        <f t="shared" si="18"/>
        <v>8.4</v>
      </c>
      <c r="E267" s="2">
        <v>400</v>
      </c>
      <c r="F267" s="2" t="s">
        <v>18</v>
      </c>
      <c r="G267" s="2" t="s">
        <v>107</v>
      </c>
      <c r="H267" s="2" t="s">
        <v>632</v>
      </c>
      <c r="I267" s="2" t="s">
        <v>618</v>
      </c>
      <c r="J267" s="2" t="s">
        <v>156</v>
      </c>
      <c r="K267" s="2" t="s">
        <v>110</v>
      </c>
      <c r="L267" s="2" t="s">
        <v>47</v>
      </c>
      <c r="M267" s="2">
        <f>5200/24</f>
        <v>216.66666666666666</v>
      </c>
      <c r="N267" s="2" t="str">
        <f>VLOOKUP(A267, zcorin_converter!A:L, 12, FALSE)</f>
        <v>Bag in Box</v>
      </c>
      <c r="O267" s="2" t="s">
        <v>362</v>
      </c>
      <c r="P267" s="2" t="s">
        <v>25</v>
      </c>
    </row>
    <row r="268" spans="1:16">
      <c r="A268" s="11" t="s">
        <v>635</v>
      </c>
      <c r="B268" s="2" t="s">
        <v>636</v>
      </c>
      <c r="C268" s="2">
        <v>12</v>
      </c>
      <c r="D268" s="2">
        <f t="shared" si="18"/>
        <v>7.2</v>
      </c>
      <c r="E268" s="2">
        <v>600</v>
      </c>
      <c r="F268" s="2" t="s">
        <v>18</v>
      </c>
      <c r="G268" s="2" t="s">
        <v>107</v>
      </c>
      <c r="H268" s="2" t="s">
        <v>632</v>
      </c>
      <c r="I268" s="2" t="s">
        <v>618</v>
      </c>
      <c r="J268" s="2" t="s">
        <v>156</v>
      </c>
      <c r="K268" s="2" t="s">
        <v>110</v>
      </c>
      <c r="L268" s="2" t="s">
        <v>47</v>
      </c>
      <c r="M268" s="2">
        <f>8000/24</f>
        <v>333.33333333333331</v>
      </c>
      <c r="N268" s="2" t="str">
        <f>VLOOKUP(A268, zcorin_converter!A:L, 12, FALSE)</f>
        <v>Bag in Box</v>
      </c>
      <c r="O268" s="2" t="s">
        <v>623</v>
      </c>
      <c r="P268" s="2" t="s">
        <v>25</v>
      </c>
    </row>
    <row r="269" spans="1:16">
      <c r="A269" s="11" t="s">
        <v>637</v>
      </c>
      <c r="B269" s="2" t="s">
        <v>638</v>
      </c>
      <c r="C269" s="2">
        <v>21</v>
      </c>
      <c r="D269" s="2">
        <f t="shared" si="18"/>
        <v>8.4</v>
      </c>
      <c r="E269" s="2">
        <v>400</v>
      </c>
      <c r="F269" s="2" t="s">
        <v>18</v>
      </c>
      <c r="G269" s="2" t="s">
        <v>107</v>
      </c>
      <c r="H269" s="2" t="s">
        <v>632</v>
      </c>
      <c r="I269" s="2" t="s">
        <v>618</v>
      </c>
      <c r="J269" s="2" t="s">
        <v>156</v>
      </c>
      <c r="K269" s="2" t="s">
        <v>110</v>
      </c>
      <c r="L269" s="2" t="s">
        <v>47</v>
      </c>
      <c r="M269" s="2">
        <f>5200/24</f>
        <v>216.66666666666666</v>
      </c>
      <c r="N269" s="2" t="str">
        <f>VLOOKUP(A269, zcorin_converter!A:L, 12, FALSE)</f>
        <v>Bag in Box</v>
      </c>
      <c r="O269" s="2" t="s">
        <v>362</v>
      </c>
      <c r="P269" s="2" t="s">
        <v>25</v>
      </c>
    </row>
    <row r="270" spans="1:16">
      <c r="A270" s="11" t="s">
        <v>639</v>
      </c>
      <c r="B270" s="2" t="s">
        <v>640</v>
      </c>
      <c r="C270" s="2">
        <v>12</v>
      </c>
      <c r="D270" s="2">
        <f t="shared" si="18"/>
        <v>7.2</v>
      </c>
      <c r="E270" s="2">
        <v>600</v>
      </c>
      <c r="F270" s="2" t="s">
        <v>18</v>
      </c>
      <c r="G270" s="2" t="s">
        <v>107</v>
      </c>
      <c r="H270" s="2" t="s">
        <v>632</v>
      </c>
      <c r="I270" s="2" t="s">
        <v>618</v>
      </c>
      <c r="J270" s="2" t="s">
        <v>156</v>
      </c>
      <c r="K270" s="2" t="s">
        <v>110</v>
      </c>
      <c r="L270" s="2" t="s">
        <v>47</v>
      </c>
      <c r="M270" s="2">
        <f>8000/24</f>
        <v>333.33333333333331</v>
      </c>
      <c r="N270" s="2" t="str">
        <f>VLOOKUP(A270, zcorin_converter!A:L, 12, FALSE)</f>
        <v>Bag in Box</v>
      </c>
      <c r="O270" s="2" t="s">
        <v>623</v>
      </c>
      <c r="P270" s="2" t="s">
        <v>25</v>
      </c>
    </row>
    <row r="271" spans="1:16">
      <c r="A271" s="11" t="s">
        <v>641</v>
      </c>
      <c r="B271" s="2" t="s">
        <v>642</v>
      </c>
      <c r="C271" s="2">
        <v>21</v>
      </c>
      <c r="D271" s="2">
        <f t="shared" si="18"/>
        <v>8.4</v>
      </c>
      <c r="E271" s="2">
        <v>400</v>
      </c>
      <c r="F271" s="2" t="s">
        <v>18</v>
      </c>
      <c r="G271" s="2" t="s">
        <v>107</v>
      </c>
      <c r="H271" s="2" t="s">
        <v>632</v>
      </c>
      <c r="I271" s="2" t="s">
        <v>618</v>
      </c>
      <c r="J271" s="2" t="s">
        <v>156</v>
      </c>
      <c r="K271" s="2" t="s">
        <v>110</v>
      </c>
      <c r="L271" s="2" t="s">
        <v>47</v>
      </c>
      <c r="M271" s="2">
        <f>5200/24</f>
        <v>216.66666666666666</v>
      </c>
      <c r="N271" s="2" t="str">
        <f>VLOOKUP(A271, zcorin_converter!A:L, 12, FALSE)</f>
        <v>Bag in Box</v>
      </c>
      <c r="O271" s="2" t="s">
        <v>362</v>
      </c>
      <c r="P271" s="2" t="s">
        <v>25</v>
      </c>
    </row>
    <row r="272" spans="1:16">
      <c r="A272" s="11" t="s">
        <v>643</v>
      </c>
      <c r="B272" s="2" t="s">
        <v>644</v>
      </c>
      <c r="C272" s="2">
        <v>48</v>
      </c>
      <c r="D272" s="2">
        <v>5.76</v>
      </c>
      <c r="E272" s="2">
        <v>120</v>
      </c>
      <c r="F272" s="2" t="s">
        <v>18</v>
      </c>
      <c r="G272" s="2" t="s">
        <v>107</v>
      </c>
      <c r="H272" s="2" t="s">
        <v>531</v>
      </c>
      <c r="I272" s="2" t="s">
        <v>532</v>
      </c>
      <c r="J272" s="2" t="s">
        <v>42</v>
      </c>
      <c r="K272" s="2" t="s">
        <v>110</v>
      </c>
      <c r="L272" s="2" t="s">
        <v>24</v>
      </c>
      <c r="M272" s="2">
        <v>0</v>
      </c>
      <c r="N272" s="2" t="str">
        <f>VLOOKUP(A272, zcorin_converter!A:L, 12, FALSE)</f>
        <v>Bag in Box</v>
      </c>
      <c r="O272" s="2">
        <v>0</v>
      </c>
      <c r="P272" s="2" t="s">
        <v>25</v>
      </c>
    </row>
    <row r="273" spans="1:16">
      <c r="A273" s="11" t="s">
        <v>645</v>
      </c>
      <c r="B273" s="2" t="s">
        <v>646</v>
      </c>
      <c r="C273" s="2">
        <v>48</v>
      </c>
      <c r="D273" s="2">
        <f>C273*E273/1000</f>
        <v>7.2</v>
      </c>
      <c r="E273" s="2">
        <v>150</v>
      </c>
      <c r="F273" s="2" t="s">
        <v>18</v>
      </c>
      <c r="G273" s="2" t="s">
        <v>107</v>
      </c>
      <c r="H273" s="2" t="s">
        <v>531</v>
      </c>
      <c r="I273" s="2" t="s">
        <v>532</v>
      </c>
      <c r="J273" s="2" t="s">
        <v>42</v>
      </c>
      <c r="K273" s="2" t="s">
        <v>110</v>
      </c>
      <c r="L273" s="2" t="s">
        <v>24</v>
      </c>
      <c r="M273" s="2">
        <v>0</v>
      </c>
      <c r="N273" s="2" t="str">
        <f>VLOOKUP(A273, zcorin_converter!A:L, 12, FALSE)</f>
        <v>Bag in Box</v>
      </c>
      <c r="O273" s="2">
        <v>0</v>
      </c>
      <c r="P273" s="2" t="s">
        <v>25</v>
      </c>
    </row>
    <row r="274" spans="1:16">
      <c r="A274" s="11" t="s">
        <v>647</v>
      </c>
      <c r="B274" s="2" t="s">
        <v>648</v>
      </c>
      <c r="C274" s="2">
        <v>24</v>
      </c>
      <c r="D274" s="2">
        <f>C274*E274/1000</f>
        <v>9.6</v>
      </c>
      <c r="E274" s="2">
        <v>400</v>
      </c>
      <c r="F274" s="2" t="s">
        <v>18</v>
      </c>
      <c r="G274" s="2" t="s">
        <v>107</v>
      </c>
      <c r="H274" s="2" t="s">
        <v>531</v>
      </c>
      <c r="I274" s="2" t="s">
        <v>532</v>
      </c>
      <c r="J274" s="2" t="s">
        <v>42</v>
      </c>
      <c r="K274" s="2" t="s">
        <v>110</v>
      </c>
      <c r="L274" s="2" t="s">
        <v>24</v>
      </c>
      <c r="M274" s="2">
        <v>0</v>
      </c>
      <c r="N274" s="2" t="str">
        <f>VLOOKUP(A274, zcorin_converter!A:L, 12, FALSE)</f>
        <v>Bag in Box</v>
      </c>
      <c r="O274" s="2">
        <v>0</v>
      </c>
      <c r="P274" s="2" t="s">
        <v>25</v>
      </c>
    </row>
    <row r="275" spans="1:16">
      <c r="A275" s="11" t="s">
        <v>649</v>
      </c>
      <c r="B275" s="2" t="s">
        <v>650</v>
      </c>
      <c r="C275" s="2">
        <v>12</v>
      </c>
      <c r="D275" s="2">
        <f>C275*E275/1000</f>
        <v>7.2</v>
      </c>
      <c r="E275" s="2">
        <v>600</v>
      </c>
      <c r="F275" s="2" t="s">
        <v>18</v>
      </c>
      <c r="G275" s="2" t="s">
        <v>107</v>
      </c>
      <c r="H275" s="2" t="s">
        <v>531</v>
      </c>
      <c r="I275" s="2" t="s">
        <v>532</v>
      </c>
      <c r="J275" s="2" t="s">
        <v>42</v>
      </c>
      <c r="K275" s="2" t="s">
        <v>110</v>
      </c>
      <c r="L275" s="2" t="s">
        <v>24</v>
      </c>
      <c r="M275" s="2">
        <v>0</v>
      </c>
      <c r="N275" s="2" t="str">
        <f>VLOOKUP(A275, zcorin_converter!A:L, 12, FALSE)</f>
        <v>Bag in Box</v>
      </c>
      <c r="O275" s="2">
        <v>0</v>
      </c>
      <c r="P275" s="2" t="s">
        <v>25</v>
      </c>
    </row>
    <row r="276" spans="1:16">
      <c r="A276" s="11" t="s">
        <v>651</v>
      </c>
      <c r="B276" s="2" t="s">
        <v>652</v>
      </c>
      <c r="C276" s="2">
        <v>10</v>
      </c>
      <c r="D276" s="2">
        <f>C276*E276/1000</f>
        <v>10</v>
      </c>
      <c r="E276" s="2">
        <v>1000</v>
      </c>
      <c r="F276" s="2" t="s">
        <v>18</v>
      </c>
      <c r="G276" s="2" t="s">
        <v>107</v>
      </c>
      <c r="H276" s="2" t="s">
        <v>531</v>
      </c>
      <c r="I276" s="2" t="s">
        <v>532</v>
      </c>
      <c r="J276" s="2" t="s">
        <v>42</v>
      </c>
      <c r="K276" s="2" t="s">
        <v>110</v>
      </c>
      <c r="L276" s="2" t="s">
        <v>24</v>
      </c>
      <c r="M276" s="2">
        <v>0</v>
      </c>
      <c r="N276" s="2" t="str">
        <f>VLOOKUP(A276, zcorin_converter!A:L, 12, FALSE)</f>
        <v>Bag in Box</v>
      </c>
      <c r="O276" s="2">
        <v>0</v>
      </c>
      <c r="P276" s="2" t="s">
        <v>25</v>
      </c>
    </row>
    <row r="277" spans="1:16">
      <c r="A277" s="11" t="s">
        <v>653</v>
      </c>
      <c r="B277" s="2" t="s">
        <v>654</v>
      </c>
      <c r="C277" s="2">
        <v>48</v>
      </c>
      <c r="D277" s="2">
        <v>5.76</v>
      </c>
      <c r="E277" s="2">
        <v>120</v>
      </c>
      <c r="F277" s="2" t="s">
        <v>18</v>
      </c>
      <c r="G277" s="2" t="s">
        <v>107</v>
      </c>
      <c r="H277" s="2" t="s">
        <v>365</v>
      </c>
      <c r="I277" s="2" t="s">
        <v>366</v>
      </c>
      <c r="J277" s="2" t="s">
        <v>38</v>
      </c>
      <c r="K277" s="2" t="s">
        <v>110</v>
      </c>
      <c r="L277" s="2" t="s">
        <v>24</v>
      </c>
      <c r="M277" s="2">
        <v>0</v>
      </c>
      <c r="N277" s="2" t="str">
        <f>VLOOKUP(A277, zcorin_converter!A:L, 12, FALSE)</f>
        <v>Bag in Box</v>
      </c>
      <c r="O277" s="2">
        <v>0</v>
      </c>
      <c r="P277" s="2" t="s">
        <v>25</v>
      </c>
    </row>
    <row r="278" spans="1:16">
      <c r="A278" s="11" t="s">
        <v>655</v>
      </c>
      <c r="B278" s="2" t="s">
        <v>656</v>
      </c>
      <c r="C278" s="2">
        <v>48</v>
      </c>
      <c r="D278" s="2">
        <f>C278*E278/1000</f>
        <v>7.2</v>
      </c>
      <c r="E278" s="2">
        <v>150</v>
      </c>
      <c r="F278" s="2" t="s">
        <v>18</v>
      </c>
      <c r="G278" s="2" t="s">
        <v>107</v>
      </c>
      <c r="H278" s="2" t="s">
        <v>365</v>
      </c>
      <c r="I278" s="2" t="s">
        <v>366</v>
      </c>
      <c r="J278" s="2" t="s">
        <v>38</v>
      </c>
      <c r="K278" s="2" t="s">
        <v>110</v>
      </c>
      <c r="L278" s="2" t="s">
        <v>24</v>
      </c>
      <c r="M278" s="2">
        <v>0</v>
      </c>
      <c r="N278" s="2" t="str">
        <f>VLOOKUP(A278, zcorin_converter!A:L, 12, FALSE)</f>
        <v>Bag in Box</v>
      </c>
      <c r="O278" s="2">
        <v>0</v>
      </c>
      <c r="P278" s="2" t="s">
        <v>25</v>
      </c>
    </row>
    <row r="279" spans="1:16">
      <c r="A279" s="11" t="s">
        <v>657</v>
      </c>
      <c r="B279" s="2" t="s">
        <v>658</v>
      </c>
      <c r="C279" s="2">
        <v>24</v>
      </c>
      <c r="D279" s="5">
        <f>C279*E279/1000</f>
        <v>9.6</v>
      </c>
      <c r="E279" s="2">
        <v>400</v>
      </c>
      <c r="F279" s="2" t="s">
        <v>18</v>
      </c>
      <c r="G279" s="2" t="s">
        <v>107</v>
      </c>
      <c r="H279" s="2" t="s">
        <v>365</v>
      </c>
      <c r="I279" s="2" t="s">
        <v>366</v>
      </c>
      <c r="J279" s="2" t="s">
        <v>38</v>
      </c>
      <c r="K279" s="2" t="s">
        <v>110</v>
      </c>
      <c r="L279" s="2" t="s">
        <v>24</v>
      </c>
      <c r="M279" s="2">
        <v>0</v>
      </c>
      <c r="N279" s="2" t="str">
        <f>VLOOKUP(A279, zcorin_converter!A:L, 12, FALSE)</f>
        <v>Bag in Box</v>
      </c>
      <c r="O279" s="2">
        <v>0</v>
      </c>
      <c r="P279" s="2" t="s">
        <v>25</v>
      </c>
    </row>
    <row r="280" spans="1:16">
      <c r="A280" s="11" t="s">
        <v>659</v>
      </c>
      <c r="B280" s="2" t="s">
        <v>660</v>
      </c>
      <c r="C280" s="2">
        <v>12</v>
      </c>
      <c r="D280" s="2">
        <v>7.2</v>
      </c>
      <c r="E280" s="2">
        <v>600</v>
      </c>
      <c r="F280" s="2" t="s">
        <v>18</v>
      </c>
      <c r="G280" s="2" t="s">
        <v>107</v>
      </c>
      <c r="H280" s="2" t="s">
        <v>365</v>
      </c>
      <c r="I280" s="2" t="s">
        <v>366</v>
      </c>
      <c r="J280" s="2" t="s">
        <v>38</v>
      </c>
      <c r="K280" s="2" t="s">
        <v>110</v>
      </c>
      <c r="L280" s="2" t="s">
        <v>24</v>
      </c>
      <c r="M280" s="2">
        <v>0</v>
      </c>
      <c r="N280" s="2" t="str">
        <f>VLOOKUP(A280, zcorin_converter!A:L, 12, FALSE)</f>
        <v>Bag in Box</v>
      </c>
      <c r="O280" s="2">
        <v>0</v>
      </c>
      <c r="P280" s="2" t="s">
        <v>25</v>
      </c>
    </row>
    <row r="281" spans="1:16">
      <c r="A281" s="11" t="s">
        <v>661</v>
      </c>
      <c r="B281" s="2" t="s">
        <v>662</v>
      </c>
      <c r="C281" s="2">
        <v>10</v>
      </c>
      <c r="D281" s="2">
        <v>10</v>
      </c>
      <c r="E281" s="2">
        <v>1000</v>
      </c>
      <c r="F281" s="2" t="s">
        <v>18</v>
      </c>
      <c r="G281" s="2" t="s">
        <v>107</v>
      </c>
      <c r="H281" s="2" t="s">
        <v>365</v>
      </c>
      <c r="I281" s="2" t="s">
        <v>366</v>
      </c>
      <c r="J281" s="2" t="s">
        <v>38</v>
      </c>
      <c r="K281" s="2" t="s">
        <v>110</v>
      </c>
      <c r="L281" s="2" t="s">
        <v>24</v>
      </c>
      <c r="M281" s="2">
        <v>0</v>
      </c>
      <c r="N281" s="2" t="str">
        <f>VLOOKUP(A281, zcorin_converter!A:L, 12, FALSE)</f>
        <v>Bag in Box</v>
      </c>
      <c r="O281" s="2">
        <v>0</v>
      </c>
      <c r="P281" s="2" t="s">
        <v>25</v>
      </c>
    </row>
    <row r="282" spans="1:16">
      <c r="A282" s="11" t="s">
        <v>663</v>
      </c>
      <c r="B282" s="2" t="s">
        <v>664</v>
      </c>
      <c r="C282" s="2">
        <v>10</v>
      </c>
      <c r="D282" s="2">
        <f t="shared" ref="D282:D312" si="19">C282*E282/1000</f>
        <v>9</v>
      </c>
      <c r="E282" s="2">
        <v>900</v>
      </c>
      <c r="F282" s="2" t="s">
        <v>18</v>
      </c>
      <c r="G282" s="2" t="s">
        <v>107</v>
      </c>
      <c r="H282" s="2" t="s">
        <v>617</v>
      </c>
      <c r="I282" s="2" t="s">
        <v>618</v>
      </c>
      <c r="J282" s="2" t="s">
        <v>156</v>
      </c>
      <c r="K282" s="2" t="s">
        <v>110</v>
      </c>
      <c r="L282" s="2" t="s">
        <v>47</v>
      </c>
      <c r="M282" s="2">
        <f>5500/24</f>
        <v>229.16666666666666</v>
      </c>
      <c r="N282" s="2" t="str">
        <f>VLOOKUP(A282, zcorin_converter!A:L, 12, FALSE)</f>
        <v>Bag in Box</v>
      </c>
      <c r="O282" s="2" t="s">
        <v>377</v>
      </c>
      <c r="P282" s="2" t="s">
        <v>25</v>
      </c>
    </row>
    <row r="283" spans="1:16">
      <c r="A283" s="11" t="s">
        <v>663</v>
      </c>
      <c r="B283" s="2" t="s">
        <v>664</v>
      </c>
      <c r="C283" s="2">
        <v>10</v>
      </c>
      <c r="D283" s="2">
        <f t="shared" si="19"/>
        <v>9</v>
      </c>
      <c r="E283" s="2">
        <v>900</v>
      </c>
      <c r="F283" s="2" t="s">
        <v>18</v>
      </c>
      <c r="G283" s="2" t="s">
        <v>107</v>
      </c>
      <c r="H283" s="2" t="s">
        <v>617</v>
      </c>
      <c r="I283" s="2" t="s">
        <v>618</v>
      </c>
      <c r="J283" s="2" t="s">
        <v>156</v>
      </c>
      <c r="K283" s="2" t="s">
        <v>110</v>
      </c>
      <c r="L283" s="2" t="s">
        <v>47</v>
      </c>
      <c r="M283" s="2">
        <f>6000/24</f>
        <v>250</v>
      </c>
      <c r="N283" s="2" t="str">
        <f>VLOOKUP(A283, zcorin_converter!A:L, 12, FALSE)</f>
        <v>Bag in Box</v>
      </c>
      <c r="O283" s="2" t="s">
        <v>216</v>
      </c>
      <c r="P283" s="2" t="s">
        <v>25</v>
      </c>
    </row>
    <row r="284" spans="1:16">
      <c r="A284" s="11" t="s">
        <v>663</v>
      </c>
      <c r="B284" s="2" t="s">
        <v>664</v>
      </c>
      <c r="C284" s="2">
        <v>10</v>
      </c>
      <c r="D284" s="2">
        <f t="shared" si="19"/>
        <v>9</v>
      </c>
      <c r="E284" s="2">
        <v>900</v>
      </c>
      <c r="F284" s="2" t="s">
        <v>18</v>
      </c>
      <c r="G284" s="2" t="s">
        <v>107</v>
      </c>
      <c r="H284" s="2" t="s">
        <v>617</v>
      </c>
      <c r="I284" s="2" t="s">
        <v>618</v>
      </c>
      <c r="J284" s="2" t="s">
        <v>156</v>
      </c>
      <c r="K284" s="2" t="s">
        <v>110</v>
      </c>
      <c r="L284" s="2" t="s">
        <v>47</v>
      </c>
      <c r="M284" s="2">
        <f>6200/24</f>
        <v>258.33333333333331</v>
      </c>
      <c r="N284" s="2" t="str">
        <f>VLOOKUP(A284, zcorin_converter!A:L, 12, FALSE)</f>
        <v>Bag in Box</v>
      </c>
      <c r="O284" s="2" t="s">
        <v>362</v>
      </c>
      <c r="P284" s="2" t="s">
        <v>25</v>
      </c>
    </row>
    <row r="285" spans="1:16">
      <c r="A285" s="11" t="s">
        <v>663</v>
      </c>
      <c r="B285" s="2" t="s">
        <v>664</v>
      </c>
      <c r="C285" s="2">
        <v>10</v>
      </c>
      <c r="D285" s="2">
        <f t="shared" si="19"/>
        <v>9</v>
      </c>
      <c r="E285" s="2">
        <v>900</v>
      </c>
      <c r="F285" s="2" t="s">
        <v>18</v>
      </c>
      <c r="G285" s="2" t="s">
        <v>107</v>
      </c>
      <c r="H285" s="2" t="s">
        <v>617</v>
      </c>
      <c r="I285" s="2" t="s">
        <v>618</v>
      </c>
      <c r="J285" s="2" t="s">
        <v>156</v>
      </c>
      <c r="K285" s="2" t="s">
        <v>110</v>
      </c>
      <c r="L285" s="2" t="s">
        <v>47</v>
      </c>
      <c r="M285" s="2">
        <f>8200/24</f>
        <v>341.66666666666669</v>
      </c>
      <c r="N285" s="2" t="str">
        <f>VLOOKUP(A285, zcorin_converter!A:L, 12, FALSE)</f>
        <v>Bag in Box</v>
      </c>
      <c r="O285" s="2" t="s">
        <v>623</v>
      </c>
      <c r="P285" s="2" t="s">
        <v>25</v>
      </c>
    </row>
    <row r="286" spans="1:16">
      <c r="A286" s="11" t="s">
        <v>663</v>
      </c>
      <c r="B286" s="2" t="s">
        <v>664</v>
      </c>
      <c r="C286" s="2">
        <v>10</v>
      </c>
      <c r="D286" s="2">
        <f t="shared" si="19"/>
        <v>9</v>
      </c>
      <c r="E286" s="2">
        <v>900</v>
      </c>
      <c r="F286" s="2" t="s">
        <v>18</v>
      </c>
      <c r="G286" s="2" t="s">
        <v>107</v>
      </c>
      <c r="H286" s="2" t="s">
        <v>617</v>
      </c>
      <c r="I286" s="2" t="s">
        <v>618</v>
      </c>
      <c r="J286" s="2" t="s">
        <v>156</v>
      </c>
      <c r="K286" s="2" t="s">
        <v>110</v>
      </c>
      <c r="L286" s="2" t="s">
        <v>47</v>
      </c>
      <c r="M286" s="2">
        <f>4500/24</f>
        <v>187.5</v>
      </c>
      <c r="N286" s="2" t="str">
        <f>VLOOKUP(A286, zcorin_converter!A:L, 12, FALSE)</f>
        <v>Bag in Box</v>
      </c>
      <c r="O286" s="2" t="s">
        <v>205</v>
      </c>
      <c r="P286" s="2" t="s">
        <v>25</v>
      </c>
    </row>
    <row r="287" spans="1:16">
      <c r="A287" s="11" t="s">
        <v>663</v>
      </c>
      <c r="B287" s="2" t="s">
        <v>664</v>
      </c>
      <c r="C287" s="2">
        <v>10</v>
      </c>
      <c r="D287" s="2">
        <f t="shared" si="19"/>
        <v>9</v>
      </c>
      <c r="E287" s="2">
        <v>900</v>
      </c>
      <c r="F287" s="2" t="s">
        <v>18</v>
      </c>
      <c r="G287" s="2" t="s">
        <v>107</v>
      </c>
      <c r="H287" s="2" t="s">
        <v>617</v>
      </c>
      <c r="I287" s="2" t="s">
        <v>618</v>
      </c>
      <c r="J287" s="2" t="s">
        <v>156</v>
      </c>
      <c r="K287" s="2" t="s">
        <v>110</v>
      </c>
      <c r="L287" s="2" t="s">
        <v>47</v>
      </c>
      <c r="M287" s="2">
        <f>4000/24</f>
        <v>166.66666666666666</v>
      </c>
      <c r="N287" s="2" t="str">
        <f>VLOOKUP(A287, zcorin_converter!A:L, 12, FALSE)</f>
        <v>Bag in Box</v>
      </c>
      <c r="O287" s="2" t="s">
        <v>665</v>
      </c>
      <c r="P287" s="2" t="s">
        <v>25</v>
      </c>
    </row>
    <row r="288" spans="1:16">
      <c r="A288" s="11" t="s">
        <v>663</v>
      </c>
      <c r="B288" s="2" t="s">
        <v>664</v>
      </c>
      <c r="C288" s="2">
        <v>10</v>
      </c>
      <c r="D288" s="2">
        <f t="shared" si="19"/>
        <v>9</v>
      </c>
      <c r="E288" s="2">
        <v>900</v>
      </c>
      <c r="F288" s="2" t="s">
        <v>18</v>
      </c>
      <c r="G288" s="2" t="s">
        <v>107</v>
      </c>
      <c r="H288" s="2" t="s">
        <v>617</v>
      </c>
      <c r="I288" s="2" t="s">
        <v>618</v>
      </c>
      <c r="J288" s="2" t="s">
        <v>156</v>
      </c>
      <c r="K288" s="2" t="s">
        <v>110</v>
      </c>
      <c r="L288" s="2" t="s">
        <v>47</v>
      </c>
      <c r="M288" s="2">
        <f>5500/24</f>
        <v>229.16666666666666</v>
      </c>
      <c r="N288" s="2" t="str">
        <f>VLOOKUP(A288, zcorin_converter!A:L, 12, FALSE)</f>
        <v>Bag in Box</v>
      </c>
      <c r="O288" s="2" t="s">
        <v>351</v>
      </c>
      <c r="P288" s="2" t="s">
        <v>25</v>
      </c>
    </row>
    <row r="289" spans="1:16">
      <c r="A289" s="11" t="s">
        <v>666</v>
      </c>
      <c r="B289" s="2" t="s">
        <v>667</v>
      </c>
      <c r="C289" s="2">
        <v>10</v>
      </c>
      <c r="D289" s="2">
        <f t="shared" si="19"/>
        <v>9</v>
      </c>
      <c r="E289" s="2">
        <v>900</v>
      </c>
      <c r="F289" s="2" t="s">
        <v>18</v>
      </c>
      <c r="G289" s="2" t="s">
        <v>107</v>
      </c>
      <c r="H289" s="2" t="s">
        <v>617</v>
      </c>
      <c r="I289" s="2" t="s">
        <v>618</v>
      </c>
      <c r="J289" s="2" t="s">
        <v>156</v>
      </c>
      <c r="K289" s="2" t="s">
        <v>110</v>
      </c>
      <c r="L289" s="2" t="s">
        <v>47</v>
      </c>
      <c r="M289" s="2">
        <f>5500/24</f>
        <v>229.16666666666666</v>
      </c>
      <c r="N289" s="2" t="str">
        <f>VLOOKUP(A289, zcorin_converter!A:L, 12, FALSE)</f>
        <v>Bag in Box</v>
      </c>
      <c r="O289" s="2" t="s">
        <v>377</v>
      </c>
      <c r="P289" s="2" t="s">
        <v>25</v>
      </c>
    </row>
    <row r="290" spans="1:16">
      <c r="A290" s="11" t="s">
        <v>666</v>
      </c>
      <c r="B290" s="2" t="s">
        <v>667</v>
      </c>
      <c r="C290" s="2">
        <v>10</v>
      </c>
      <c r="D290" s="2">
        <f t="shared" si="19"/>
        <v>9</v>
      </c>
      <c r="E290" s="2">
        <v>900</v>
      </c>
      <c r="F290" s="2" t="s">
        <v>18</v>
      </c>
      <c r="G290" s="2" t="s">
        <v>107</v>
      </c>
      <c r="H290" s="2" t="s">
        <v>617</v>
      </c>
      <c r="I290" s="2" t="s">
        <v>618</v>
      </c>
      <c r="J290" s="2" t="s">
        <v>156</v>
      </c>
      <c r="K290" s="2" t="s">
        <v>110</v>
      </c>
      <c r="L290" s="2" t="s">
        <v>47</v>
      </c>
      <c r="M290" s="2">
        <f>6000/24</f>
        <v>250</v>
      </c>
      <c r="N290" s="2" t="str">
        <f>VLOOKUP(A290, zcorin_converter!A:L, 12, FALSE)</f>
        <v>Bag in Box</v>
      </c>
      <c r="O290" s="2" t="s">
        <v>216</v>
      </c>
      <c r="P290" s="2" t="s">
        <v>25</v>
      </c>
    </row>
    <row r="291" spans="1:16">
      <c r="A291" s="11" t="s">
        <v>666</v>
      </c>
      <c r="B291" s="2" t="s">
        <v>667</v>
      </c>
      <c r="C291" s="2">
        <v>10</v>
      </c>
      <c r="D291" s="2">
        <f t="shared" si="19"/>
        <v>9</v>
      </c>
      <c r="E291" s="2">
        <v>900</v>
      </c>
      <c r="F291" s="2" t="s">
        <v>18</v>
      </c>
      <c r="G291" s="2" t="s">
        <v>107</v>
      </c>
      <c r="H291" s="2" t="s">
        <v>617</v>
      </c>
      <c r="I291" s="2" t="s">
        <v>618</v>
      </c>
      <c r="J291" s="2" t="s">
        <v>156</v>
      </c>
      <c r="K291" s="2" t="s">
        <v>110</v>
      </c>
      <c r="L291" s="2" t="s">
        <v>47</v>
      </c>
      <c r="M291" s="2">
        <f>6200/24</f>
        <v>258.33333333333331</v>
      </c>
      <c r="N291" s="2" t="str">
        <f>VLOOKUP(A291, zcorin_converter!A:L, 12, FALSE)</f>
        <v>Bag in Box</v>
      </c>
      <c r="O291" s="2" t="s">
        <v>362</v>
      </c>
      <c r="P291" s="2" t="s">
        <v>25</v>
      </c>
    </row>
    <row r="292" spans="1:16">
      <c r="A292" s="11" t="s">
        <v>666</v>
      </c>
      <c r="B292" s="2" t="s">
        <v>667</v>
      </c>
      <c r="C292" s="2">
        <v>10</v>
      </c>
      <c r="D292" s="2">
        <f t="shared" si="19"/>
        <v>9</v>
      </c>
      <c r="E292" s="2">
        <v>900</v>
      </c>
      <c r="F292" s="2" t="s">
        <v>18</v>
      </c>
      <c r="G292" s="2" t="s">
        <v>107</v>
      </c>
      <c r="H292" s="2" t="s">
        <v>617</v>
      </c>
      <c r="I292" s="2" t="s">
        <v>618</v>
      </c>
      <c r="J292" s="2" t="s">
        <v>156</v>
      </c>
      <c r="K292" s="2" t="s">
        <v>110</v>
      </c>
      <c r="L292" s="2" t="s">
        <v>47</v>
      </c>
      <c r="M292" s="2">
        <f>8200/24</f>
        <v>341.66666666666669</v>
      </c>
      <c r="N292" s="2" t="str">
        <f>VLOOKUP(A292, zcorin_converter!A:L, 12, FALSE)</f>
        <v>Bag in Box</v>
      </c>
      <c r="O292" s="2" t="s">
        <v>623</v>
      </c>
      <c r="P292" s="2" t="s">
        <v>25</v>
      </c>
    </row>
    <row r="293" spans="1:16">
      <c r="A293" s="11" t="s">
        <v>666</v>
      </c>
      <c r="B293" s="2" t="s">
        <v>667</v>
      </c>
      <c r="C293" s="2">
        <v>10</v>
      </c>
      <c r="D293" s="2">
        <f t="shared" si="19"/>
        <v>9</v>
      </c>
      <c r="E293" s="2">
        <v>900</v>
      </c>
      <c r="F293" s="2" t="s">
        <v>18</v>
      </c>
      <c r="G293" s="2" t="s">
        <v>107</v>
      </c>
      <c r="H293" s="2" t="s">
        <v>617</v>
      </c>
      <c r="I293" s="2" t="s">
        <v>618</v>
      </c>
      <c r="J293" s="2" t="s">
        <v>156</v>
      </c>
      <c r="K293" s="2" t="s">
        <v>110</v>
      </c>
      <c r="L293" s="2" t="s">
        <v>47</v>
      </c>
      <c r="M293" s="2">
        <f>4500/24</f>
        <v>187.5</v>
      </c>
      <c r="N293" s="2" t="str">
        <f>VLOOKUP(A293, zcorin_converter!A:L, 12, FALSE)</f>
        <v>Bag in Box</v>
      </c>
      <c r="O293" s="2" t="s">
        <v>205</v>
      </c>
      <c r="P293" s="2" t="s">
        <v>25</v>
      </c>
    </row>
    <row r="294" spans="1:16">
      <c r="A294" s="11" t="s">
        <v>666</v>
      </c>
      <c r="B294" s="2" t="s">
        <v>667</v>
      </c>
      <c r="C294" s="2">
        <v>10</v>
      </c>
      <c r="D294" s="2">
        <f t="shared" si="19"/>
        <v>9</v>
      </c>
      <c r="E294" s="2">
        <v>900</v>
      </c>
      <c r="F294" s="2" t="s">
        <v>18</v>
      </c>
      <c r="G294" s="2" t="s">
        <v>107</v>
      </c>
      <c r="H294" s="2" t="s">
        <v>617</v>
      </c>
      <c r="I294" s="2" t="s">
        <v>618</v>
      </c>
      <c r="J294" s="2" t="s">
        <v>156</v>
      </c>
      <c r="K294" s="2" t="s">
        <v>110</v>
      </c>
      <c r="L294" s="2" t="s">
        <v>47</v>
      </c>
      <c r="M294" s="2">
        <f>4000/24</f>
        <v>166.66666666666666</v>
      </c>
      <c r="N294" s="2" t="str">
        <f>VLOOKUP(A294, zcorin_converter!A:L, 12, FALSE)</f>
        <v>Bag in Box</v>
      </c>
      <c r="O294" s="2" t="s">
        <v>665</v>
      </c>
      <c r="P294" s="2" t="s">
        <v>25</v>
      </c>
    </row>
    <row r="295" spans="1:16">
      <c r="A295" s="11" t="s">
        <v>666</v>
      </c>
      <c r="B295" s="2" t="s">
        <v>667</v>
      </c>
      <c r="C295" s="2">
        <v>10</v>
      </c>
      <c r="D295" s="2">
        <f t="shared" si="19"/>
        <v>9</v>
      </c>
      <c r="E295" s="2">
        <v>900</v>
      </c>
      <c r="F295" s="2" t="s">
        <v>18</v>
      </c>
      <c r="G295" s="2" t="s">
        <v>107</v>
      </c>
      <c r="H295" s="2" t="s">
        <v>617</v>
      </c>
      <c r="I295" s="2" t="s">
        <v>618</v>
      </c>
      <c r="J295" s="2" t="s">
        <v>156</v>
      </c>
      <c r="K295" s="2" t="s">
        <v>110</v>
      </c>
      <c r="L295" s="2" t="s">
        <v>47</v>
      </c>
      <c r="M295" s="2">
        <f>5500/24</f>
        <v>229.16666666666666</v>
      </c>
      <c r="N295" s="2" t="str">
        <f>VLOOKUP(A295, zcorin_converter!A:L, 12, FALSE)</f>
        <v>Bag in Box</v>
      </c>
      <c r="O295" s="2" t="s">
        <v>351</v>
      </c>
      <c r="P295" s="2" t="s">
        <v>25</v>
      </c>
    </row>
    <row r="296" spans="1:16">
      <c r="A296" s="11" t="s">
        <v>668</v>
      </c>
      <c r="B296" s="2" t="s">
        <v>669</v>
      </c>
      <c r="C296" s="2">
        <v>10</v>
      </c>
      <c r="D296" s="2">
        <f t="shared" si="19"/>
        <v>9</v>
      </c>
      <c r="E296" s="2">
        <v>900</v>
      </c>
      <c r="F296" s="2" t="s">
        <v>18</v>
      </c>
      <c r="G296" s="2" t="s">
        <v>107</v>
      </c>
      <c r="H296" s="2" t="s">
        <v>632</v>
      </c>
      <c r="I296" s="2" t="s">
        <v>618</v>
      </c>
      <c r="J296" s="2" t="s">
        <v>156</v>
      </c>
      <c r="K296" s="2" t="s">
        <v>110</v>
      </c>
      <c r="L296" s="2" t="s">
        <v>47</v>
      </c>
      <c r="M296" s="2">
        <f>5500/24</f>
        <v>229.16666666666666</v>
      </c>
      <c r="N296" s="2" t="str">
        <f>VLOOKUP(A296, zcorin_converter!A:L, 12, FALSE)</f>
        <v>Bag in Box</v>
      </c>
      <c r="O296" s="2" t="s">
        <v>377</v>
      </c>
      <c r="P296" s="2" t="s">
        <v>25</v>
      </c>
    </row>
    <row r="297" spans="1:16">
      <c r="A297" s="11" t="s">
        <v>668</v>
      </c>
      <c r="B297" s="2" t="s">
        <v>669</v>
      </c>
      <c r="C297" s="2">
        <v>10</v>
      </c>
      <c r="D297" s="2">
        <f t="shared" si="19"/>
        <v>9</v>
      </c>
      <c r="E297" s="2">
        <v>900</v>
      </c>
      <c r="F297" s="2" t="s">
        <v>18</v>
      </c>
      <c r="G297" s="2" t="s">
        <v>107</v>
      </c>
      <c r="H297" s="2" t="s">
        <v>632</v>
      </c>
      <c r="I297" s="2" t="s">
        <v>618</v>
      </c>
      <c r="J297" s="2" t="s">
        <v>156</v>
      </c>
      <c r="K297" s="2" t="s">
        <v>110</v>
      </c>
      <c r="L297" s="2" t="s">
        <v>47</v>
      </c>
      <c r="M297" s="2">
        <f>6000/24</f>
        <v>250</v>
      </c>
      <c r="N297" s="2" t="str">
        <f>VLOOKUP(A297, zcorin_converter!A:L, 12, FALSE)</f>
        <v>Bag in Box</v>
      </c>
      <c r="O297" s="2" t="s">
        <v>216</v>
      </c>
      <c r="P297" s="2" t="s">
        <v>25</v>
      </c>
    </row>
    <row r="298" spans="1:16">
      <c r="A298" s="11" t="s">
        <v>668</v>
      </c>
      <c r="B298" s="2" t="s">
        <v>669</v>
      </c>
      <c r="C298" s="2">
        <v>10</v>
      </c>
      <c r="D298" s="2">
        <f t="shared" si="19"/>
        <v>9</v>
      </c>
      <c r="E298" s="2">
        <v>900</v>
      </c>
      <c r="F298" s="2" t="s">
        <v>18</v>
      </c>
      <c r="G298" s="2" t="s">
        <v>107</v>
      </c>
      <c r="H298" s="2" t="s">
        <v>632</v>
      </c>
      <c r="I298" s="2" t="s">
        <v>618</v>
      </c>
      <c r="J298" s="2" t="s">
        <v>156</v>
      </c>
      <c r="K298" s="2" t="s">
        <v>110</v>
      </c>
      <c r="L298" s="2" t="s">
        <v>47</v>
      </c>
      <c r="M298" s="2">
        <f>6200/24</f>
        <v>258.33333333333331</v>
      </c>
      <c r="N298" s="2" t="str">
        <f>VLOOKUP(A298, zcorin_converter!A:L, 12, FALSE)</f>
        <v>Bag in Box</v>
      </c>
      <c r="O298" s="2" t="s">
        <v>362</v>
      </c>
      <c r="P298" s="2" t="s">
        <v>25</v>
      </c>
    </row>
    <row r="299" spans="1:16">
      <c r="A299" s="11" t="s">
        <v>668</v>
      </c>
      <c r="B299" s="2" t="s">
        <v>669</v>
      </c>
      <c r="C299" s="2">
        <v>10</v>
      </c>
      <c r="D299" s="2">
        <f t="shared" si="19"/>
        <v>9</v>
      </c>
      <c r="E299" s="2">
        <v>900</v>
      </c>
      <c r="F299" s="2" t="s">
        <v>18</v>
      </c>
      <c r="G299" s="2" t="s">
        <v>107</v>
      </c>
      <c r="H299" s="2" t="s">
        <v>632</v>
      </c>
      <c r="I299" s="2" t="s">
        <v>618</v>
      </c>
      <c r="J299" s="2" t="s">
        <v>156</v>
      </c>
      <c r="K299" s="2" t="s">
        <v>110</v>
      </c>
      <c r="L299" s="2" t="s">
        <v>47</v>
      </c>
      <c r="M299" s="2">
        <f>8200/24</f>
        <v>341.66666666666669</v>
      </c>
      <c r="N299" s="2" t="str">
        <f>VLOOKUP(A299, zcorin_converter!A:L, 12, FALSE)</f>
        <v>Bag in Box</v>
      </c>
      <c r="O299" s="2" t="s">
        <v>623</v>
      </c>
      <c r="P299" s="2" t="s">
        <v>25</v>
      </c>
    </row>
    <row r="300" spans="1:16">
      <c r="A300" s="11" t="s">
        <v>668</v>
      </c>
      <c r="B300" s="2" t="s">
        <v>669</v>
      </c>
      <c r="C300" s="2">
        <v>10</v>
      </c>
      <c r="D300" s="2">
        <f t="shared" si="19"/>
        <v>9</v>
      </c>
      <c r="E300" s="2">
        <v>900</v>
      </c>
      <c r="F300" s="2" t="s">
        <v>18</v>
      </c>
      <c r="G300" s="2" t="s">
        <v>107</v>
      </c>
      <c r="H300" s="2" t="s">
        <v>632</v>
      </c>
      <c r="I300" s="2" t="s">
        <v>618</v>
      </c>
      <c r="J300" s="2" t="s">
        <v>156</v>
      </c>
      <c r="K300" s="2" t="s">
        <v>110</v>
      </c>
      <c r="L300" s="2" t="s">
        <v>47</v>
      </c>
      <c r="M300" s="2">
        <f>4500/24</f>
        <v>187.5</v>
      </c>
      <c r="N300" s="2" t="str">
        <f>VLOOKUP(A300, zcorin_converter!A:L, 12, FALSE)</f>
        <v>Bag in Box</v>
      </c>
      <c r="O300" s="2" t="s">
        <v>205</v>
      </c>
      <c r="P300" s="2" t="s">
        <v>25</v>
      </c>
    </row>
    <row r="301" spans="1:16">
      <c r="A301" s="11" t="s">
        <v>668</v>
      </c>
      <c r="B301" s="2" t="s">
        <v>669</v>
      </c>
      <c r="C301" s="2">
        <v>10</v>
      </c>
      <c r="D301" s="2">
        <f t="shared" si="19"/>
        <v>9</v>
      </c>
      <c r="E301" s="2">
        <v>900</v>
      </c>
      <c r="F301" s="2" t="s">
        <v>18</v>
      </c>
      <c r="G301" s="2" t="s">
        <v>107</v>
      </c>
      <c r="H301" s="2" t="s">
        <v>632</v>
      </c>
      <c r="I301" s="2" t="s">
        <v>618</v>
      </c>
      <c r="J301" s="2" t="s">
        <v>156</v>
      </c>
      <c r="K301" s="2" t="s">
        <v>110</v>
      </c>
      <c r="L301" s="2" t="s">
        <v>47</v>
      </c>
      <c r="M301" s="2">
        <f>4000/24</f>
        <v>166.66666666666666</v>
      </c>
      <c r="N301" s="2" t="str">
        <f>VLOOKUP(A301, zcorin_converter!A:L, 12, FALSE)</f>
        <v>Bag in Box</v>
      </c>
      <c r="O301" s="2" t="s">
        <v>665</v>
      </c>
      <c r="P301" s="2" t="s">
        <v>25</v>
      </c>
    </row>
    <row r="302" spans="1:16">
      <c r="A302" s="11" t="s">
        <v>668</v>
      </c>
      <c r="B302" s="2" t="s">
        <v>669</v>
      </c>
      <c r="C302" s="2">
        <v>10</v>
      </c>
      <c r="D302" s="2">
        <f t="shared" si="19"/>
        <v>9</v>
      </c>
      <c r="E302" s="2">
        <v>900</v>
      </c>
      <c r="F302" s="2" t="s">
        <v>18</v>
      </c>
      <c r="G302" s="2" t="s">
        <v>107</v>
      </c>
      <c r="H302" s="2" t="s">
        <v>632</v>
      </c>
      <c r="I302" s="2" t="s">
        <v>618</v>
      </c>
      <c r="J302" s="2" t="s">
        <v>156</v>
      </c>
      <c r="K302" s="2" t="s">
        <v>110</v>
      </c>
      <c r="L302" s="2" t="s">
        <v>47</v>
      </c>
      <c r="M302" s="2">
        <f>5500/24</f>
        <v>229.16666666666666</v>
      </c>
      <c r="N302" s="2" t="str">
        <f>VLOOKUP(A302, zcorin_converter!A:L, 12, FALSE)</f>
        <v>Bag in Box</v>
      </c>
      <c r="O302" s="2" t="s">
        <v>351</v>
      </c>
      <c r="P302" s="2" t="s">
        <v>25</v>
      </c>
    </row>
    <row r="303" spans="1:16">
      <c r="A303" s="11" t="s">
        <v>670</v>
      </c>
      <c r="B303" s="2" t="s">
        <v>671</v>
      </c>
      <c r="C303" s="2">
        <v>10</v>
      </c>
      <c r="D303" s="2">
        <f t="shared" si="19"/>
        <v>9</v>
      </c>
      <c r="E303" s="2">
        <v>900</v>
      </c>
      <c r="F303" s="2" t="s">
        <v>18</v>
      </c>
      <c r="G303" s="2" t="s">
        <v>107</v>
      </c>
      <c r="H303" s="2" t="s">
        <v>632</v>
      </c>
      <c r="I303" s="2" t="s">
        <v>618</v>
      </c>
      <c r="J303" s="2" t="s">
        <v>156</v>
      </c>
      <c r="K303" s="2" t="s">
        <v>110</v>
      </c>
      <c r="L303" s="2" t="s">
        <v>47</v>
      </c>
      <c r="M303" s="2">
        <f>5500/24</f>
        <v>229.16666666666666</v>
      </c>
      <c r="N303" s="2" t="str">
        <f>VLOOKUP(A303, zcorin_converter!A:L, 12, FALSE)</f>
        <v>Bag in Box</v>
      </c>
      <c r="O303" s="2" t="s">
        <v>377</v>
      </c>
      <c r="P303" s="2" t="s">
        <v>25</v>
      </c>
    </row>
    <row r="304" spans="1:16">
      <c r="A304" s="11" t="s">
        <v>670</v>
      </c>
      <c r="B304" s="2" t="s">
        <v>671</v>
      </c>
      <c r="C304" s="2">
        <v>10</v>
      </c>
      <c r="D304" s="2">
        <f t="shared" si="19"/>
        <v>9</v>
      </c>
      <c r="E304" s="2">
        <v>900</v>
      </c>
      <c r="F304" s="2" t="s">
        <v>18</v>
      </c>
      <c r="G304" s="2" t="s">
        <v>107</v>
      </c>
      <c r="H304" s="2" t="s">
        <v>632</v>
      </c>
      <c r="I304" s="2" t="s">
        <v>618</v>
      </c>
      <c r="J304" s="2" t="s">
        <v>156</v>
      </c>
      <c r="K304" s="2" t="s">
        <v>110</v>
      </c>
      <c r="L304" s="2" t="s">
        <v>47</v>
      </c>
      <c r="M304" s="2">
        <f>6000/24</f>
        <v>250</v>
      </c>
      <c r="N304" s="2" t="str">
        <f>VLOOKUP(A304, zcorin_converter!A:L, 12, FALSE)</f>
        <v>Bag in Box</v>
      </c>
      <c r="O304" s="2" t="s">
        <v>216</v>
      </c>
      <c r="P304" s="2" t="s">
        <v>25</v>
      </c>
    </row>
    <row r="305" spans="1:16">
      <c r="A305" s="11" t="s">
        <v>670</v>
      </c>
      <c r="B305" s="2" t="s">
        <v>671</v>
      </c>
      <c r="C305" s="2">
        <v>10</v>
      </c>
      <c r="D305" s="2">
        <f t="shared" si="19"/>
        <v>9</v>
      </c>
      <c r="E305" s="2">
        <v>900</v>
      </c>
      <c r="F305" s="2" t="s">
        <v>18</v>
      </c>
      <c r="G305" s="2" t="s">
        <v>107</v>
      </c>
      <c r="H305" s="2" t="s">
        <v>632</v>
      </c>
      <c r="I305" s="2" t="s">
        <v>618</v>
      </c>
      <c r="J305" s="2" t="s">
        <v>156</v>
      </c>
      <c r="K305" s="2" t="s">
        <v>110</v>
      </c>
      <c r="L305" s="2" t="s">
        <v>47</v>
      </c>
      <c r="M305" s="2">
        <f>6200/24</f>
        <v>258.33333333333331</v>
      </c>
      <c r="N305" s="2" t="str">
        <f>VLOOKUP(A305, zcorin_converter!A:L, 12, FALSE)</f>
        <v>Bag in Box</v>
      </c>
      <c r="O305" s="2" t="s">
        <v>362</v>
      </c>
      <c r="P305" s="2" t="s">
        <v>25</v>
      </c>
    </row>
    <row r="306" spans="1:16">
      <c r="A306" s="11" t="s">
        <v>670</v>
      </c>
      <c r="B306" s="2" t="s">
        <v>671</v>
      </c>
      <c r="C306" s="2">
        <v>10</v>
      </c>
      <c r="D306" s="2">
        <f t="shared" si="19"/>
        <v>9</v>
      </c>
      <c r="E306" s="2">
        <v>900</v>
      </c>
      <c r="F306" s="2" t="s">
        <v>18</v>
      </c>
      <c r="G306" s="2" t="s">
        <v>107</v>
      </c>
      <c r="H306" s="2" t="s">
        <v>632</v>
      </c>
      <c r="I306" s="2" t="s">
        <v>618</v>
      </c>
      <c r="J306" s="2" t="s">
        <v>156</v>
      </c>
      <c r="K306" s="2" t="s">
        <v>110</v>
      </c>
      <c r="L306" s="2" t="s">
        <v>47</v>
      </c>
      <c r="M306" s="2">
        <f>8200/24</f>
        <v>341.66666666666669</v>
      </c>
      <c r="N306" s="2" t="str">
        <f>VLOOKUP(A306, zcorin_converter!A:L, 12, FALSE)</f>
        <v>Bag in Box</v>
      </c>
      <c r="O306" s="2" t="s">
        <v>623</v>
      </c>
      <c r="P306" s="2" t="s">
        <v>25</v>
      </c>
    </row>
    <row r="307" spans="1:16">
      <c r="A307" s="11" t="s">
        <v>670</v>
      </c>
      <c r="B307" s="2" t="s">
        <v>671</v>
      </c>
      <c r="C307" s="2">
        <v>10</v>
      </c>
      <c r="D307" s="2">
        <f t="shared" si="19"/>
        <v>9</v>
      </c>
      <c r="E307" s="2">
        <v>900</v>
      </c>
      <c r="F307" s="2" t="s">
        <v>18</v>
      </c>
      <c r="G307" s="2" t="s">
        <v>107</v>
      </c>
      <c r="H307" s="2" t="s">
        <v>632</v>
      </c>
      <c r="I307" s="2" t="s">
        <v>618</v>
      </c>
      <c r="J307" s="2" t="s">
        <v>156</v>
      </c>
      <c r="K307" s="2" t="s">
        <v>110</v>
      </c>
      <c r="L307" s="2" t="s">
        <v>47</v>
      </c>
      <c r="M307" s="2">
        <f>4500/24</f>
        <v>187.5</v>
      </c>
      <c r="N307" s="2" t="str">
        <f>VLOOKUP(A307, zcorin_converter!A:L, 12, FALSE)</f>
        <v>Bag in Box</v>
      </c>
      <c r="O307" s="2" t="s">
        <v>205</v>
      </c>
      <c r="P307" s="2" t="s">
        <v>25</v>
      </c>
    </row>
    <row r="308" spans="1:16">
      <c r="A308" s="11" t="s">
        <v>670</v>
      </c>
      <c r="B308" s="2" t="s">
        <v>671</v>
      </c>
      <c r="C308" s="2">
        <v>10</v>
      </c>
      <c r="D308" s="2">
        <f t="shared" si="19"/>
        <v>9</v>
      </c>
      <c r="E308" s="2">
        <v>900</v>
      </c>
      <c r="F308" s="2" t="s">
        <v>18</v>
      </c>
      <c r="G308" s="2" t="s">
        <v>107</v>
      </c>
      <c r="H308" s="2" t="s">
        <v>632</v>
      </c>
      <c r="I308" s="2" t="s">
        <v>618</v>
      </c>
      <c r="J308" s="2" t="s">
        <v>156</v>
      </c>
      <c r="K308" s="2" t="s">
        <v>110</v>
      </c>
      <c r="L308" s="2" t="s">
        <v>47</v>
      </c>
      <c r="M308" s="2">
        <f>4000/24</f>
        <v>166.66666666666666</v>
      </c>
      <c r="N308" s="2" t="str">
        <f>VLOOKUP(A308, zcorin_converter!A:L, 12, FALSE)</f>
        <v>Bag in Box</v>
      </c>
      <c r="O308" s="2" t="s">
        <v>665</v>
      </c>
      <c r="P308" s="2" t="s">
        <v>25</v>
      </c>
    </row>
    <row r="309" spans="1:16">
      <c r="A309" s="11" t="s">
        <v>670</v>
      </c>
      <c r="B309" s="2" t="s">
        <v>671</v>
      </c>
      <c r="C309" s="2">
        <v>10</v>
      </c>
      <c r="D309" s="2">
        <f t="shared" si="19"/>
        <v>9</v>
      </c>
      <c r="E309" s="2">
        <v>900</v>
      </c>
      <c r="F309" s="2" t="s">
        <v>18</v>
      </c>
      <c r="G309" s="2" t="s">
        <v>107</v>
      </c>
      <c r="H309" s="2" t="s">
        <v>632</v>
      </c>
      <c r="I309" s="2" t="s">
        <v>618</v>
      </c>
      <c r="J309" s="2" t="s">
        <v>156</v>
      </c>
      <c r="K309" s="2" t="s">
        <v>110</v>
      </c>
      <c r="L309" s="2" t="s">
        <v>47</v>
      </c>
      <c r="M309" s="2">
        <f>5500/24</f>
        <v>229.16666666666666</v>
      </c>
      <c r="N309" s="2" t="str">
        <f>VLOOKUP(A309, zcorin_converter!A:L, 12, FALSE)</f>
        <v>Bag in Box</v>
      </c>
      <c r="O309" s="2" t="s">
        <v>351</v>
      </c>
      <c r="P309" s="2" t="s">
        <v>25</v>
      </c>
    </row>
    <row r="310" spans="1:16">
      <c r="A310" s="11" t="s">
        <v>672</v>
      </c>
      <c r="B310" s="2" t="s">
        <v>673</v>
      </c>
      <c r="C310" s="2">
        <v>10</v>
      </c>
      <c r="D310" s="2">
        <f t="shared" si="19"/>
        <v>9</v>
      </c>
      <c r="E310" s="2">
        <v>900</v>
      </c>
      <c r="F310" s="2" t="s">
        <v>18</v>
      </c>
      <c r="G310" s="2" t="s">
        <v>107</v>
      </c>
      <c r="H310" s="2" t="s">
        <v>632</v>
      </c>
      <c r="I310" s="2" t="s">
        <v>618</v>
      </c>
      <c r="J310" s="2" t="s">
        <v>156</v>
      </c>
      <c r="K310" s="2" t="s">
        <v>110</v>
      </c>
      <c r="L310" s="2" t="s">
        <v>47</v>
      </c>
      <c r="M310" s="2">
        <f>8200/24</f>
        <v>341.66666666666669</v>
      </c>
      <c r="N310" s="2" t="str">
        <f>VLOOKUP(A310, zcorin_converter!A:L, 12, FALSE)</f>
        <v>Bag in Box</v>
      </c>
      <c r="O310" s="2" t="s">
        <v>623</v>
      </c>
      <c r="P310" s="2" t="s">
        <v>25</v>
      </c>
    </row>
    <row r="311" spans="1:16">
      <c r="A311" s="11" t="s">
        <v>674</v>
      </c>
      <c r="B311" s="2" t="s">
        <v>675</v>
      </c>
      <c r="C311" s="2">
        <v>10</v>
      </c>
      <c r="D311" s="2">
        <f t="shared" si="19"/>
        <v>9</v>
      </c>
      <c r="E311" s="2">
        <v>900</v>
      </c>
      <c r="F311" s="2" t="s">
        <v>18</v>
      </c>
      <c r="G311" s="2" t="s">
        <v>107</v>
      </c>
      <c r="H311" s="2" t="s">
        <v>676</v>
      </c>
      <c r="I311" s="2" t="s">
        <v>618</v>
      </c>
      <c r="J311" s="2" t="s">
        <v>156</v>
      </c>
      <c r="K311" s="2" t="s">
        <v>110</v>
      </c>
      <c r="L311" s="2" t="s">
        <v>47</v>
      </c>
      <c r="M311" s="2">
        <f>8200/24</f>
        <v>341.66666666666669</v>
      </c>
      <c r="N311" s="2" t="str">
        <f>VLOOKUP(A311, zcorin_converter!A:L, 12, FALSE)</f>
        <v>Bag in Box</v>
      </c>
      <c r="O311" s="2" t="s">
        <v>623</v>
      </c>
      <c r="P311" s="2" t="s">
        <v>25</v>
      </c>
    </row>
    <row r="312" spans="1:16">
      <c r="A312" s="11" t="s">
        <v>677</v>
      </c>
      <c r="B312" s="2" t="s">
        <v>678</v>
      </c>
      <c r="C312" s="2">
        <v>10</v>
      </c>
      <c r="D312" s="2">
        <f t="shared" si="19"/>
        <v>9</v>
      </c>
      <c r="E312" s="2">
        <v>900</v>
      </c>
      <c r="F312" s="2" t="s">
        <v>18</v>
      </c>
      <c r="G312" s="2" t="s">
        <v>107</v>
      </c>
      <c r="H312" s="2" t="s">
        <v>676</v>
      </c>
      <c r="I312" s="2" t="s">
        <v>618</v>
      </c>
      <c r="J312" s="2" t="s">
        <v>156</v>
      </c>
      <c r="K312" s="2" t="s">
        <v>110</v>
      </c>
      <c r="L312" s="2" t="s">
        <v>47</v>
      </c>
      <c r="M312" s="2">
        <f>8200/24</f>
        <v>341.66666666666669</v>
      </c>
      <c r="N312" s="2" t="str">
        <f>VLOOKUP(A312, zcorin_converter!A:L, 12, FALSE)</f>
        <v>Bag in Box</v>
      </c>
      <c r="O312" s="2" t="s">
        <v>623</v>
      </c>
      <c r="P312" s="2" t="s">
        <v>25</v>
      </c>
    </row>
    <row r="313" spans="1:16">
      <c r="A313" s="11" t="s">
        <v>679</v>
      </c>
      <c r="B313" s="2" t="s">
        <v>680</v>
      </c>
      <c r="C313" s="2">
        <v>6</v>
      </c>
      <c r="D313" s="2">
        <f>E313*C313/1000</f>
        <v>10.8</v>
      </c>
      <c r="E313" s="2">
        <v>1800</v>
      </c>
      <c r="F313" s="2" t="s">
        <v>18</v>
      </c>
      <c r="G313" s="2" t="s">
        <v>80</v>
      </c>
      <c r="H313" s="2" t="s">
        <v>92</v>
      </c>
      <c r="I313" s="2" t="s">
        <v>93</v>
      </c>
      <c r="J313" s="2" t="s">
        <v>42</v>
      </c>
      <c r="K313" s="2" t="s">
        <v>83</v>
      </c>
      <c r="L313" s="2" t="s">
        <v>24</v>
      </c>
      <c r="M313" s="2">
        <v>0</v>
      </c>
      <c r="N313" s="2" t="str">
        <f>VLOOKUP(A313, zcorin_converter!A:L, 12, FALSE)</f>
        <v>Bag in Box</v>
      </c>
      <c r="O313" s="2">
        <v>0</v>
      </c>
      <c r="P313" s="2" t="s">
        <v>25</v>
      </c>
    </row>
    <row r="314" spans="1:16">
      <c r="A314" s="11" t="s">
        <v>681</v>
      </c>
      <c r="B314" s="2" t="s">
        <v>682</v>
      </c>
      <c r="C314" s="2">
        <v>12</v>
      </c>
      <c r="D314" s="2">
        <f>E314*C314/1000</f>
        <v>9.6</v>
      </c>
      <c r="E314" s="2">
        <v>800</v>
      </c>
      <c r="F314" s="2" t="s">
        <v>18</v>
      </c>
      <c r="G314" s="2" t="s">
        <v>80</v>
      </c>
      <c r="H314" s="2" t="s">
        <v>92</v>
      </c>
      <c r="I314" s="2" t="s">
        <v>93</v>
      </c>
      <c r="J314" s="2" t="s">
        <v>42</v>
      </c>
      <c r="K314" s="2" t="s">
        <v>83</v>
      </c>
      <c r="L314" s="2" t="s">
        <v>24</v>
      </c>
      <c r="M314" s="2">
        <v>0</v>
      </c>
      <c r="N314" s="2" t="str">
        <f>VLOOKUP(A314, zcorin_converter!A:L, 12, FALSE)</f>
        <v>Canning</v>
      </c>
      <c r="O314" s="2">
        <v>0</v>
      </c>
      <c r="P314" s="2" t="s">
        <v>25</v>
      </c>
    </row>
    <row r="315" spans="1:16">
      <c r="A315" s="11" t="s">
        <v>683</v>
      </c>
      <c r="B315" s="2" t="s">
        <v>684</v>
      </c>
      <c r="C315" s="2">
        <v>24</v>
      </c>
      <c r="D315" s="2">
        <f>E315*C315/1000</f>
        <v>9.6</v>
      </c>
      <c r="E315" s="2">
        <v>400</v>
      </c>
      <c r="F315" s="2" t="s">
        <v>18</v>
      </c>
      <c r="G315" s="2" t="s">
        <v>80</v>
      </c>
      <c r="H315" s="2" t="s">
        <v>92</v>
      </c>
      <c r="I315" s="2" t="s">
        <v>93</v>
      </c>
      <c r="J315" s="2" t="s">
        <v>42</v>
      </c>
      <c r="K315" s="2" t="s">
        <v>83</v>
      </c>
      <c r="L315" s="2" t="s">
        <v>24</v>
      </c>
      <c r="M315" s="2">
        <v>0</v>
      </c>
      <c r="N315" s="2" t="str">
        <f>VLOOKUP(A315, zcorin_converter!A:L, 12, FALSE)</f>
        <v>Bag in Box</v>
      </c>
      <c r="O315" s="2">
        <v>0</v>
      </c>
      <c r="P315" s="2" t="s">
        <v>25</v>
      </c>
    </row>
    <row r="316" spans="1:16">
      <c r="A316" s="11" t="s">
        <v>685</v>
      </c>
      <c r="B316" s="2" t="s">
        <v>686</v>
      </c>
      <c r="C316" s="2">
        <v>24</v>
      </c>
      <c r="D316" s="2">
        <f>E316*C316/1000</f>
        <v>4.8</v>
      </c>
      <c r="E316" s="2">
        <v>200</v>
      </c>
      <c r="F316" s="2" t="s">
        <v>18</v>
      </c>
      <c r="G316" s="2" t="s">
        <v>80</v>
      </c>
      <c r="H316" s="2" t="s">
        <v>92</v>
      </c>
      <c r="I316" s="2" t="s">
        <v>93</v>
      </c>
      <c r="J316" s="2" t="s">
        <v>42</v>
      </c>
      <c r="K316" s="2" t="s">
        <v>83</v>
      </c>
      <c r="L316" s="2" t="s">
        <v>24</v>
      </c>
      <c r="M316" s="2">
        <v>0</v>
      </c>
      <c r="N316" s="2" t="str">
        <f>VLOOKUP(A316, zcorin_converter!A:L, 12, FALSE)</f>
        <v>Bag in Box</v>
      </c>
      <c r="O316" s="2">
        <v>0</v>
      </c>
      <c r="P316" s="2" t="s">
        <v>25</v>
      </c>
    </row>
    <row r="317" spans="1:16">
      <c r="A317" s="11" t="s">
        <v>687</v>
      </c>
      <c r="B317" s="2" t="s">
        <v>688</v>
      </c>
      <c r="C317" s="2">
        <v>21</v>
      </c>
      <c r="D317" s="2">
        <f>C317*E317/1000</f>
        <v>8.4</v>
      </c>
      <c r="E317" s="2">
        <v>400</v>
      </c>
      <c r="F317" s="2" t="s">
        <v>18</v>
      </c>
      <c r="G317" s="2" t="s">
        <v>107</v>
      </c>
      <c r="H317" s="2" t="s">
        <v>676</v>
      </c>
      <c r="I317" s="2" t="s">
        <v>618</v>
      </c>
      <c r="J317" s="2" t="s">
        <v>156</v>
      </c>
      <c r="K317" s="2" t="s">
        <v>110</v>
      </c>
      <c r="L317" s="2" t="s">
        <v>47</v>
      </c>
      <c r="M317" s="2">
        <f>5000/24</f>
        <v>208.33333333333334</v>
      </c>
      <c r="N317" s="2" t="str">
        <f>VLOOKUP(A317, zcorin_converter!A:L, 12, FALSE)</f>
        <v>Bag in Box</v>
      </c>
      <c r="O317" s="2" t="s">
        <v>362</v>
      </c>
      <c r="P317" s="2" t="s">
        <v>25</v>
      </c>
    </row>
    <row r="318" spans="1:16">
      <c r="A318" s="11" t="s">
        <v>689</v>
      </c>
      <c r="B318" s="2" t="s">
        <v>690</v>
      </c>
      <c r="C318" s="2">
        <v>30</v>
      </c>
      <c r="D318" s="2">
        <f>C318*E318/1000</f>
        <v>12</v>
      </c>
      <c r="E318" s="2">
        <v>400</v>
      </c>
      <c r="F318" s="2" t="s">
        <v>691</v>
      </c>
      <c r="G318" s="2" t="s">
        <v>29</v>
      </c>
      <c r="H318" s="2" t="s">
        <v>29</v>
      </c>
      <c r="I318" s="2" t="s">
        <v>29</v>
      </c>
      <c r="J318" s="2" t="s">
        <v>42</v>
      </c>
      <c r="K318" s="2" t="s">
        <v>29</v>
      </c>
      <c r="L318" s="2" t="s">
        <v>47</v>
      </c>
      <c r="M318" s="2">
        <f>1650/24</f>
        <v>68.75</v>
      </c>
      <c r="N318" s="2" t="str">
        <f>VLOOKUP(A318, zcorin_converter!A:L, 12, FALSE)</f>
        <v>Bag in Box</v>
      </c>
      <c r="O318" s="2" t="s">
        <v>351</v>
      </c>
      <c r="P318" s="2" t="s">
        <v>25</v>
      </c>
    </row>
    <row r="319" spans="1:16">
      <c r="A319" s="11" t="s">
        <v>692</v>
      </c>
      <c r="B319" s="2" t="s">
        <v>693</v>
      </c>
      <c r="C319" s="2">
        <v>30</v>
      </c>
      <c r="D319" s="2">
        <f>C319*E319/1000</f>
        <v>12</v>
      </c>
      <c r="E319" s="2">
        <v>400</v>
      </c>
      <c r="F319" s="2" t="s">
        <v>691</v>
      </c>
      <c r="G319" s="2" t="s">
        <v>29</v>
      </c>
      <c r="H319" s="2" t="s">
        <v>29</v>
      </c>
      <c r="I319" s="2" t="s">
        <v>29</v>
      </c>
      <c r="J319" s="2" t="s">
        <v>156</v>
      </c>
      <c r="K319" s="2" t="s">
        <v>29</v>
      </c>
      <c r="L319" s="2" t="s">
        <v>47</v>
      </c>
      <c r="M319" s="2">
        <f t="shared" ref="M319:M320" si="20">1650/24</f>
        <v>68.75</v>
      </c>
      <c r="N319" s="2" t="str">
        <f>VLOOKUP(A319, zcorin_converter!A:L, 12, FALSE)</f>
        <v>Bag in Box</v>
      </c>
      <c r="O319" s="2" t="s">
        <v>351</v>
      </c>
      <c r="P319" s="2" t="s">
        <v>25</v>
      </c>
    </row>
    <row r="320" spans="1:16">
      <c r="A320" s="11" t="s">
        <v>694</v>
      </c>
      <c r="B320" s="2" t="s">
        <v>695</v>
      </c>
      <c r="C320" s="2">
        <v>30</v>
      </c>
      <c r="D320" s="2">
        <f>C320*E320/1000</f>
        <v>12</v>
      </c>
      <c r="E320" s="2">
        <v>400</v>
      </c>
      <c r="F320" s="2" t="s">
        <v>691</v>
      </c>
      <c r="G320" s="2" t="s">
        <v>29</v>
      </c>
      <c r="H320" s="2" t="s">
        <v>29</v>
      </c>
      <c r="I320" s="2" t="s">
        <v>29</v>
      </c>
      <c r="J320" s="2" t="s">
        <v>156</v>
      </c>
      <c r="K320" s="2" t="s">
        <v>29</v>
      </c>
      <c r="L320" s="2" t="s">
        <v>47</v>
      </c>
      <c r="M320" s="2">
        <f t="shared" si="20"/>
        <v>68.75</v>
      </c>
      <c r="N320" s="2" t="str">
        <f>VLOOKUP(A320, zcorin_converter!A:L, 12, FALSE)</f>
        <v>Bag in Box</v>
      </c>
      <c r="O320" s="2" t="s">
        <v>351</v>
      </c>
      <c r="P320" s="2" t="s">
        <v>25</v>
      </c>
    </row>
    <row r="321" spans="1:16">
      <c r="A321" s="11" t="s">
        <v>696</v>
      </c>
      <c r="B321" s="2" t="s">
        <v>697</v>
      </c>
      <c r="C321" s="2">
        <v>24</v>
      </c>
      <c r="D321" s="2">
        <f t="shared" ref="D321:D329" si="21">E321*C321/1000</f>
        <v>9.6</v>
      </c>
      <c r="E321" s="2">
        <v>400</v>
      </c>
      <c r="F321" s="2" t="s">
        <v>18</v>
      </c>
      <c r="G321" s="2" t="s">
        <v>535</v>
      </c>
      <c r="H321" s="2" t="s">
        <v>698</v>
      </c>
      <c r="I321" s="2" t="s">
        <v>535</v>
      </c>
      <c r="J321" s="2" t="s">
        <v>22</v>
      </c>
      <c r="K321" s="2" t="s">
        <v>535</v>
      </c>
      <c r="L321" s="2" t="s">
        <v>24</v>
      </c>
      <c r="M321" s="2">
        <v>0</v>
      </c>
      <c r="N321" s="2" t="str">
        <f>VLOOKUP(A321, zcorin_converter!A:L, 12, FALSE)</f>
        <v>Canning</v>
      </c>
      <c r="O321" s="2">
        <v>0</v>
      </c>
      <c r="P321" s="2" t="s">
        <v>25</v>
      </c>
    </row>
    <row r="322" spans="1:16">
      <c r="A322" s="11" t="s">
        <v>699</v>
      </c>
      <c r="B322" s="2" t="s">
        <v>700</v>
      </c>
      <c r="C322" s="2">
        <v>24</v>
      </c>
      <c r="D322" s="2">
        <f t="shared" si="21"/>
        <v>9.6</v>
      </c>
      <c r="E322" s="2">
        <v>400</v>
      </c>
      <c r="F322" s="2" t="s">
        <v>18</v>
      </c>
      <c r="G322" s="2" t="s">
        <v>535</v>
      </c>
      <c r="H322" s="2" t="s">
        <v>536</v>
      </c>
      <c r="I322" s="2" t="s">
        <v>535</v>
      </c>
      <c r="J322" s="2" t="s">
        <v>22</v>
      </c>
      <c r="K322" s="2" t="s">
        <v>535</v>
      </c>
      <c r="L322" s="2" t="s">
        <v>24</v>
      </c>
      <c r="M322" s="2">
        <v>0</v>
      </c>
      <c r="N322" s="2" t="str">
        <f>VLOOKUP(A322, zcorin_converter!A:L, 12, FALSE)</f>
        <v>Canning</v>
      </c>
      <c r="O322" s="2">
        <v>0</v>
      </c>
      <c r="P322" s="2" t="s">
        <v>25</v>
      </c>
    </row>
    <row r="323" spans="1:16">
      <c r="A323" s="11" t="s">
        <v>701</v>
      </c>
      <c r="B323" s="2" t="s">
        <v>702</v>
      </c>
      <c r="C323" s="2">
        <v>12</v>
      </c>
      <c r="D323" s="2">
        <f t="shared" si="21"/>
        <v>9.6</v>
      </c>
      <c r="E323" s="2">
        <v>800</v>
      </c>
      <c r="F323" s="2" t="s">
        <v>18</v>
      </c>
      <c r="G323" s="2" t="s">
        <v>80</v>
      </c>
      <c r="H323" s="2" t="s">
        <v>551</v>
      </c>
      <c r="I323" s="2" t="s">
        <v>238</v>
      </c>
      <c r="J323" s="2" t="s">
        <v>156</v>
      </c>
      <c r="K323" s="2" t="s">
        <v>83</v>
      </c>
      <c r="L323" s="2" t="s">
        <v>24</v>
      </c>
      <c r="M323" s="2">
        <v>0</v>
      </c>
      <c r="N323" s="2" t="str">
        <f>VLOOKUP(A323, zcorin_converter!A:L, 12, FALSE)</f>
        <v>Canning</v>
      </c>
      <c r="O323" s="2">
        <v>0</v>
      </c>
      <c r="P323" s="2" t="s">
        <v>25</v>
      </c>
    </row>
    <row r="324" spans="1:16">
      <c r="A324" s="11" t="s">
        <v>703</v>
      </c>
      <c r="B324" s="2" t="s">
        <v>704</v>
      </c>
      <c r="C324" s="2">
        <v>12</v>
      </c>
      <c r="D324" s="2">
        <f t="shared" si="21"/>
        <v>9.6</v>
      </c>
      <c r="E324" s="2">
        <v>800</v>
      </c>
      <c r="F324" s="2" t="s">
        <v>18</v>
      </c>
      <c r="G324" s="2" t="s">
        <v>80</v>
      </c>
      <c r="H324" s="2" t="s">
        <v>551</v>
      </c>
      <c r="I324" s="2" t="s">
        <v>238</v>
      </c>
      <c r="J324" s="2" t="s">
        <v>156</v>
      </c>
      <c r="K324" s="2" t="s">
        <v>83</v>
      </c>
      <c r="L324" s="2" t="s">
        <v>24</v>
      </c>
      <c r="M324" s="2">
        <v>0</v>
      </c>
      <c r="N324" s="2" t="str">
        <f>VLOOKUP(A324, zcorin_converter!A:L, 12, FALSE)</f>
        <v>Canning</v>
      </c>
      <c r="O324" s="2">
        <v>0</v>
      </c>
      <c r="P324" s="2" t="s">
        <v>25</v>
      </c>
    </row>
    <row r="325" spans="1:16">
      <c r="A325" s="11" t="s">
        <v>705</v>
      </c>
      <c r="B325" s="2" t="s">
        <v>706</v>
      </c>
      <c r="C325" s="2">
        <v>12</v>
      </c>
      <c r="D325" s="2">
        <f t="shared" si="21"/>
        <v>9.6</v>
      </c>
      <c r="E325" s="2">
        <v>800</v>
      </c>
      <c r="F325" s="2" t="s">
        <v>18</v>
      </c>
      <c r="G325" s="2" t="s">
        <v>80</v>
      </c>
      <c r="H325" s="2" t="s">
        <v>556</v>
      </c>
      <c r="I325" s="2" t="s">
        <v>238</v>
      </c>
      <c r="J325" s="2" t="s">
        <v>156</v>
      </c>
      <c r="K325" s="2" t="s">
        <v>83</v>
      </c>
      <c r="L325" s="2" t="s">
        <v>24</v>
      </c>
      <c r="M325" s="2">
        <v>0</v>
      </c>
      <c r="N325" s="2" t="str">
        <f>VLOOKUP(A325, zcorin_converter!A:L, 12, FALSE)</f>
        <v>Canning</v>
      </c>
      <c r="O325" s="2">
        <v>0</v>
      </c>
      <c r="P325" s="2" t="s">
        <v>25</v>
      </c>
    </row>
    <row r="326" spans="1:16">
      <c r="A326" s="11" t="s">
        <v>707</v>
      </c>
      <c r="B326" s="2" t="s">
        <v>708</v>
      </c>
      <c r="C326" s="2">
        <v>12</v>
      </c>
      <c r="D326" s="2">
        <f t="shared" si="21"/>
        <v>9.6</v>
      </c>
      <c r="E326" s="2">
        <v>800</v>
      </c>
      <c r="F326" s="2" t="s">
        <v>18</v>
      </c>
      <c r="G326" s="2" t="s">
        <v>80</v>
      </c>
      <c r="H326" s="2" t="s">
        <v>556</v>
      </c>
      <c r="I326" s="2" t="s">
        <v>238</v>
      </c>
      <c r="J326" s="2" t="s">
        <v>156</v>
      </c>
      <c r="K326" s="2" t="s">
        <v>83</v>
      </c>
      <c r="L326" s="2" t="s">
        <v>24</v>
      </c>
      <c r="M326" s="2">
        <v>0</v>
      </c>
      <c r="N326" s="2" t="str">
        <f>VLOOKUP(A326, zcorin_converter!A:L, 12, FALSE)</f>
        <v>Canning</v>
      </c>
      <c r="O326" s="2">
        <v>0</v>
      </c>
      <c r="P326" s="2" t="s">
        <v>25</v>
      </c>
    </row>
    <row r="327" spans="1:16">
      <c r="A327" s="11" t="s">
        <v>709</v>
      </c>
      <c r="B327" s="2" t="s">
        <v>710</v>
      </c>
      <c r="C327" s="2">
        <v>24</v>
      </c>
      <c r="D327" s="2">
        <f t="shared" si="21"/>
        <v>8.64</v>
      </c>
      <c r="E327" s="2">
        <v>360</v>
      </c>
      <c r="F327" s="2" t="s">
        <v>18</v>
      </c>
      <c r="G327" s="2" t="s">
        <v>80</v>
      </c>
      <c r="H327" s="2" t="s">
        <v>201</v>
      </c>
      <c r="I327" s="2" t="s">
        <v>30</v>
      </c>
      <c r="J327" s="2" t="s">
        <v>22</v>
      </c>
      <c r="K327" s="2" t="s">
        <v>83</v>
      </c>
      <c r="L327" s="2" t="s">
        <v>47</v>
      </c>
      <c r="M327" s="2">
        <f>2400/24</f>
        <v>100</v>
      </c>
      <c r="N327" s="2" t="str">
        <f>VLOOKUP(A327, zcorin_converter!A:L, 12, FALSE)</f>
        <v>Bag in Box</v>
      </c>
      <c r="O327" s="2" t="s">
        <v>205</v>
      </c>
      <c r="P327" s="2" t="s">
        <v>25</v>
      </c>
    </row>
    <row r="328" spans="1:16">
      <c r="A328" s="11" t="s">
        <v>711</v>
      </c>
      <c r="B328" s="2" t="s">
        <v>712</v>
      </c>
      <c r="C328" s="2">
        <v>10</v>
      </c>
      <c r="D328" s="2">
        <f t="shared" si="21"/>
        <v>7</v>
      </c>
      <c r="E328" s="2">
        <v>700</v>
      </c>
      <c r="F328" s="2" t="s">
        <v>18</v>
      </c>
      <c r="G328" s="2" t="s">
        <v>80</v>
      </c>
      <c r="H328" s="2" t="s">
        <v>201</v>
      </c>
      <c r="I328" s="2" t="s">
        <v>30</v>
      </c>
      <c r="J328" s="2" t="s">
        <v>22</v>
      </c>
      <c r="K328" s="2" t="s">
        <v>83</v>
      </c>
      <c r="L328" s="2" t="s">
        <v>47</v>
      </c>
      <c r="M328" s="2">
        <f>4000/24</f>
        <v>166.66666666666666</v>
      </c>
      <c r="N328" s="2" t="str">
        <f>VLOOKUP(A328, zcorin_converter!A:L, 12, FALSE)</f>
        <v>Bag in Box</v>
      </c>
      <c r="O328" s="2" t="s">
        <v>205</v>
      </c>
      <c r="P328" s="2" t="s">
        <v>25</v>
      </c>
    </row>
    <row r="329" spans="1:16">
      <c r="A329" s="11" t="s">
        <v>713</v>
      </c>
      <c r="B329" s="2" t="s">
        <v>714</v>
      </c>
      <c r="C329" s="2">
        <v>10</v>
      </c>
      <c r="D329" s="2">
        <f t="shared" si="21"/>
        <v>7</v>
      </c>
      <c r="E329" s="2">
        <v>700</v>
      </c>
      <c r="F329" s="2" t="s">
        <v>18</v>
      </c>
      <c r="G329" s="2" t="s">
        <v>80</v>
      </c>
      <c r="H329" s="2" t="s">
        <v>201</v>
      </c>
      <c r="I329" s="2" t="s">
        <v>30</v>
      </c>
      <c r="J329" s="2" t="s">
        <v>22</v>
      </c>
      <c r="K329" s="2" t="s">
        <v>83</v>
      </c>
      <c r="L329" s="2" t="s">
        <v>47</v>
      </c>
      <c r="M329" s="2">
        <f>4000/24</f>
        <v>166.66666666666666</v>
      </c>
      <c r="N329" s="2" t="str">
        <f>VLOOKUP(A329, zcorin_converter!A:L, 12, FALSE)</f>
        <v>Bag in Box</v>
      </c>
      <c r="O329" s="2" t="s">
        <v>205</v>
      </c>
      <c r="P329" s="2" t="s">
        <v>25</v>
      </c>
    </row>
    <row r="330" spans="1:16">
      <c r="A330" s="11" t="s">
        <v>715</v>
      </c>
      <c r="B330" s="2" t="s">
        <v>716</v>
      </c>
      <c r="C330" s="2">
        <v>24</v>
      </c>
      <c r="D330" s="2">
        <f>C330*E330/1000</f>
        <v>9.6</v>
      </c>
      <c r="E330" s="2">
        <v>400</v>
      </c>
      <c r="F330" s="2" t="s">
        <v>147</v>
      </c>
      <c r="G330" s="2" t="s">
        <v>29</v>
      </c>
      <c r="H330" s="2" t="s">
        <v>29</v>
      </c>
      <c r="I330" s="2" t="s">
        <v>38</v>
      </c>
      <c r="J330" s="2" t="s">
        <v>38</v>
      </c>
      <c r="K330" s="2" t="s">
        <v>29</v>
      </c>
      <c r="L330" s="2" t="s">
        <v>24</v>
      </c>
      <c r="M330" s="2">
        <v>0</v>
      </c>
      <c r="N330" s="2" t="str">
        <f>VLOOKUP(A330, zcorin_converter!A:L, 12, FALSE)</f>
        <v>Canning</v>
      </c>
      <c r="O330" s="2">
        <v>0</v>
      </c>
      <c r="P330" s="2" t="s">
        <v>25</v>
      </c>
    </row>
    <row r="331" spans="1:16">
      <c r="A331" s="11" t="s">
        <v>717</v>
      </c>
      <c r="B331" s="2" t="s">
        <v>718</v>
      </c>
      <c r="C331" s="2">
        <v>24</v>
      </c>
      <c r="D331" s="2">
        <f>C331*E331/1000</f>
        <v>9.6</v>
      </c>
      <c r="E331" s="2">
        <v>400</v>
      </c>
      <c r="F331" s="2" t="s">
        <v>147</v>
      </c>
      <c r="G331" s="2" t="s">
        <v>29</v>
      </c>
      <c r="H331" s="2" t="s">
        <v>29</v>
      </c>
      <c r="I331" s="2" t="s">
        <v>42</v>
      </c>
      <c r="J331" s="2" t="s">
        <v>42</v>
      </c>
      <c r="K331" s="2" t="s">
        <v>29</v>
      </c>
      <c r="L331" s="2" t="s">
        <v>24</v>
      </c>
      <c r="M331" s="2">
        <v>0</v>
      </c>
      <c r="N331" s="2" t="str">
        <f>VLOOKUP(A331, zcorin_converter!A:L, 12, FALSE)</f>
        <v>Canning</v>
      </c>
      <c r="O331" s="2">
        <v>0</v>
      </c>
      <c r="P331" s="2" t="s">
        <v>25</v>
      </c>
    </row>
    <row r="332" spans="1:16">
      <c r="A332" s="11" t="s">
        <v>719</v>
      </c>
      <c r="B332" s="2" t="s">
        <v>720</v>
      </c>
      <c r="C332" s="4">
        <v>40</v>
      </c>
      <c r="D332" s="4">
        <f>(C332*E332/1000)*1.04</f>
        <v>4.3680000000000003</v>
      </c>
      <c r="E332" s="4">
        <v>105</v>
      </c>
      <c r="F332" s="4" t="s">
        <v>18</v>
      </c>
      <c r="G332" s="2" t="s">
        <v>721</v>
      </c>
      <c r="H332" s="4" t="s">
        <v>722</v>
      </c>
      <c r="I332" s="4" t="s">
        <v>722</v>
      </c>
      <c r="J332" s="2" t="s">
        <v>723</v>
      </c>
      <c r="K332" s="4" t="s">
        <v>83</v>
      </c>
      <c r="L332" s="2" t="s">
        <v>724</v>
      </c>
      <c r="M332" s="3">
        <f>48000*85%/2/C332</f>
        <v>510</v>
      </c>
      <c r="N332" s="2" t="str">
        <f>VLOOKUP(A332, zcorin_converter!A:L, 12, FALSE)</f>
        <v>RTD</v>
      </c>
      <c r="O332" s="3" t="s">
        <v>725</v>
      </c>
      <c r="P332" s="2" t="s">
        <v>726</v>
      </c>
    </row>
    <row r="333" spans="1:16">
      <c r="A333" s="11" t="s">
        <v>727</v>
      </c>
      <c r="B333" s="2" t="s">
        <v>728</v>
      </c>
      <c r="C333" s="4">
        <v>40</v>
      </c>
      <c r="D333" s="4">
        <f>(C333*E333/1000)*1.04</f>
        <v>4.3680000000000003</v>
      </c>
      <c r="E333" s="4">
        <v>105</v>
      </c>
      <c r="F333" s="4" t="s">
        <v>18</v>
      </c>
      <c r="G333" s="4" t="s">
        <v>721</v>
      </c>
      <c r="H333" s="4" t="s">
        <v>722</v>
      </c>
      <c r="I333" s="4" t="s">
        <v>722</v>
      </c>
      <c r="J333" s="2" t="s">
        <v>723</v>
      </c>
      <c r="K333" s="4" t="s">
        <v>83</v>
      </c>
      <c r="L333" s="2" t="s">
        <v>724</v>
      </c>
      <c r="M333" s="3">
        <f t="shared" ref="M333:M335" si="22">48000*85%/2/C333</f>
        <v>510</v>
      </c>
      <c r="N333" s="2" t="str">
        <f>VLOOKUP(A333, zcorin_converter!A:L, 12, FALSE)</f>
        <v>RTD</v>
      </c>
      <c r="O333" s="3" t="s">
        <v>725</v>
      </c>
      <c r="P333" s="2" t="s">
        <v>726</v>
      </c>
    </row>
    <row r="334" spans="1:16">
      <c r="A334" s="11" t="s">
        <v>729</v>
      </c>
      <c r="B334" s="2" t="s">
        <v>730</v>
      </c>
      <c r="C334" s="4">
        <v>24</v>
      </c>
      <c r="D334" s="4">
        <f>(C334*E334/1000)*1.04</f>
        <v>4.1184000000000003</v>
      </c>
      <c r="E334" s="4">
        <v>165</v>
      </c>
      <c r="F334" s="4" t="s">
        <v>18</v>
      </c>
      <c r="G334" s="2" t="s">
        <v>721</v>
      </c>
      <c r="H334" s="4" t="s">
        <v>722</v>
      </c>
      <c r="I334" s="4" t="s">
        <v>722</v>
      </c>
      <c r="J334" s="2" t="s">
        <v>723</v>
      </c>
      <c r="K334" s="4" t="s">
        <v>83</v>
      </c>
      <c r="L334" s="2" t="s">
        <v>724</v>
      </c>
      <c r="M334" s="3">
        <f t="shared" si="22"/>
        <v>850</v>
      </c>
      <c r="N334" s="2" t="str">
        <f>VLOOKUP(A334, zcorin_converter!A:L, 12, FALSE)</f>
        <v>RTD</v>
      </c>
      <c r="O334" s="3" t="s">
        <v>725</v>
      </c>
      <c r="P334" s="2" t="s">
        <v>726</v>
      </c>
    </row>
    <row r="335" spans="1:16">
      <c r="A335" s="11" t="s">
        <v>731</v>
      </c>
      <c r="B335" s="2" t="s">
        <v>732</v>
      </c>
      <c r="C335" s="4">
        <v>24</v>
      </c>
      <c r="D335" s="4">
        <f>(C335*E335/1000)*1.04</f>
        <v>4.1184000000000003</v>
      </c>
      <c r="E335" s="4">
        <v>165</v>
      </c>
      <c r="F335" s="4" t="s">
        <v>18</v>
      </c>
      <c r="G335" s="4" t="s">
        <v>721</v>
      </c>
      <c r="H335" s="4" t="s">
        <v>722</v>
      </c>
      <c r="I335" s="4" t="s">
        <v>722</v>
      </c>
      <c r="J335" s="2" t="s">
        <v>723</v>
      </c>
      <c r="K335" s="4" t="s">
        <v>83</v>
      </c>
      <c r="L335" s="2" t="s">
        <v>724</v>
      </c>
      <c r="M335" s="3">
        <f t="shared" si="22"/>
        <v>850</v>
      </c>
      <c r="N335" s="2" t="str">
        <f>VLOOKUP(A335, zcorin_converter!A:L, 12, FALSE)</f>
        <v>RTD</v>
      </c>
      <c r="O335" s="3" t="s">
        <v>725</v>
      </c>
      <c r="P335" s="2" t="s">
        <v>726</v>
      </c>
    </row>
    <row r="336" spans="1:16">
      <c r="A336" s="11" t="s">
        <v>733</v>
      </c>
      <c r="B336" s="2" t="s">
        <v>734</v>
      </c>
      <c r="C336" s="2">
        <v>12</v>
      </c>
      <c r="D336" s="2">
        <f>E336*C336/1000</f>
        <v>7.44</v>
      </c>
      <c r="E336" s="2">
        <v>620</v>
      </c>
      <c r="F336" s="2" t="s">
        <v>18</v>
      </c>
      <c r="G336" s="2" t="s">
        <v>80</v>
      </c>
      <c r="H336" s="2" t="s">
        <v>81</v>
      </c>
      <c r="I336" s="2" t="s">
        <v>82</v>
      </c>
      <c r="J336" s="2" t="s">
        <v>38</v>
      </c>
      <c r="K336" s="2" t="s">
        <v>83</v>
      </c>
      <c r="L336" s="2" t="s">
        <v>24</v>
      </c>
      <c r="M336" s="2">
        <v>0</v>
      </c>
      <c r="N336" s="2" t="str">
        <f>VLOOKUP(A336, zcorin_converter!A:L, 12, FALSE)</f>
        <v>Bag in Box</v>
      </c>
      <c r="O336" s="2">
        <v>0</v>
      </c>
      <c r="P336" s="2" t="s">
        <v>25</v>
      </c>
    </row>
    <row r="337" spans="1:16">
      <c r="A337" s="11" t="s">
        <v>735</v>
      </c>
      <c r="B337" s="2" t="s">
        <v>736</v>
      </c>
      <c r="C337" s="2">
        <v>12</v>
      </c>
      <c r="D337" s="2">
        <f>E337*C337/1000</f>
        <v>7.44</v>
      </c>
      <c r="E337" s="2">
        <v>620</v>
      </c>
      <c r="F337" s="2" t="s">
        <v>18</v>
      </c>
      <c r="G337" s="4" t="s">
        <v>80</v>
      </c>
      <c r="H337" s="2" t="s">
        <v>92</v>
      </c>
      <c r="I337" s="2" t="s">
        <v>93</v>
      </c>
      <c r="J337" s="2" t="s">
        <v>42</v>
      </c>
      <c r="K337" s="2" t="s">
        <v>83</v>
      </c>
      <c r="L337" s="2" t="s">
        <v>24</v>
      </c>
      <c r="M337" s="2">
        <v>0</v>
      </c>
      <c r="N337" s="2" t="str">
        <f>VLOOKUP(A337, zcorin_converter!A:L, 12, FALSE)</f>
        <v>Bag in Box</v>
      </c>
      <c r="O337" s="2">
        <v>0</v>
      </c>
      <c r="P337" s="2" t="s">
        <v>25</v>
      </c>
    </row>
    <row r="338" spans="1:16">
      <c r="A338" s="11" t="s">
        <v>737</v>
      </c>
      <c r="B338" s="2" t="s">
        <v>738</v>
      </c>
      <c r="C338" s="2">
        <v>24</v>
      </c>
      <c r="D338" s="2">
        <f t="shared" ref="D338:D390" si="23">C338*E338/1000</f>
        <v>4.2</v>
      </c>
      <c r="E338" s="2">
        <v>175</v>
      </c>
      <c r="F338" s="2" t="s">
        <v>18</v>
      </c>
      <c r="G338" s="2" t="s">
        <v>80</v>
      </c>
      <c r="H338" s="2" t="s">
        <v>551</v>
      </c>
      <c r="I338" s="2" t="s">
        <v>238</v>
      </c>
      <c r="J338" s="2" t="s">
        <v>156</v>
      </c>
      <c r="K338" s="2" t="s">
        <v>83</v>
      </c>
      <c r="L338" s="2" t="s">
        <v>47</v>
      </c>
      <c r="M338" s="2">
        <f>2700/24</f>
        <v>112.5</v>
      </c>
      <c r="N338" s="2" t="str">
        <f>VLOOKUP(A338, zcorin_converter!A:L, 12, FALSE)</f>
        <v>Bag in Box</v>
      </c>
      <c r="O338" s="2" t="s">
        <v>351</v>
      </c>
      <c r="P338" s="2" t="s">
        <v>25</v>
      </c>
    </row>
    <row r="339" spans="1:16">
      <c r="A339" s="11" t="s">
        <v>739</v>
      </c>
      <c r="B339" s="2" t="s">
        <v>740</v>
      </c>
      <c r="C339" s="2">
        <v>24</v>
      </c>
      <c r="D339" s="2">
        <f t="shared" si="23"/>
        <v>8.4</v>
      </c>
      <c r="E339" s="2">
        <v>350</v>
      </c>
      <c r="F339" s="2" t="s">
        <v>18</v>
      </c>
      <c r="G339" s="4" t="s">
        <v>80</v>
      </c>
      <c r="H339" s="2" t="s">
        <v>551</v>
      </c>
      <c r="I339" s="2" t="s">
        <v>238</v>
      </c>
      <c r="J339" s="2" t="s">
        <v>156</v>
      </c>
      <c r="K339" s="2" t="s">
        <v>83</v>
      </c>
      <c r="L339" s="2" t="s">
        <v>47</v>
      </c>
      <c r="M339" s="2">
        <f>2600/24</f>
        <v>108.33333333333333</v>
      </c>
      <c r="N339" s="2" t="str">
        <f>VLOOKUP(A339, zcorin_converter!A:L, 12, FALSE)</f>
        <v>Bag in Box</v>
      </c>
      <c r="O339" s="2" t="s">
        <v>205</v>
      </c>
      <c r="P339" s="2" t="s">
        <v>25</v>
      </c>
    </row>
    <row r="340" spans="1:16">
      <c r="A340" s="11" t="s">
        <v>741</v>
      </c>
      <c r="B340" s="2" t="s">
        <v>742</v>
      </c>
      <c r="C340" s="2">
        <v>10</v>
      </c>
      <c r="D340" s="2">
        <f t="shared" si="23"/>
        <v>10</v>
      </c>
      <c r="E340" s="2">
        <v>1000</v>
      </c>
      <c r="F340" s="2" t="s">
        <v>18</v>
      </c>
      <c r="G340" s="2" t="s">
        <v>80</v>
      </c>
      <c r="H340" s="2" t="s">
        <v>551</v>
      </c>
      <c r="I340" s="2" t="s">
        <v>238</v>
      </c>
      <c r="J340" s="2" t="s">
        <v>156</v>
      </c>
      <c r="K340" s="2" t="s">
        <v>83</v>
      </c>
      <c r="L340" s="2" t="s">
        <v>47</v>
      </c>
      <c r="M340" s="2">
        <f>4000/24</f>
        <v>166.66666666666666</v>
      </c>
      <c r="N340" s="2" t="str">
        <f>VLOOKUP(A340, zcorin_converter!A:L, 12, FALSE)</f>
        <v>Bag in Box</v>
      </c>
      <c r="O340" s="2" t="s">
        <v>205</v>
      </c>
      <c r="P340" s="2" t="s">
        <v>25</v>
      </c>
    </row>
    <row r="341" spans="1:16">
      <c r="A341" s="11" t="s">
        <v>741</v>
      </c>
      <c r="B341" s="2" t="s">
        <v>742</v>
      </c>
      <c r="C341" s="2">
        <v>10</v>
      </c>
      <c r="D341" s="2">
        <f t="shared" si="23"/>
        <v>10</v>
      </c>
      <c r="E341" s="2">
        <v>1000</v>
      </c>
      <c r="F341" s="2" t="s">
        <v>18</v>
      </c>
      <c r="G341" s="2" t="s">
        <v>80</v>
      </c>
      <c r="H341" s="2" t="s">
        <v>551</v>
      </c>
      <c r="I341" s="2" t="s">
        <v>238</v>
      </c>
      <c r="J341" s="2" t="s">
        <v>156</v>
      </c>
      <c r="K341" s="2" t="s">
        <v>83</v>
      </c>
      <c r="L341" s="2" t="s">
        <v>47</v>
      </c>
      <c r="M341" s="2">
        <f>4500/24</f>
        <v>187.5</v>
      </c>
      <c r="N341" s="2" t="str">
        <f>VLOOKUP(A341, zcorin_converter!A:L, 12, FALSE)</f>
        <v>Bag in Box</v>
      </c>
      <c r="O341" s="2" t="s">
        <v>351</v>
      </c>
      <c r="P341" s="2" t="s">
        <v>25</v>
      </c>
    </row>
    <row r="342" spans="1:16">
      <c r="A342" s="11" t="s">
        <v>741</v>
      </c>
      <c r="B342" s="2" t="s">
        <v>742</v>
      </c>
      <c r="C342" s="2">
        <v>10</v>
      </c>
      <c r="D342" s="2">
        <f t="shared" si="23"/>
        <v>10</v>
      </c>
      <c r="E342" s="2">
        <v>1000</v>
      </c>
      <c r="F342" s="2" t="s">
        <v>18</v>
      </c>
      <c r="G342" s="2" t="s">
        <v>80</v>
      </c>
      <c r="H342" s="2" t="s">
        <v>551</v>
      </c>
      <c r="I342" s="2" t="s">
        <v>238</v>
      </c>
      <c r="J342" s="2" t="s">
        <v>156</v>
      </c>
      <c r="K342" s="2" t="s">
        <v>83</v>
      </c>
      <c r="L342" s="2" t="s">
        <v>47</v>
      </c>
      <c r="M342" s="2">
        <f>4000/24</f>
        <v>166.66666666666666</v>
      </c>
      <c r="N342" s="2" t="str">
        <f>VLOOKUP(A342, zcorin_converter!A:L, 12, FALSE)</f>
        <v>Bag in Box</v>
      </c>
      <c r="O342" s="2" t="s">
        <v>665</v>
      </c>
      <c r="P342" s="2" t="s">
        <v>25</v>
      </c>
    </row>
    <row r="343" spans="1:16">
      <c r="A343" s="11" t="s">
        <v>741</v>
      </c>
      <c r="B343" s="2" t="s">
        <v>742</v>
      </c>
      <c r="C343" s="2">
        <v>10</v>
      </c>
      <c r="D343" s="2">
        <f t="shared" si="23"/>
        <v>10</v>
      </c>
      <c r="E343" s="2">
        <v>1000</v>
      </c>
      <c r="F343" s="2" t="s">
        <v>18</v>
      </c>
      <c r="G343" s="2" t="s">
        <v>80</v>
      </c>
      <c r="H343" s="2" t="s">
        <v>551</v>
      </c>
      <c r="I343" s="2" t="s">
        <v>238</v>
      </c>
      <c r="J343" s="2" t="s">
        <v>156</v>
      </c>
      <c r="K343" s="2" t="s">
        <v>83</v>
      </c>
      <c r="L343" s="2" t="s">
        <v>47</v>
      </c>
      <c r="M343" s="2">
        <f>5000/24</f>
        <v>208.33333333333334</v>
      </c>
      <c r="N343" s="2" t="str">
        <f>VLOOKUP(A343, zcorin_converter!A:L, 12, FALSE)</f>
        <v>Bag in Box</v>
      </c>
      <c r="O343" s="2" t="s">
        <v>216</v>
      </c>
      <c r="P343" s="2" t="s">
        <v>25</v>
      </c>
    </row>
    <row r="344" spans="1:16">
      <c r="A344" s="11" t="s">
        <v>743</v>
      </c>
      <c r="B344" s="2" t="s">
        <v>744</v>
      </c>
      <c r="C344" s="2">
        <v>6</v>
      </c>
      <c r="D344" s="2">
        <f t="shared" si="23"/>
        <v>10.8</v>
      </c>
      <c r="E344" s="2">
        <v>1800</v>
      </c>
      <c r="F344" s="2" t="s">
        <v>18</v>
      </c>
      <c r="G344" s="4" t="s">
        <v>80</v>
      </c>
      <c r="H344" s="2" t="s">
        <v>551</v>
      </c>
      <c r="I344" s="2" t="s">
        <v>238</v>
      </c>
      <c r="J344" s="2" t="s">
        <v>156</v>
      </c>
      <c r="K344" s="2" t="s">
        <v>83</v>
      </c>
      <c r="L344" s="2" t="s">
        <v>47</v>
      </c>
      <c r="M344" s="2">
        <f>3000/24</f>
        <v>125</v>
      </c>
      <c r="N344" s="2" t="str">
        <f>VLOOKUP(A344, zcorin_converter!A:L, 12, FALSE)</f>
        <v>Bag in Box</v>
      </c>
      <c r="O344" s="2" t="s">
        <v>216</v>
      </c>
      <c r="P344" s="2" t="s">
        <v>25</v>
      </c>
    </row>
    <row r="345" spans="1:16">
      <c r="A345" s="11" t="s">
        <v>745</v>
      </c>
      <c r="B345" s="2" t="s">
        <v>746</v>
      </c>
      <c r="C345" s="2">
        <v>12</v>
      </c>
      <c r="D345" s="2">
        <f t="shared" si="23"/>
        <v>7.2</v>
      </c>
      <c r="E345" s="2">
        <v>600</v>
      </c>
      <c r="F345" s="2" t="s">
        <v>18</v>
      </c>
      <c r="G345" s="2" t="s">
        <v>80</v>
      </c>
      <c r="H345" s="2" t="s">
        <v>551</v>
      </c>
      <c r="I345" s="2" t="s">
        <v>238</v>
      </c>
      <c r="J345" s="2" t="s">
        <v>156</v>
      </c>
      <c r="K345" s="2" t="s">
        <v>83</v>
      </c>
      <c r="L345" s="2" t="s">
        <v>47</v>
      </c>
      <c r="M345" s="2">
        <f>4500/24</f>
        <v>187.5</v>
      </c>
      <c r="N345" s="2" t="str">
        <f>VLOOKUP(A345, zcorin_converter!A:L, 12, FALSE)</f>
        <v>Bag in Box</v>
      </c>
      <c r="O345" s="2" t="s">
        <v>351</v>
      </c>
      <c r="P345" s="2" t="s">
        <v>25</v>
      </c>
    </row>
    <row r="346" spans="1:16">
      <c r="A346" s="11" t="s">
        <v>747</v>
      </c>
      <c r="B346" s="2" t="s">
        <v>748</v>
      </c>
      <c r="C346" s="2">
        <v>4</v>
      </c>
      <c r="D346" s="2">
        <f t="shared" si="23"/>
        <v>12</v>
      </c>
      <c r="E346" s="2">
        <v>3000</v>
      </c>
      <c r="F346" s="2" t="s">
        <v>18</v>
      </c>
      <c r="G346" s="4" t="s">
        <v>80</v>
      </c>
      <c r="H346" s="2" t="s">
        <v>551</v>
      </c>
      <c r="I346" s="2" t="s">
        <v>238</v>
      </c>
      <c r="J346" s="2" t="s">
        <v>156</v>
      </c>
      <c r="K346" s="2" t="s">
        <v>83</v>
      </c>
      <c r="L346" s="2" t="s">
        <v>47</v>
      </c>
      <c r="M346" s="2">
        <f>2700/24</f>
        <v>112.5</v>
      </c>
      <c r="N346" s="2" t="str">
        <f>VLOOKUP(A346, zcorin_converter!A:L, 12, FALSE)</f>
        <v>Bag in Box</v>
      </c>
      <c r="O346" s="2" t="s">
        <v>665</v>
      </c>
      <c r="P346" s="2" t="s">
        <v>25</v>
      </c>
    </row>
    <row r="347" spans="1:16">
      <c r="A347" s="11" t="s">
        <v>749</v>
      </c>
      <c r="B347" s="2" t="s">
        <v>750</v>
      </c>
      <c r="C347" s="2">
        <v>24</v>
      </c>
      <c r="D347" s="2">
        <f t="shared" si="23"/>
        <v>8.4</v>
      </c>
      <c r="E347" s="2">
        <v>350</v>
      </c>
      <c r="F347" s="2" t="s">
        <v>18</v>
      </c>
      <c r="G347" s="2" t="s">
        <v>80</v>
      </c>
      <c r="H347" s="2" t="s">
        <v>551</v>
      </c>
      <c r="I347" s="2" t="s">
        <v>238</v>
      </c>
      <c r="J347" s="2" t="s">
        <v>156</v>
      </c>
      <c r="K347" s="2" t="s">
        <v>83</v>
      </c>
      <c r="L347" s="2" t="s">
        <v>47</v>
      </c>
      <c r="M347" s="2">
        <f>2600/24</f>
        <v>108.33333333333333</v>
      </c>
      <c r="N347" s="2" t="str">
        <f>VLOOKUP(A347, zcorin_converter!A:L, 12, FALSE)</f>
        <v>Bag in Box</v>
      </c>
      <c r="O347" s="2" t="s">
        <v>205</v>
      </c>
      <c r="P347" s="2" t="s">
        <v>25</v>
      </c>
    </row>
    <row r="348" spans="1:16">
      <c r="A348" s="11" t="s">
        <v>751</v>
      </c>
      <c r="B348" s="2" t="s">
        <v>752</v>
      </c>
      <c r="C348" s="2">
        <v>12</v>
      </c>
      <c r="D348" s="2">
        <f t="shared" si="23"/>
        <v>7.2</v>
      </c>
      <c r="E348" s="2">
        <v>600</v>
      </c>
      <c r="F348" s="2" t="s">
        <v>18</v>
      </c>
      <c r="G348" s="4" t="s">
        <v>80</v>
      </c>
      <c r="H348" s="2" t="s">
        <v>551</v>
      </c>
      <c r="I348" s="2" t="s">
        <v>238</v>
      </c>
      <c r="J348" s="2" t="s">
        <v>156</v>
      </c>
      <c r="K348" s="2" t="s">
        <v>83</v>
      </c>
      <c r="L348" s="2" t="s">
        <v>47</v>
      </c>
      <c r="M348" s="2">
        <f>4500/24</f>
        <v>187.5</v>
      </c>
      <c r="N348" s="2" t="str">
        <f>VLOOKUP(A348, zcorin_converter!A:L, 12, FALSE)</f>
        <v>Bag in Box</v>
      </c>
      <c r="O348" s="2" t="s">
        <v>351</v>
      </c>
      <c r="P348" s="2" t="s">
        <v>25</v>
      </c>
    </row>
    <row r="349" spans="1:16">
      <c r="A349" s="11" t="s">
        <v>753</v>
      </c>
      <c r="B349" s="2" t="s">
        <v>754</v>
      </c>
      <c r="C349" s="2">
        <v>10</v>
      </c>
      <c r="D349" s="2">
        <f t="shared" si="23"/>
        <v>10</v>
      </c>
      <c r="E349" s="2">
        <v>1000</v>
      </c>
      <c r="F349" s="2" t="s">
        <v>18</v>
      </c>
      <c r="G349" s="2" t="s">
        <v>80</v>
      </c>
      <c r="H349" s="2" t="s">
        <v>551</v>
      </c>
      <c r="I349" s="2" t="s">
        <v>238</v>
      </c>
      <c r="J349" s="2" t="s">
        <v>156</v>
      </c>
      <c r="K349" s="2" t="s">
        <v>83</v>
      </c>
      <c r="L349" s="2" t="s">
        <v>47</v>
      </c>
      <c r="M349" s="2">
        <f>4000/24</f>
        <v>166.66666666666666</v>
      </c>
      <c r="N349" s="2" t="str">
        <f>VLOOKUP(A349, zcorin_converter!A:L, 12, FALSE)</f>
        <v>Bag in Box</v>
      </c>
      <c r="O349" s="2" t="s">
        <v>205</v>
      </c>
      <c r="P349" s="2" t="s">
        <v>25</v>
      </c>
    </row>
    <row r="350" spans="1:16">
      <c r="A350" s="11" t="s">
        <v>753</v>
      </c>
      <c r="B350" s="2" t="s">
        <v>754</v>
      </c>
      <c r="C350" s="2">
        <v>10</v>
      </c>
      <c r="D350" s="2">
        <f t="shared" si="23"/>
        <v>10</v>
      </c>
      <c r="E350" s="2">
        <v>1000</v>
      </c>
      <c r="F350" s="2" t="s">
        <v>18</v>
      </c>
      <c r="G350" s="2" t="s">
        <v>80</v>
      </c>
      <c r="H350" s="2" t="s">
        <v>551</v>
      </c>
      <c r="I350" s="2" t="s">
        <v>238</v>
      </c>
      <c r="J350" s="2" t="s">
        <v>156</v>
      </c>
      <c r="K350" s="2" t="s">
        <v>83</v>
      </c>
      <c r="L350" s="2" t="s">
        <v>47</v>
      </c>
      <c r="M350" s="2">
        <f>4500/24</f>
        <v>187.5</v>
      </c>
      <c r="N350" s="2" t="str">
        <f>VLOOKUP(A350, zcorin_converter!A:L, 12, FALSE)</f>
        <v>Bag in Box</v>
      </c>
      <c r="O350" s="2" t="s">
        <v>351</v>
      </c>
      <c r="P350" s="2" t="s">
        <v>25</v>
      </c>
    </row>
    <row r="351" spans="1:16">
      <c r="A351" s="11" t="s">
        <v>753</v>
      </c>
      <c r="B351" s="2" t="s">
        <v>754</v>
      </c>
      <c r="C351" s="2">
        <v>10</v>
      </c>
      <c r="D351" s="2">
        <f t="shared" si="23"/>
        <v>10</v>
      </c>
      <c r="E351" s="2">
        <v>1000</v>
      </c>
      <c r="F351" s="2" t="s">
        <v>18</v>
      </c>
      <c r="G351" s="2" t="s">
        <v>80</v>
      </c>
      <c r="H351" s="2" t="s">
        <v>551</v>
      </c>
      <c r="I351" s="2" t="s">
        <v>238</v>
      </c>
      <c r="J351" s="2" t="s">
        <v>156</v>
      </c>
      <c r="K351" s="2" t="s">
        <v>83</v>
      </c>
      <c r="L351" s="2" t="s">
        <v>47</v>
      </c>
      <c r="M351" s="2">
        <f>4000/24</f>
        <v>166.66666666666666</v>
      </c>
      <c r="N351" s="2" t="str">
        <f>VLOOKUP(A351, zcorin_converter!A:L, 12, FALSE)</f>
        <v>Bag in Box</v>
      </c>
      <c r="O351" s="2" t="s">
        <v>665</v>
      </c>
      <c r="P351" s="2" t="s">
        <v>25</v>
      </c>
    </row>
    <row r="352" spans="1:16">
      <c r="A352" s="11" t="s">
        <v>753</v>
      </c>
      <c r="B352" s="2" t="s">
        <v>754</v>
      </c>
      <c r="C352" s="2">
        <v>10</v>
      </c>
      <c r="D352" s="2">
        <f t="shared" si="23"/>
        <v>10</v>
      </c>
      <c r="E352" s="2">
        <v>1000</v>
      </c>
      <c r="F352" s="2" t="s">
        <v>18</v>
      </c>
      <c r="G352" s="2" t="s">
        <v>80</v>
      </c>
      <c r="H352" s="2" t="s">
        <v>551</v>
      </c>
      <c r="I352" s="2" t="s">
        <v>238</v>
      </c>
      <c r="J352" s="2" t="s">
        <v>156</v>
      </c>
      <c r="K352" s="2" t="s">
        <v>83</v>
      </c>
      <c r="L352" s="2" t="s">
        <v>47</v>
      </c>
      <c r="M352" s="2">
        <f>5000/24</f>
        <v>208.33333333333334</v>
      </c>
      <c r="N352" s="2" t="str">
        <f>VLOOKUP(A352, zcorin_converter!A:L, 12, FALSE)</f>
        <v>Bag in Box</v>
      </c>
      <c r="O352" s="2" t="s">
        <v>216</v>
      </c>
      <c r="P352" s="2" t="s">
        <v>25</v>
      </c>
    </row>
    <row r="353" spans="1:16">
      <c r="A353" s="11" t="s">
        <v>755</v>
      </c>
      <c r="B353" s="2" t="s">
        <v>756</v>
      </c>
      <c r="C353" s="2">
        <v>6</v>
      </c>
      <c r="D353" s="2">
        <f t="shared" si="23"/>
        <v>10.8</v>
      </c>
      <c r="E353" s="2">
        <v>1800</v>
      </c>
      <c r="F353" s="2" t="s">
        <v>18</v>
      </c>
      <c r="G353" s="4" t="s">
        <v>80</v>
      </c>
      <c r="H353" s="2" t="s">
        <v>551</v>
      </c>
      <c r="I353" s="2" t="s">
        <v>238</v>
      </c>
      <c r="J353" s="2" t="s">
        <v>156</v>
      </c>
      <c r="K353" s="2" t="s">
        <v>83</v>
      </c>
      <c r="L353" s="2" t="s">
        <v>47</v>
      </c>
      <c r="M353" s="2">
        <f>3000/24</f>
        <v>125</v>
      </c>
      <c r="N353" s="2" t="str">
        <f>VLOOKUP(A353, zcorin_converter!A:L, 12, FALSE)</f>
        <v>Bag in Box</v>
      </c>
      <c r="O353" s="2" t="s">
        <v>216</v>
      </c>
      <c r="P353" s="2" t="s">
        <v>25</v>
      </c>
    </row>
    <row r="354" spans="1:16">
      <c r="A354" s="11" t="s">
        <v>757</v>
      </c>
      <c r="B354" s="2" t="s">
        <v>758</v>
      </c>
      <c r="C354" s="2">
        <v>4</v>
      </c>
      <c r="D354" s="2">
        <f t="shared" si="23"/>
        <v>12</v>
      </c>
      <c r="E354" s="2">
        <v>3000</v>
      </c>
      <c r="F354" s="2" t="s">
        <v>18</v>
      </c>
      <c r="G354" s="2" t="s">
        <v>80</v>
      </c>
      <c r="H354" s="2" t="s">
        <v>551</v>
      </c>
      <c r="I354" s="2" t="s">
        <v>238</v>
      </c>
      <c r="J354" s="2" t="s">
        <v>156</v>
      </c>
      <c r="K354" s="2" t="s">
        <v>83</v>
      </c>
      <c r="L354" s="2" t="s">
        <v>47</v>
      </c>
      <c r="M354" s="2">
        <f>2700/24</f>
        <v>112.5</v>
      </c>
      <c r="N354" s="2" t="str">
        <f>VLOOKUP(A354, zcorin_converter!A:L, 12, FALSE)</f>
        <v>Bag in Box</v>
      </c>
      <c r="O354" s="2" t="s">
        <v>665</v>
      </c>
      <c r="P354" s="2" t="s">
        <v>25</v>
      </c>
    </row>
    <row r="355" spans="1:16">
      <c r="A355" s="11" t="s">
        <v>759</v>
      </c>
      <c r="B355" s="2" t="s">
        <v>760</v>
      </c>
      <c r="C355" s="2">
        <v>24</v>
      </c>
      <c r="D355" s="2">
        <f t="shared" si="23"/>
        <v>8.4</v>
      </c>
      <c r="E355" s="2">
        <v>350</v>
      </c>
      <c r="F355" s="2" t="s">
        <v>18</v>
      </c>
      <c r="G355" s="4" t="s">
        <v>80</v>
      </c>
      <c r="H355" s="2" t="s">
        <v>556</v>
      </c>
      <c r="I355" s="2" t="s">
        <v>238</v>
      </c>
      <c r="J355" s="2" t="s">
        <v>156</v>
      </c>
      <c r="K355" s="2" t="s">
        <v>83</v>
      </c>
      <c r="L355" s="2" t="s">
        <v>47</v>
      </c>
      <c r="M355" s="2">
        <f>2600/24</f>
        <v>108.33333333333333</v>
      </c>
      <c r="N355" s="2" t="str">
        <f>VLOOKUP(A355, zcorin_converter!A:L, 12, FALSE)</f>
        <v>Bag in Box</v>
      </c>
      <c r="O355" s="2" t="s">
        <v>205</v>
      </c>
      <c r="P355" s="2" t="s">
        <v>25</v>
      </c>
    </row>
    <row r="356" spans="1:16">
      <c r="A356" s="11" t="s">
        <v>761</v>
      </c>
      <c r="B356" s="2" t="s">
        <v>762</v>
      </c>
      <c r="C356" s="2">
        <v>10</v>
      </c>
      <c r="D356" s="2">
        <f t="shared" si="23"/>
        <v>10</v>
      </c>
      <c r="E356" s="2">
        <v>1000</v>
      </c>
      <c r="F356" s="2" t="s">
        <v>18</v>
      </c>
      <c r="G356" s="2" t="s">
        <v>80</v>
      </c>
      <c r="H356" s="2" t="s">
        <v>556</v>
      </c>
      <c r="I356" s="2" t="s">
        <v>238</v>
      </c>
      <c r="J356" s="2" t="s">
        <v>156</v>
      </c>
      <c r="K356" s="2" t="s">
        <v>83</v>
      </c>
      <c r="L356" s="2" t="s">
        <v>47</v>
      </c>
      <c r="M356" s="2">
        <f>4000/24</f>
        <v>166.66666666666666</v>
      </c>
      <c r="N356" s="2" t="str">
        <f>VLOOKUP(A356, zcorin_converter!A:L, 12, FALSE)</f>
        <v>Bag in Box</v>
      </c>
      <c r="O356" s="2" t="s">
        <v>205</v>
      </c>
      <c r="P356" s="2" t="s">
        <v>25</v>
      </c>
    </row>
    <row r="357" spans="1:16">
      <c r="A357" s="11" t="s">
        <v>761</v>
      </c>
      <c r="B357" s="2" t="s">
        <v>762</v>
      </c>
      <c r="C357" s="2">
        <v>10</v>
      </c>
      <c r="D357" s="2">
        <f t="shared" si="23"/>
        <v>10</v>
      </c>
      <c r="E357" s="2">
        <v>1000</v>
      </c>
      <c r="F357" s="2" t="s">
        <v>18</v>
      </c>
      <c r="G357" s="2" t="s">
        <v>80</v>
      </c>
      <c r="H357" s="2" t="s">
        <v>556</v>
      </c>
      <c r="I357" s="2" t="s">
        <v>238</v>
      </c>
      <c r="J357" s="2" t="s">
        <v>156</v>
      </c>
      <c r="K357" s="2" t="s">
        <v>83</v>
      </c>
      <c r="L357" s="2" t="s">
        <v>47</v>
      </c>
      <c r="M357" s="2">
        <f>4500/24</f>
        <v>187.5</v>
      </c>
      <c r="N357" s="2" t="str">
        <f>VLOOKUP(A357, zcorin_converter!A:L, 12, FALSE)</f>
        <v>Bag in Box</v>
      </c>
      <c r="O357" s="2" t="s">
        <v>351</v>
      </c>
      <c r="P357" s="2" t="s">
        <v>25</v>
      </c>
    </row>
    <row r="358" spans="1:16">
      <c r="A358" s="11" t="s">
        <v>761</v>
      </c>
      <c r="B358" s="2" t="s">
        <v>762</v>
      </c>
      <c r="C358" s="2">
        <v>10</v>
      </c>
      <c r="D358" s="2">
        <f t="shared" si="23"/>
        <v>10</v>
      </c>
      <c r="E358" s="2">
        <v>1000</v>
      </c>
      <c r="F358" s="2" t="s">
        <v>18</v>
      </c>
      <c r="G358" s="2" t="s">
        <v>80</v>
      </c>
      <c r="H358" s="2" t="s">
        <v>556</v>
      </c>
      <c r="I358" s="2" t="s">
        <v>238</v>
      </c>
      <c r="J358" s="2" t="s">
        <v>156</v>
      </c>
      <c r="K358" s="2" t="s">
        <v>83</v>
      </c>
      <c r="L358" s="2" t="s">
        <v>47</v>
      </c>
      <c r="M358" s="2">
        <f>4000/24</f>
        <v>166.66666666666666</v>
      </c>
      <c r="N358" s="2" t="str">
        <f>VLOOKUP(A358, zcorin_converter!A:L, 12, FALSE)</f>
        <v>Bag in Box</v>
      </c>
      <c r="O358" s="2" t="s">
        <v>665</v>
      </c>
      <c r="P358" s="2" t="s">
        <v>25</v>
      </c>
    </row>
    <row r="359" spans="1:16">
      <c r="A359" s="11" t="s">
        <v>761</v>
      </c>
      <c r="B359" s="2" t="s">
        <v>762</v>
      </c>
      <c r="C359" s="2">
        <v>10</v>
      </c>
      <c r="D359" s="2">
        <f t="shared" si="23"/>
        <v>10</v>
      </c>
      <c r="E359" s="2">
        <v>1000</v>
      </c>
      <c r="F359" s="2" t="s">
        <v>18</v>
      </c>
      <c r="G359" s="2" t="s">
        <v>80</v>
      </c>
      <c r="H359" s="2" t="s">
        <v>556</v>
      </c>
      <c r="I359" s="2" t="s">
        <v>238</v>
      </c>
      <c r="J359" s="2" t="s">
        <v>156</v>
      </c>
      <c r="K359" s="2" t="s">
        <v>83</v>
      </c>
      <c r="L359" s="2" t="s">
        <v>47</v>
      </c>
      <c r="M359" s="2">
        <f>5000/24</f>
        <v>208.33333333333334</v>
      </c>
      <c r="N359" s="2" t="str">
        <f>VLOOKUP(A359, zcorin_converter!A:L, 12, FALSE)</f>
        <v>Bag in Box</v>
      </c>
      <c r="O359" s="2" t="s">
        <v>216</v>
      </c>
      <c r="P359" s="2" t="s">
        <v>25</v>
      </c>
    </row>
    <row r="360" spans="1:16">
      <c r="A360" s="11" t="s">
        <v>763</v>
      </c>
      <c r="B360" s="2" t="s">
        <v>764</v>
      </c>
      <c r="C360" s="2">
        <v>6</v>
      </c>
      <c r="D360" s="2">
        <f t="shared" si="23"/>
        <v>10.8</v>
      </c>
      <c r="E360" s="2">
        <v>1800</v>
      </c>
      <c r="F360" s="2" t="s">
        <v>18</v>
      </c>
      <c r="G360" s="4" t="s">
        <v>80</v>
      </c>
      <c r="H360" s="2" t="s">
        <v>556</v>
      </c>
      <c r="I360" s="2" t="s">
        <v>238</v>
      </c>
      <c r="J360" s="2" t="s">
        <v>156</v>
      </c>
      <c r="K360" s="2" t="s">
        <v>83</v>
      </c>
      <c r="L360" s="2" t="s">
        <v>47</v>
      </c>
      <c r="M360" s="2">
        <f>3000/24</f>
        <v>125</v>
      </c>
      <c r="N360" s="2" t="str">
        <f>VLOOKUP(A360, zcorin_converter!A:L, 12, FALSE)</f>
        <v>Bag in Box</v>
      </c>
      <c r="O360" s="2" t="s">
        <v>216</v>
      </c>
      <c r="P360" s="2" t="s">
        <v>25</v>
      </c>
    </row>
    <row r="361" spans="1:16">
      <c r="A361" s="11" t="s">
        <v>765</v>
      </c>
      <c r="B361" s="2" t="s">
        <v>766</v>
      </c>
      <c r="C361" s="2">
        <v>4</v>
      </c>
      <c r="D361" s="2">
        <f t="shared" si="23"/>
        <v>12</v>
      </c>
      <c r="E361" s="2">
        <v>3000</v>
      </c>
      <c r="F361" s="2" t="s">
        <v>18</v>
      </c>
      <c r="G361" s="2" t="s">
        <v>80</v>
      </c>
      <c r="H361" s="2" t="s">
        <v>556</v>
      </c>
      <c r="I361" s="2" t="s">
        <v>238</v>
      </c>
      <c r="J361" s="2" t="s">
        <v>156</v>
      </c>
      <c r="K361" s="2" t="s">
        <v>83</v>
      </c>
      <c r="L361" s="2" t="s">
        <v>47</v>
      </c>
      <c r="M361" s="2">
        <f>2700/24</f>
        <v>112.5</v>
      </c>
      <c r="N361" s="2" t="str">
        <f>VLOOKUP(A361, zcorin_converter!A:L, 12, FALSE)</f>
        <v>Bag in Box</v>
      </c>
      <c r="O361" s="2" t="s">
        <v>665</v>
      </c>
      <c r="P361" s="2" t="s">
        <v>25</v>
      </c>
    </row>
    <row r="362" spans="1:16">
      <c r="A362" s="11" t="s">
        <v>767</v>
      </c>
      <c r="B362" s="2" t="s">
        <v>768</v>
      </c>
      <c r="C362" s="2">
        <v>24</v>
      </c>
      <c r="D362" s="2">
        <f t="shared" si="23"/>
        <v>8.4</v>
      </c>
      <c r="E362" s="2">
        <v>350</v>
      </c>
      <c r="F362" s="2" t="s">
        <v>18</v>
      </c>
      <c r="G362" s="4" t="s">
        <v>80</v>
      </c>
      <c r="H362" s="2" t="s">
        <v>556</v>
      </c>
      <c r="I362" s="2" t="s">
        <v>238</v>
      </c>
      <c r="J362" s="2" t="s">
        <v>156</v>
      </c>
      <c r="K362" s="2" t="s">
        <v>83</v>
      </c>
      <c r="L362" s="2" t="s">
        <v>47</v>
      </c>
      <c r="M362" s="2">
        <f>2600/24</f>
        <v>108.33333333333333</v>
      </c>
      <c r="N362" s="2" t="str">
        <f>VLOOKUP(A362, zcorin_converter!A:L, 12, FALSE)</f>
        <v>Bag in Box</v>
      </c>
      <c r="O362" s="2" t="s">
        <v>205</v>
      </c>
      <c r="P362" s="2" t="s">
        <v>25</v>
      </c>
    </row>
    <row r="363" spans="1:16">
      <c r="A363" s="11" t="s">
        <v>769</v>
      </c>
      <c r="B363" s="2" t="s">
        <v>770</v>
      </c>
      <c r="C363" s="2">
        <v>10</v>
      </c>
      <c r="D363" s="2">
        <f t="shared" si="23"/>
        <v>10</v>
      </c>
      <c r="E363" s="2">
        <v>1000</v>
      </c>
      <c r="F363" s="2" t="s">
        <v>18</v>
      </c>
      <c r="G363" s="2" t="s">
        <v>80</v>
      </c>
      <c r="H363" s="2" t="s">
        <v>556</v>
      </c>
      <c r="I363" s="2" t="s">
        <v>238</v>
      </c>
      <c r="J363" s="2" t="s">
        <v>156</v>
      </c>
      <c r="K363" s="2" t="s">
        <v>83</v>
      </c>
      <c r="L363" s="2" t="s">
        <v>47</v>
      </c>
      <c r="M363" s="2">
        <f>4000/24</f>
        <v>166.66666666666666</v>
      </c>
      <c r="N363" s="2" t="str">
        <f>VLOOKUP(A363, zcorin_converter!A:L, 12, FALSE)</f>
        <v>Bag in Box</v>
      </c>
      <c r="O363" s="2" t="s">
        <v>205</v>
      </c>
      <c r="P363" s="2" t="s">
        <v>25</v>
      </c>
    </row>
    <row r="364" spans="1:16">
      <c r="A364" s="11" t="s">
        <v>769</v>
      </c>
      <c r="B364" s="2" t="s">
        <v>770</v>
      </c>
      <c r="C364" s="2">
        <v>10</v>
      </c>
      <c r="D364" s="2">
        <f t="shared" si="23"/>
        <v>10</v>
      </c>
      <c r="E364" s="2">
        <v>1000</v>
      </c>
      <c r="F364" s="2" t="s">
        <v>18</v>
      </c>
      <c r="G364" s="2" t="s">
        <v>80</v>
      </c>
      <c r="H364" s="2" t="s">
        <v>556</v>
      </c>
      <c r="I364" s="2" t="s">
        <v>238</v>
      </c>
      <c r="J364" s="2" t="s">
        <v>156</v>
      </c>
      <c r="K364" s="2" t="s">
        <v>83</v>
      </c>
      <c r="L364" s="2" t="s">
        <v>47</v>
      </c>
      <c r="M364" s="2">
        <f>4500/24</f>
        <v>187.5</v>
      </c>
      <c r="N364" s="2" t="str">
        <f>VLOOKUP(A364, zcorin_converter!A:L, 12, FALSE)</f>
        <v>Bag in Box</v>
      </c>
      <c r="O364" s="2" t="s">
        <v>351</v>
      </c>
      <c r="P364" s="2" t="s">
        <v>25</v>
      </c>
    </row>
    <row r="365" spans="1:16">
      <c r="A365" s="11" t="s">
        <v>769</v>
      </c>
      <c r="B365" s="2" t="s">
        <v>770</v>
      </c>
      <c r="C365" s="2">
        <v>10</v>
      </c>
      <c r="D365" s="2">
        <f t="shared" si="23"/>
        <v>10</v>
      </c>
      <c r="E365" s="2">
        <v>1000</v>
      </c>
      <c r="F365" s="2" t="s">
        <v>18</v>
      </c>
      <c r="G365" s="2" t="s">
        <v>80</v>
      </c>
      <c r="H365" s="2" t="s">
        <v>556</v>
      </c>
      <c r="I365" s="2" t="s">
        <v>238</v>
      </c>
      <c r="J365" s="2" t="s">
        <v>156</v>
      </c>
      <c r="K365" s="2" t="s">
        <v>83</v>
      </c>
      <c r="L365" s="2" t="s">
        <v>47</v>
      </c>
      <c r="M365" s="2">
        <f>4000/24</f>
        <v>166.66666666666666</v>
      </c>
      <c r="N365" s="2" t="str">
        <f>VLOOKUP(A365, zcorin_converter!A:L, 12, FALSE)</f>
        <v>Bag in Box</v>
      </c>
      <c r="O365" s="2" t="s">
        <v>665</v>
      </c>
      <c r="P365" s="2" t="s">
        <v>25</v>
      </c>
    </row>
    <row r="366" spans="1:16">
      <c r="A366" s="11" t="s">
        <v>769</v>
      </c>
      <c r="B366" s="2" t="s">
        <v>770</v>
      </c>
      <c r="C366" s="2">
        <v>10</v>
      </c>
      <c r="D366" s="2">
        <f t="shared" si="23"/>
        <v>10</v>
      </c>
      <c r="E366" s="2">
        <v>1000</v>
      </c>
      <c r="F366" s="2" t="s">
        <v>18</v>
      </c>
      <c r="G366" s="2" t="s">
        <v>80</v>
      </c>
      <c r="H366" s="2" t="s">
        <v>556</v>
      </c>
      <c r="I366" s="2" t="s">
        <v>238</v>
      </c>
      <c r="J366" s="2" t="s">
        <v>156</v>
      </c>
      <c r="K366" s="2" t="s">
        <v>83</v>
      </c>
      <c r="L366" s="2" t="s">
        <v>47</v>
      </c>
      <c r="M366" s="2">
        <f>5000/24</f>
        <v>208.33333333333334</v>
      </c>
      <c r="N366" s="2" t="str">
        <f>VLOOKUP(A366, zcorin_converter!A:L, 12, FALSE)</f>
        <v>Bag in Box</v>
      </c>
      <c r="O366" s="2" t="s">
        <v>216</v>
      </c>
      <c r="P366" s="2" t="s">
        <v>25</v>
      </c>
    </row>
    <row r="367" spans="1:16">
      <c r="A367" s="11" t="s">
        <v>771</v>
      </c>
      <c r="B367" s="2" t="s">
        <v>772</v>
      </c>
      <c r="C367" s="2">
        <v>6</v>
      </c>
      <c r="D367" s="2">
        <f t="shared" si="23"/>
        <v>10.8</v>
      </c>
      <c r="E367" s="2">
        <v>1800</v>
      </c>
      <c r="F367" s="2" t="s">
        <v>18</v>
      </c>
      <c r="G367" s="4" t="s">
        <v>80</v>
      </c>
      <c r="H367" s="2" t="s">
        <v>556</v>
      </c>
      <c r="I367" s="2" t="s">
        <v>238</v>
      </c>
      <c r="J367" s="2" t="s">
        <v>156</v>
      </c>
      <c r="K367" s="2" t="s">
        <v>83</v>
      </c>
      <c r="L367" s="2" t="s">
        <v>47</v>
      </c>
      <c r="M367" s="2">
        <f>3000/24</f>
        <v>125</v>
      </c>
      <c r="N367" s="2" t="str">
        <f>VLOOKUP(A367, zcorin_converter!A:L, 12, FALSE)</f>
        <v>Bag in Box</v>
      </c>
      <c r="O367" s="2" t="s">
        <v>216</v>
      </c>
      <c r="P367" s="2" t="s">
        <v>25</v>
      </c>
    </row>
    <row r="368" spans="1:16">
      <c r="A368" s="11" t="s">
        <v>773</v>
      </c>
      <c r="B368" s="2" t="s">
        <v>774</v>
      </c>
      <c r="C368" s="2">
        <v>4</v>
      </c>
      <c r="D368" s="2">
        <f t="shared" si="23"/>
        <v>12</v>
      </c>
      <c r="E368" s="2">
        <v>3000</v>
      </c>
      <c r="F368" s="2" t="s">
        <v>18</v>
      </c>
      <c r="G368" s="2" t="s">
        <v>80</v>
      </c>
      <c r="H368" s="2" t="s">
        <v>556</v>
      </c>
      <c r="I368" s="2" t="s">
        <v>238</v>
      </c>
      <c r="J368" s="2" t="s">
        <v>156</v>
      </c>
      <c r="K368" s="2" t="s">
        <v>83</v>
      </c>
      <c r="L368" s="2" t="s">
        <v>47</v>
      </c>
      <c r="M368" s="2">
        <f>2700/24</f>
        <v>112.5</v>
      </c>
      <c r="N368" s="2" t="str">
        <f>VLOOKUP(A368, zcorin_converter!A:L, 12, FALSE)</f>
        <v>Bag in Box</v>
      </c>
      <c r="O368" s="2" t="s">
        <v>665</v>
      </c>
      <c r="P368" s="2" t="s">
        <v>25</v>
      </c>
    </row>
    <row r="369" spans="1:16">
      <c r="A369" s="11" t="s">
        <v>775</v>
      </c>
      <c r="B369" s="2" t="s">
        <v>776</v>
      </c>
      <c r="C369" s="2">
        <v>12</v>
      </c>
      <c r="D369" s="2">
        <f t="shared" si="23"/>
        <v>7.44</v>
      </c>
      <c r="E369" s="2">
        <v>620</v>
      </c>
      <c r="F369" s="2" t="s">
        <v>18</v>
      </c>
      <c r="G369" s="4" t="s">
        <v>80</v>
      </c>
      <c r="H369" s="2" t="s">
        <v>81</v>
      </c>
      <c r="I369" s="2" t="s">
        <v>82</v>
      </c>
      <c r="J369" s="2" t="s">
        <v>38</v>
      </c>
      <c r="K369" s="2" t="s">
        <v>83</v>
      </c>
      <c r="L369" s="2" t="s">
        <v>24</v>
      </c>
      <c r="M369" s="2">
        <v>0</v>
      </c>
      <c r="N369" s="2" t="str">
        <f>VLOOKUP(A369, zcorin_converter!A:L, 12, FALSE)</f>
        <v>Bag in Box</v>
      </c>
      <c r="O369" s="2">
        <v>0</v>
      </c>
      <c r="P369" s="2" t="s">
        <v>25</v>
      </c>
    </row>
    <row r="370" spans="1:16">
      <c r="A370" s="11" t="s">
        <v>777</v>
      </c>
      <c r="B370" s="2" t="s">
        <v>778</v>
      </c>
      <c r="C370" s="2">
        <v>12</v>
      </c>
      <c r="D370" s="2">
        <f t="shared" si="23"/>
        <v>7.44</v>
      </c>
      <c r="E370" s="2">
        <v>620</v>
      </c>
      <c r="F370" s="2" t="s">
        <v>18</v>
      </c>
      <c r="G370" s="2" t="s">
        <v>80</v>
      </c>
      <c r="H370" s="2" t="s">
        <v>92</v>
      </c>
      <c r="I370" s="2" t="s">
        <v>93</v>
      </c>
      <c r="J370" s="2" t="s">
        <v>42</v>
      </c>
      <c r="K370" s="2" t="s">
        <v>83</v>
      </c>
      <c r="L370" s="2" t="s">
        <v>24</v>
      </c>
      <c r="M370" s="2">
        <v>0</v>
      </c>
      <c r="N370" s="2" t="str">
        <f>VLOOKUP(A370, zcorin_converter!A:L, 12, FALSE)</f>
        <v>Bag in Box</v>
      </c>
      <c r="O370" s="2">
        <v>0</v>
      </c>
      <c r="P370" s="2" t="s">
        <v>25</v>
      </c>
    </row>
    <row r="371" spans="1:16">
      <c r="A371" s="11" t="s">
        <v>779</v>
      </c>
      <c r="B371" s="2" t="s">
        <v>780</v>
      </c>
      <c r="C371" s="2">
        <v>24</v>
      </c>
      <c r="D371" s="2">
        <f t="shared" si="23"/>
        <v>4.2</v>
      </c>
      <c r="E371" s="2">
        <v>175</v>
      </c>
      <c r="F371" s="2" t="s">
        <v>18</v>
      </c>
      <c r="G371" s="4" t="s">
        <v>80</v>
      </c>
      <c r="H371" s="2" t="s">
        <v>92</v>
      </c>
      <c r="I371" s="2" t="s">
        <v>93</v>
      </c>
      <c r="J371" s="2" t="s">
        <v>42</v>
      </c>
      <c r="K371" s="2" t="s">
        <v>83</v>
      </c>
      <c r="L371" s="2" t="s">
        <v>24</v>
      </c>
      <c r="M371" s="2">
        <v>0</v>
      </c>
      <c r="N371" s="2" t="str">
        <f>VLOOKUP(A371, zcorin_converter!A:L, 12, FALSE)</f>
        <v>Bag in Box</v>
      </c>
      <c r="O371" s="2">
        <v>0</v>
      </c>
      <c r="P371" s="2" t="s">
        <v>25</v>
      </c>
    </row>
    <row r="372" spans="1:16">
      <c r="A372" s="11" t="s">
        <v>781</v>
      </c>
      <c r="B372" s="2" t="s">
        <v>782</v>
      </c>
      <c r="C372" s="2">
        <v>24</v>
      </c>
      <c r="D372" s="2">
        <f t="shared" si="23"/>
        <v>4.2</v>
      </c>
      <c r="E372" s="2">
        <v>175</v>
      </c>
      <c r="F372" s="2" t="s">
        <v>18</v>
      </c>
      <c r="G372" s="2" t="s">
        <v>80</v>
      </c>
      <c r="H372" s="2" t="s">
        <v>81</v>
      </c>
      <c r="I372" s="2" t="s">
        <v>82</v>
      </c>
      <c r="J372" s="2" t="s">
        <v>38</v>
      </c>
      <c r="K372" s="2" t="s">
        <v>83</v>
      </c>
      <c r="L372" s="2" t="s">
        <v>24</v>
      </c>
      <c r="M372" s="2">
        <v>0</v>
      </c>
      <c r="N372" s="2" t="str">
        <f>VLOOKUP(A372, zcorin_converter!A:L, 12, FALSE)</f>
        <v>Bag in Box</v>
      </c>
      <c r="O372" s="2">
        <v>0</v>
      </c>
      <c r="P372" s="2" t="s">
        <v>25</v>
      </c>
    </row>
    <row r="373" spans="1:16">
      <c r="A373" s="11" t="s">
        <v>783</v>
      </c>
      <c r="B373" s="2" t="s">
        <v>784</v>
      </c>
      <c r="C373" s="2">
        <v>24</v>
      </c>
      <c r="D373" s="2">
        <f t="shared" si="23"/>
        <v>8.4</v>
      </c>
      <c r="E373" s="2">
        <v>350</v>
      </c>
      <c r="F373" s="2" t="s">
        <v>18</v>
      </c>
      <c r="G373" s="4" t="s">
        <v>80</v>
      </c>
      <c r="H373" s="2" t="s">
        <v>81</v>
      </c>
      <c r="I373" s="2" t="s">
        <v>82</v>
      </c>
      <c r="J373" s="2" t="s">
        <v>38</v>
      </c>
      <c r="K373" s="2" t="s">
        <v>83</v>
      </c>
      <c r="L373" s="2" t="s">
        <v>24</v>
      </c>
      <c r="M373" s="2">
        <v>0</v>
      </c>
      <c r="N373" s="2" t="str">
        <f>VLOOKUP(A373, zcorin_converter!A:L, 12, FALSE)</f>
        <v>Bag in Box</v>
      </c>
      <c r="O373" s="2">
        <v>0</v>
      </c>
      <c r="P373" s="2" t="s">
        <v>25</v>
      </c>
    </row>
    <row r="374" spans="1:16">
      <c r="A374" s="11" t="s">
        <v>785</v>
      </c>
      <c r="B374" s="2" t="s">
        <v>786</v>
      </c>
      <c r="C374" s="2">
        <v>24</v>
      </c>
      <c r="D374" s="2">
        <f t="shared" si="23"/>
        <v>8.4</v>
      </c>
      <c r="E374" s="2">
        <v>350</v>
      </c>
      <c r="F374" s="2" t="s">
        <v>18</v>
      </c>
      <c r="G374" s="2" t="s">
        <v>80</v>
      </c>
      <c r="H374" s="2" t="s">
        <v>92</v>
      </c>
      <c r="I374" s="2" t="s">
        <v>93</v>
      </c>
      <c r="J374" s="2" t="s">
        <v>42</v>
      </c>
      <c r="K374" s="2" t="s">
        <v>83</v>
      </c>
      <c r="L374" s="2" t="s">
        <v>24</v>
      </c>
      <c r="M374" s="2">
        <v>0</v>
      </c>
      <c r="N374" s="2" t="str">
        <f>VLOOKUP(A374, zcorin_converter!A:L, 12, FALSE)</f>
        <v>Bag in Box</v>
      </c>
      <c r="O374" s="2">
        <v>0</v>
      </c>
      <c r="P374" s="2" t="s">
        <v>25</v>
      </c>
    </row>
    <row r="375" spans="1:16">
      <c r="A375" s="11" t="s">
        <v>787</v>
      </c>
      <c r="B375" s="2" t="s">
        <v>788</v>
      </c>
      <c r="C375" s="2">
        <v>12</v>
      </c>
      <c r="D375" s="2">
        <f t="shared" si="23"/>
        <v>9.6</v>
      </c>
      <c r="E375" s="2">
        <v>800</v>
      </c>
      <c r="F375" s="2" t="s">
        <v>18</v>
      </c>
      <c r="G375" s="4" t="s">
        <v>80</v>
      </c>
      <c r="H375" s="2" t="s">
        <v>551</v>
      </c>
      <c r="I375" s="2" t="s">
        <v>238</v>
      </c>
      <c r="J375" s="2" t="s">
        <v>156</v>
      </c>
      <c r="K375" s="2" t="s">
        <v>83</v>
      </c>
      <c r="L375" s="2" t="s">
        <v>24</v>
      </c>
      <c r="M375" s="2">
        <v>0</v>
      </c>
      <c r="N375" s="2" t="str">
        <f>VLOOKUP(A375, zcorin_converter!A:L, 12, FALSE)</f>
        <v>Canning</v>
      </c>
      <c r="O375" s="2">
        <v>0</v>
      </c>
      <c r="P375" s="2" t="s">
        <v>25</v>
      </c>
    </row>
    <row r="376" spans="1:16">
      <c r="A376" s="11" t="s">
        <v>789</v>
      </c>
      <c r="B376" s="2" t="s">
        <v>790</v>
      </c>
      <c r="C376" s="2">
        <v>12</v>
      </c>
      <c r="D376" s="2">
        <f t="shared" si="23"/>
        <v>9.6</v>
      </c>
      <c r="E376" s="2">
        <v>800</v>
      </c>
      <c r="F376" s="2" t="s">
        <v>18</v>
      </c>
      <c r="G376" s="2" t="s">
        <v>80</v>
      </c>
      <c r="H376" s="2" t="s">
        <v>551</v>
      </c>
      <c r="I376" s="2" t="s">
        <v>238</v>
      </c>
      <c r="J376" s="2" t="s">
        <v>156</v>
      </c>
      <c r="K376" s="2" t="s">
        <v>83</v>
      </c>
      <c r="L376" s="2" t="s">
        <v>24</v>
      </c>
      <c r="M376" s="2">
        <v>0</v>
      </c>
      <c r="N376" s="2" t="str">
        <f>VLOOKUP(A376, zcorin_converter!A:L, 12, FALSE)</f>
        <v>Canning</v>
      </c>
      <c r="O376" s="2">
        <v>0</v>
      </c>
      <c r="P376" s="2" t="s">
        <v>25</v>
      </c>
    </row>
    <row r="377" spans="1:16">
      <c r="A377" s="11" t="s">
        <v>791</v>
      </c>
      <c r="B377" s="2" t="s">
        <v>792</v>
      </c>
      <c r="C377" s="2">
        <v>12</v>
      </c>
      <c r="D377" s="2">
        <f t="shared" si="23"/>
        <v>9.6</v>
      </c>
      <c r="E377" s="2">
        <v>800</v>
      </c>
      <c r="F377" s="2" t="s">
        <v>18</v>
      </c>
      <c r="G377" s="4" t="s">
        <v>80</v>
      </c>
      <c r="H377" s="2" t="s">
        <v>556</v>
      </c>
      <c r="I377" s="2" t="s">
        <v>238</v>
      </c>
      <c r="J377" s="2" t="s">
        <v>156</v>
      </c>
      <c r="K377" s="2" t="s">
        <v>83</v>
      </c>
      <c r="L377" s="2" t="s">
        <v>24</v>
      </c>
      <c r="M377" s="2">
        <v>0</v>
      </c>
      <c r="N377" s="2" t="str">
        <f>VLOOKUP(A377, zcorin_converter!A:L, 12, FALSE)</f>
        <v>Canning</v>
      </c>
      <c r="O377" s="2">
        <v>0</v>
      </c>
      <c r="P377" s="2" t="s">
        <v>25</v>
      </c>
    </row>
    <row r="378" spans="1:16">
      <c r="A378" s="11" t="s">
        <v>793</v>
      </c>
      <c r="B378" s="2" t="s">
        <v>794</v>
      </c>
      <c r="C378" s="2">
        <v>12</v>
      </c>
      <c r="D378" s="2">
        <f t="shared" si="23"/>
        <v>9.6</v>
      </c>
      <c r="E378" s="2">
        <v>800</v>
      </c>
      <c r="F378" s="2" t="s">
        <v>18</v>
      </c>
      <c r="G378" s="2" t="s">
        <v>80</v>
      </c>
      <c r="H378" s="2" t="s">
        <v>556</v>
      </c>
      <c r="I378" s="2" t="s">
        <v>238</v>
      </c>
      <c r="J378" s="2" t="s">
        <v>156</v>
      </c>
      <c r="K378" s="2" t="s">
        <v>83</v>
      </c>
      <c r="L378" s="2" t="s">
        <v>24</v>
      </c>
      <c r="M378" s="2">
        <v>0</v>
      </c>
      <c r="N378" s="2" t="str">
        <f>VLOOKUP(A378, zcorin_converter!A:L, 12, FALSE)</f>
        <v>Canning</v>
      </c>
      <c r="O378" s="2">
        <v>0</v>
      </c>
      <c r="P378" s="2" t="s">
        <v>25</v>
      </c>
    </row>
    <row r="379" spans="1:16">
      <c r="A379" s="11" t="s">
        <v>795</v>
      </c>
      <c r="B379" s="2" t="s">
        <v>796</v>
      </c>
      <c r="C379" s="2">
        <v>12</v>
      </c>
      <c r="D379" s="2">
        <f t="shared" si="23"/>
        <v>9.6</v>
      </c>
      <c r="E379" s="2">
        <v>800</v>
      </c>
      <c r="F379" s="2" t="s">
        <v>18</v>
      </c>
      <c r="G379" s="4" t="s">
        <v>80</v>
      </c>
      <c r="H379" s="2" t="s">
        <v>92</v>
      </c>
      <c r="I379" s="2" t="s">
        <v>93</v>
      </c>
      <c r="J379" s="2" t="s">
        <v>42</v>
      </c>
      <c r="K379" s="2" t="s">
        <v>83</v>
      </c>
      <c r="L379" s="2" t="s">
        <v>24</v>
      </c>
      <c r="M379" s="2">
        <v>0</v>
      </c>
      <c r="N379" s="2" t="str">
        <f>VLOOKUP(A379, zcorin_converter!A:L, 12, FALSE)</f>
        <v>Canning</v>
      </c>
      <c r="O379" s="2">
        <v>0</v>
      </c>
      <c r="P379" s="2" t="s">
        <v>25</v>
      </c>
    </row>
    <row r="380" spans="1:16">
      <c r="A380" s="11" t="s">
        <v>797</v>
      </c>
      <c r="B380" s="2" t="s">
        <v>798</v>
      </c>
      <c r="C380" s="2">
        <v>12</v>
      </c>
      <c r="D380" s="2">
        <f t="shared" si="23"/>
        <v>9.6</v>
      </c>
      <c r="E380" s="2">
        <v>800</v>
      </c>
      <c r="F380" s="2" t="s">
        <v>18</v>
      </c>
      <c r="G380" s="2" t="s">
        <v>80</v>
      </c>
      <c r="H380" s="2" t="s">
        <v>81</v>
      </c>
      <c r="I380" s="2" t="s">
        <v>82</v>
      </c>
      <c r="J380" s="2" t="s">
        <v>38</v>
      </c>
      <c r="K380" s="2" t="s">
        <v>83</v>
      </c>
      <c r="L380" s="2" t="s">
        <v>24</v>
      </c>
      <c r="M380" s="2">
        <v>0</v>
      </c>
      <c r="N380" s="2" t="str">
        <f>VLOOKUP(A380, zcorin_converter!A:L, 12, FALSE)</f>
        <v>Canning</v>
      </c>
      <c r="O380" s="2">
        <v>0</v>
      </c>
      <c r="P380" s="2" t="s">
        <v>25</v>
      </c>
    </row>
    <row r="381" spans="1:16">
      <c r="A381" s="11" t="s">
        <v>799</v>
      </c>
      <c r="B381" s="2" t="s">
        <v>800</v>
      </c>
      <c r="C381" s="2">
        <v>6</v>
      </c>
      <c r="D381" s="2">
        <f t="shared" si="23"/>
        <v>10.8</v>
      </c>
      <c r="E381" s="2">
        <v>1800</v>
      </c>
      <c r="F381" s="2" t="s">
        <v>18</v>
      </c>
      <c r="G381" s="4" t="s">
        <v>80</v>
      </c>
      <c r="H381" s="2" t="s">
        <v>81</v>
      </c>
      <c r="I381" s="2" t="s">
        <v>82</v>
      </c>
      <c r="J381" s="2" t="s">
        <v>38</v>
      </c>
      <c r="K381" s="2" t="s">
        <v>83</v>
      </c>
      <c r="L381" s="2" t="s">
        <v>24</v>
      </c>
      <c r="M381" s="2">
        <v>0</v>
      </c>
      <c r="N381" s="2" t="str">
        <f>VLOOKUP(A381, zcorin_converter!A:L, 12, FALSE)</f>
        <v>Bag in Box</v>
      </c>
      <c r="O381" s="2">
        <v>0</v>
      </c>
      <c r="P381" s="2" t="s">
        <v>25</v>
      </c>
    </row>
    <row r="382" spans="1:16">
      <c r="A382" s="11" t="s">
        <v>801</v>
      </c>
      <c r="B382" s="2" t="s">
        <v>802</v>
      </c>
      <c r="C382" s="2">
        <v>6</v>
      </c>
      <c r="D382" s="2">
        <f t="shared" si="23"/>
        <v>10.8</v>
      </c>
      <c r="E382" s="2">
        <v>1800</v>
      </c>
      <c r="F382" s="2" t="s">
        <v>18</v>
      </c>
      <c r="G382" s="2" t="s">
        <v>80</v>
      </c>
      <c r="H382" s="2" t="s">
        <v>92</v>
      </c>
      <c r="I382" s="2" t="s">
        <v>93</v>
      </c>
      <c r="J382" s="2" t="s">
        <v>42</v>
      </c>
      <c r="K382" s="2" t="s">
        <v>83</v>
      </c>
      <c r="L382" s="2" t="s">
        <v>24</v>
      </c>
      <c r="M382" s="2">
        <v>0</v>
      </c>
      <c r="N382" s="2" t="str">
        <f>VLOOKUP(A382, zcorin_converter!A:L, 12, FALSE)</f>
        <v>Bag in Box</v>
      </c>
      <c r="O382" s="2">
        <v>0</v>
      </c>
      <c r="P382" s="2" t="s">
        <v>25</v>
      </c>
    </row>
    <row r="383" spans="1:16">
      <c r="A383" s="11" t="s">
        <v>803</v>
      </c>
      <c r="B383" s="2" t="s">
        <v>804</v>
      </c>
      <c r="C383" s="2">
        <v>24</v>
      </c>
      <c r="D383" s="2">
        <f t="shared" si="23"/>
        <v>9.6</v>
      </c>
      <c r="E383" s="2">
        <v>400</v>
      </c>
      <c r="F383" s="2" t="s">
        <v>147</v>
      </c>
      <c r="G383" s="4" t="s">
        <v>29</v>
      </c>
      <c r="H383" s="2" t="s">
        <v>29</v>
      </c>
      <c r="I383" s="2" t="s">
        <v>38</v>
      </c>
      <c r="J383" s="2" t="s">
        <v>38</v>
      </c>
      <c r="K383" s="2" t="s">
        <v>29</v>
      </c>
      <c r="L383" s="2" t="s">
        <v>24</v>
      </c>
      <c r="M383" s="2">
        <v>0</v>
      </c>
      <c r="N383" s="2" t="str">
        <f>VLOOKUP(A383, zcorin_converter!A:L, 12, FALSE)</f>
        <v>Canning</v>
      </c>
      <c r="O383" s="2">
        <v>0</v>
      </c>
      <c r="P383" s="2" t="s">
        <v>25</v>
      </c>
    </row>
    <row r="384" spans="1:16">
      <c r="A384" s="11" t="s">
        <v>805</v>
      </c>
      <c r="B384" s="2" t="s">
        <v>806</v>
      </c>
      <c r="C384" s="2">
        <v>24</v>
      </c>
      <c r="D384" s="2">
        <f t="shared" si="23"/>
        <v>7.2</v>
      </c>
      <c r="E384" s="2">
        <v>300</v>
      </c>
      <c r="F384" s="2" t="s">
        <v>59</v>
      </c>
      <c r="G384" s="2" t="s">
        <v>29</v>
      </c>
      <c r="H384" s="2" t="s">
        <v>29</v>
      </c>
      <c r="I384" s="2" t="s">
        <v>156</v>
      </c>
      <c r="J384" s="2" t="s">
        <v>156</v>
      </c>
      <c r="K384" s="2" t="s">
        <v>29</v>
      </c>
      <c r="L384" s="2" t="s">
        <v>47</v>
      </c>
      <c r="M384" s="2">
        <v>100</v>
      </c>
      <c r="N384" s="2" t="str">
        <f>VLOOKUP(A384, zcorin_converter!A:L, 12, FALSE)</f>
        <v>Bag in Box</v>
      </c>
      <c r="O384" s="2" t="s">
        <v>205</v>
      </c>
      <c r="P384" s="2" t="s">
        <v>25</v>
      </c>
    </row>
    <row r="385" spans="1:16">
      <c r="A385" s="11" t="s">
        <v>807</v>
      </c>
      <c r="B385" s="2" t="s">
        <v>808</v>
      </c>
      <c r="C385" s="2">
        <v>24</v>
      </c>
      <c r="D385" s="2">
        <f t="shared" si="23"/>
        <v>9.6</v>
      </c>
      <c r="E385" s="2">
        <v>400</v>
      </c>
      <c r="F385" s="2" t="s">
        <v>147</v>
      </c>
      <c r="G385" s="4" t="s">
        <v>29</v>
      </c>
      <c r="H385" s="2" t="s">
        <v>29</v>
      </c>
      <c r="I385" s="2" t="s">
        <v>21</v>
      </c>
      <c r="J385" s="2" t="s">
        <v>22</v>
      </c>
      <c r="K385" s="2" t="s">
        <v>29</v>
      </c>
      <c r="L385" s="2" t="s">
        <v>24</v>
      </c>
      <c r="M385" s="2">
        <v>0</v>
      </c>
      <c r="N385" s="2" t="str">
        <f>VLOOKUP(A385, zcorin_converter!A:L, 12, FALSE)</f>
        <v>Canning</v>
      </c>
      <c r="O385" s="2">
        <v>0</v>
      </c>
      <c r="P385" s="2" t="s">
        <v>25</v>
      </c>
    </row>
    <row r="386" spans="1:16">
      <c r="A386" s="11" t="s">
        <v>809</v>
      </c>
      <c r="B386" s="2" t="s">
        <v>810</v>
      </c>
      <c r="C386" s="2">
        <v>24</v>
      </c>
      <c r="D386" s="2">
        <f t="shared" si="23"/>
        <v>7.2</v>
      </c>
      <c r="E386" s="2">
        <v>300</v>
      </c>
      <c r="F386" s="2" t="s">
        <v>59</v>
      </c>
      <c r="G386" s="2" t="s">
        <v>29</v>
      </c>
      <c r="H386" s="2" t="s">
        <v>29</v>
      </c>
      <c r="I386" s="2" t="s">
        <v>156</v>
      </c>
      <c r="J386" s="2" t="s">
        <v>156</v>
      </c>
      <c r="K386" s="2" t="s">
        <v>29</v>
      </c>
      <c r="L386" s="2" t="s">
        <v>47</v>
      </c>
      <c r="M386" s="2">
        <v>100</v>
      </c>
      <c r="N386" s="2" t="str">
        <f>VLOOKUP(A386, zcorin_converter!A:L, 12, FALSE)</f>
        <v>Bag in Box</v>
      </c>
      <c r="O386" s="2" t="s">
        <v>205</v>
      </c>
      <c r="P386" s="2" t="s">
        <v>25</v>
      </c>
    </row>
    <row r="387" spans="1:16">
      <c r="A387" s="11" t="s">
        <v>811</v>
      </c>
      <c r="B387" s="2" t="s">
        <v>812</v>
      </c>
      <c r="C387" s="2">
        <v>24</v>
      </c>
      <c r="D387" s="2">
        <f t="shared" si="23"/>
        <v>7.2</v>
      </c>
      <c r="E387" s="2">
        <v>300</v>
      </c>
      <c r="F387" s="2" t="s">
        <v>59</v>
      </c>
      <c r="G387" s="4" t="s">
        <v>29</v>
      </c>
      <c r="H387" s="2" t="s">
        <v>29</v>
      </c>
      <c r="I387" s="2" t="s">
        <v>42</v>
      </c>
      <c r="J387" s="2" t="s">
        <v>42</v>
      </c>
      <c r="K387" s="2" t="s">
        <v>29</v>
      </c>
      <c r="L387" s="2" t="s">
        <v>24</v>
      </c>
      <c r="M387" s="2">
        <v>0</v>
      </c>
      <c r="N387" s="2" t="str">
        <f>VLOOKUP(A387, zcorin_converter!A:L, 12, FALSE)</f>
        <v>Bag in Box</v>
      </c>
      <c r="O387" s="2">
        <v>0</v>
      </c>
      <c r="P387" s="2" t="s">
        <v>25</v>
      </c>
    </row>
    <row r="388" spans="1:16">
      <c r="A388" s="11" t="s">
        <v>813</v>
      </c>
      <c r="B388" s="2" t="s">
        <v>814</v>
      </c>
      <c r="C388" s="2">
        <v>24</v>
      </c>
      <c r="D388" s="2">
        <f t="shared" si="23"/>
        <v>7.2</v>
      </c>
      <c r="E388" s="2">
        <v>300</v>
      </c>
      <c r="F388" s="2" t="s">
        <v>59</v>
      </c>
      <c r="G388" s="2" t="s">
        <v>29</v>
      </c>
      <c r="H388" s="2" t="s">
        <v>29</v>
      </c>
      <c r="I388" s="2" t="s">
        <v>38</v>
      </c>
      <c r="J388" s="2" t="s">
        <v>38</v>
      </c>
      <c r="K388" s="2" t="s">
        <v>29</v>
      </c>
      <c r="L388" s="2" t="s">
        <v>24</v>
      </c>
      <c r="M388" s="2">
        <v>0</v>
      </c>
      <c r="N388" s="2" t="str">
        <f>VLOOKUP(A388, zcorin_converter!A:L, 12, FALSE)</f>
        <v>Bag in Box</v>
      </c>
      <c r="O388" s="2">
        <v>0</v>
      </c>
      <c r="P388" s="2" t="s">
        <v>25</v>
      </c>
    </row>
    <row r="389" spans="1:16">
      <c r="A389" s="11" t="s">
        <v>815</v>
      </c>
      <c r="B389" s="2" t="s">
        <v>816</v>
      </c>
      <c r="C389" s="2">
        <v>24</v>
      </c>
      <c r="D389" s="2">
        <f t="shared" si="23"/>
        <v>9.6</v>
      </c>
      <c r="E389" s="2">
        <v>400</v>
      </c>
      <c r="F389" s="2" t="s">
        <v>50</v>
      </c>
      <c r="G389" s="4" t="s">
        <v>29</v>
      </c>
      <c r="H389" s="2" t="s">
        <v>29</v>
      </c>
      <c r="I389" s="2" t="s">
        <v>56</v>
      </c>
      <c r="J389" s="2" t="s">
        <v>22</v>
      </c>
      <c r="K389" s="2" t="s">
        <v>29</v>
      </c>
      <c r="L389" s="2" t="s">
        <v>24</v>
      </c>
      <c r="M389" s="2">
        <v>0</v>
      </c>
      <c r="N389" s="2" t="str">
        <f>VLOOKUP(A389, zcorin_converter!A:L, 12, FALSE)</f>
        <v>Bag in Box</v>
      </c>
      <c r="O389" s="2">
        <v>0</v>
      </c>
      <c r="P389" s="2" t="s">
        <v>25</v>
      </c>
    </row>
    <row r="390" spans="1:16">
      <c r="A390" s="11" t="s">
        <v>817</v>
      </c>
      <c r="B390" s="2" t="s">
        <v>818</v>
      </c>
      <c r="C390" s="2">
        <v>12</v>
      </c>
      <c r="D390" s="2">
        <f t="shared" si="23"/>
        <v>4.8</v>
      </c>
      <c r="E390" s="2">
        <v>400</v>
      </c>
      <c r="F390" s="2" t="s">
        <v>50</v>
      </c>
      <c r="G390" s="2" t="s">
        <v>29</v>
      </c>
      <c r="H390" s="2" t="s">
        <v>29</v>
      </c>
      <c r="I390" s="2" t="s">
        <v>51</v>
      </c>
      <c r="J390" s="2" t="s">
        <v>22</v>
      </c>
      <c r="K390" s="2" t="s">
        <v>29</v>
      </c>
      <c r="L390" s="2" t="s">
        <v>24</v>
      </c>
      <c r="M390" s="2">
        <v>0</v>
      </c>
      <c r="N390" s="2" t="str">
        <f>VLOOKUP(A390, zcorin_converter!A:L, 12, FALSE)</f>
        <v>Bag in Box</v>
      </c>
      <c r="O390" s="2">
        <v>0</v>
      </c>
      <c r="P390" s="2" t="s">
        <v>25</v>
      </c>
    </row>
    <row r="391" spans="1:16">
      <c r="A391" s="11" t="s">
        <v>819</v>
      </c>
      <c r="B391" s="2" t="s">
        <v>820</v>
      </c>
      <c r="C391" s="2">
        <v>24</v>
      </c>
      <c r="D391" s="2">
        <f>E391*C391/1000</f>
        <v>9.6</v>
      </c>
      <c r="E391" s="2">
        <v>400</v>
      </c>
      <c r="F391" s="2" t="s">
        <v>140</v>
      </c>
      <c r="G391" s="4" t="s">
        <v>29</v>
      </c>
      <c r="H391" s="2" t="s">
        <v>29</v>
      </c>
      <c r="I391" s="2" t="s">
        <v>355</v>
      </c>
      <c r="J391" s="2" t="s">
        <v>22</v>
      </c>
      <c r="K391" s="2" t="s">
        <v>29</v>
      </c>
      <c r="L391" s="2" t="s">
        <v>24</v>
      </c>
      <c r="M391" s="2">
        <v>0</v>
      </c>
      <c r="N391" s="2" t="str">
        <f>VLOOKUP(A391, zcorin_converter!A:L, 12, FALSE)</f>
        <v>Canning</v>
      </c>
      <c r="O391" s="2">
        <v>0</v>
      </c>
      <c r="P391" s="2" t="s">
        <v>25</v>
      </c>
    </row>
    <row r="392" spans="1:16">
      <c r="A392" s="11" t="s">
        <v>821</v>
      </c>
      <c r="B392" s="2" t="s">
        <v>822</v>
      </c>
      <c r="C392" s="2">
        <v>24</v>
      </c>
      <c r="D392" s="2">
        <f>C392*E392/1000</f>
        <v>9.6</v>
      </c>
      <c r="E392" s="2">
        <v>400</v>
      </c>
      <c r="F392" s="2" t="s">
        <v>147</v>
      </c>
      <c r="G392" s="2" t="s">
        <v>29</v>
      </c>
      <c r="H392" s="2" t="s">
        <v>29</v>
      </c>
      <c r="I392" s="2" t="s">
        <v>22</v>
      </c>
      <c r="J392" s="2" t="s">
        <v>22</v>
      </c>
      <c r="K392" s="2" t="s">
        <v>29</v>
      </c>
      <c r="L392" s="2" t="s">
        <v>24</v>
      </c>
      <c r="M392" s="2">
        <v>0</v>
      </c>
      <c r="N392" s="2" t="str">
        <f>VLOOKUP(A392, zcorin_converter!A:L, 12, FALSE)</f>
        <v>Canning</v>
      </c>
      <c r="O392" s="2">
        <v>0</v>
      </c>
      <c r="P392" s="2" t="s">
        <v>25</v>
      </c>
    </row>
    <row r="393" spans="1:16">
      <c r="A393" s="11" t="s">
        <v>823</v>
      </c>
      <c r="B393" s="2" t="s">
        <v>824</v>
      </c>
      <c r="C393" s="2">
        <v>12</v>
      </c>
      <c r="D393" s="2">
        <f>E393*C393/1000</f>
        <v>9.6</v>
      </c>
      <c r="E393" s="2">
        <v>800</v>
      </c>
      <c r="F393" s="2" t="s">
        <v>18</v>
      </c>
      <c r="G393" s="2" t="s">
        <v>535</v>
      </c>
      <c r="H393" s="2" t="s">
        <v>698</v>
      </c>
      <c r="I393" s="2" t="s">
        <v>535</v>
      </c>
      <c r="J393" s="2" t="s">
        <v>22</v>
      </c>
      <c r="K393" s="2" t="s">
        <v>535</v>
      </c>
      <c r="L393" s="2" t="s">
        <v>24</v>
      </c>
      <c r="M393" s="2">
        <v>0</v>
      </c>
      <c r="N393" s="2" t="str">
        <f>VLOOKUP(A393, zcorin_converter!A:L, 12, FALSE)</f>
        <v>Canning</v>
      </c>
      <c r="O393" s="2">
        <v>0</v>
      </c>
      <c r="P393" s="2" t="s">
        <v>25</v>
      </c>
    </row>
    <row r="394" spans="1:16">
      <c r="A394" s="11" t="s">
        <v>825</v>
      </c>
      <c r="B394" s="2" t="s">
        <v>826</v>
      </c>
      <c r="C394" s="2">
        <v>4</v>
      </c>
      <c r="D394" s="2">
        <f t="shared" ref="D394:D399" si="24">C394*E394/1000</f>
        <v>12</v>
      </c>
      <c r="E394" s="2">
        <v>3000</v>
      </c>
      <c r="F394" s="2" t="s">
        <v>18</v>
      </c>
      <c r="G394" s="4" t="s">
        <v>107</v>
      </c>
      <c r="H394" s="2" t="s">
        <v>617</v>
      </c>
      <c r="I394" s="2" t="s">
        <v>618</v>
      </c>
      <c r="J394" s="2" t="s">
        <v>156</v>
      </c>
      <c r="K394" s="2" t="s">
        <v>110</v>
      </c>
      <c r="L394" s="2" t="s">
        <v>47</v>
      </c>
      <c r="M394" s="2">
        <f t="shared" ref="M394:M397" si="25">2700/24</f>
        <v>112.5</v>
      </c>
      <c r="N394" s="2" t="str">
        <f>VLOOKUP(A394, zcorin_converter!A:L, 12, FALSE)</f>
        <v>Bag in Box</v>
      </c>
      <c r="O394" s="2" t="s">
        <v>665</v>
      </c>
      <c r="P394" s="2" t="s">
        <v>25</v>
      </c>
    </row>
    <row r="395" spans="1:16">
      <c r="A395" s="11" t="s">
        <v>827</v>
      </c>
      <c r="B395" s="2" t="s">
        <v>828</v>
      </c>
      <c r="C395" s="2">
        <v>4</v>
      </c>
      <c r="D395" s="2">
        <f t="shared" si="24"/>
        <v>12</v>
      </c>
      <c r="E395" s="2">
        <v>3000</v>
      </c>
      <c r="F395" s="2" t="s">
        <v>18</v>
      </c>
      <c r="G395" s="2" t="s">
        <v>107</v>
      </c>
      <c r="H395" s="2" t="s">
        <v>617</v>
      </c>
      <c r="I395" s="2" t="s">
        <v>618</v>
      </c>
      <c r="J395" s="2" t="s">
        <v>156</v>
      </c>
      <c r="K395" s="2" t="s">
        <v>110</v>
      </c>
      <c r="L395" s="2" t="s">
        <v>47</v>
      </c>
      <c r="M395" s="2">
        <f t="shared" si="25"/>
        <v>112.5</v>
      </c>
      <c r="N395" s="2" t="str">
        <f>VLOOKUP(A395, zcorin_converter!A:L, 12, FALSE)</f>
        <v>Bag in Box</v>
      </c>
      <c r="O395" s="2" t="s">
        <v>665</v>
      </c>
      <c r="P395" s="2" t="s">
        <v>25</v>
      </c>
    </row>
    <row r="396" spans="1:16">
      <c r="A396" s="11" t="s">
        <v>829</v>
      </c>
      <c r="B396" s="2" t="s">
        <v>830</v>
      </c>
      <c r="C396" s="2">
        <v>4</v>
      </c>
      <c r="D396" s="2">
        <f t="shared" si="24"/>
        <v>12</v>
      </c>
      <c r="E396" s="2">
        <v>3000</v>
      </c>
      <c r="F396" s="2" t="s">
        <v>18</v>
      </c>
      <c r="G396" s="4" t="s">
        <v>107</v>
      </c>
      <c r="H396" s="2" t="s">
        <v>632</v>
      </c>
      <c r="I396" s="2" t="s">
        <v>618</v>
      </c>
      <c r="J396" s="2" t="s">
        <v>156</v>
      </c>
      <c r="K396" s="2" t="s">
        <v>110</v>
      </c>
      <c r="L396" s="2" t="s">
        <v>47</v>
      </c>
      <c r="M396" s="2">
        <f t="shared" si="25"/>
        <v>112.5</v>
      </c>
      <c r="N396" s="2" t="str">
        <f>VLOOKUP(A396, zcorin_converter!A:L, 12, FALSE)</f>
        <v>Bag in Box</v>
      </c>
      <c r="O396" s="2" t="s">
        <v>665</v>
      </c>
      <c r="P396" s="2" t="s">
        <v>25</v>
      </c>
    </row>
    <row r="397" spans="1:16">
      <c r="A397" s="11" t="s">
        <v>831</v>
      </c>
      <c r="B397" s="2" t="s">
        <v>832</v>
      </c>
      <c r="C397" s="2">
        <v>4</v>
      </c>
      <c r="D397" s="2">
        <f t="shared" si="24"/>
        <v>12</v>
      </c>
      <c r="E397" s="2">
        <v>3000</v>
      </c>
      <c r="F397" s="2" t="s">
        <v>18</v>
      </c>
      <c r="G397" s="2" t="s">
        <v>107</v>
      </c>
      <c r="H397" s="2" t="s">
        <v>632</v>
      </c>
      <c r="I397" s="2" t="s">
        <v>618</v>
      </c>
      <c r="J397" s="2" t="s">
        <v>156</v>
      </c>
      <c r="K397" s="2" t="s">
        <v>110</v>
      </c>
      <c r="L397" s="2" t="s">
        <v>47</v>
      </c>
      <c r="M397" s="2">
        <f t="shared" si="25"/>
        <v>112.5</v>
      </c>
      <c r="N397" s="2" t="str">
        <f>VLOOKUP(A397, zcorin_converter!A:L, 12, FALSE)</f>
        <v>Bag in Box</v>
      </c>
      <c r="O397" s="2" t="s">
        <v>665</v>
      </c>
      <c r="P397" s="2" t="s">
        <v>25</v>
      </c>
    </row>
    <row r="398" spans="1:16">
      <c r="A398" s="11" t="s">
        <v>833</v>
      </c>
      <c r="B398" s="2" t="s">
        <v>834</v>
      </c>
      <c r="C398" s="2">
        <v>12</v>
      </c>
      <c r="D398" s="2">
        <f t="shared" si="24"/>
        <v>6.9</v>
      </c>
      <c r="E398" s="2">
        <f>575</f>
        <v>575</v>
      </c>
      <c r="F398" s="2" t="s">
        <v>18</v>
      </c>
      <c r="G398" s="4" t="s">
        <v>107</v>
      </c>
      <c r="H398" s="2" t="s">
        <v>676</v>
      </c>
      <c r="I398" s="2" t="s">
        <v>618</v>
      </c>
      <c r="J398" s="2" t="s">
        <v>156</v>
      </c>
      <c r="K398" s="2" t="s">
        <v>110</v>
      </c>
      <c r="L398" s="2" t="s">
        <v>47</v>
      </c>
      <c r="M398" s="2">
        <f>8000/24</f>
        <v>333.33333333333331</v>
      </c>
      <c r="N398" s="2" t="str">
        <f>VLOOKUP(A398, zcorin_converter!A:L, 12, FALSE)</f>
        <v>Bag in Box</v>
      </c>
      <c r="O398" s="2" t="s">
        <v>623</v>
      </c>
      <c r="P398" s="2" t="s">
        <v>25</v>
      </c>
    </row>
    <row r="399" spans="1:16">
      <c r="A399" s="11" t="s">
        <v>835</v>
      </c>
      <c r="B399" s="2" t="s">
        <v>836</v>
      </c>
      <c r="C399" s="2">
        <v>12</v>
      </c>
      <c r="D399" s="2">
        <f t="shared" si="24"/>
        <v>6.9</v>
      </c>
      <c r="E399" s="2">
        <f>575</f>
        <v>575</v>
      </c>
      <c r="F399" s="2" t="s">
        <v>18</v>
      </c>
      <c r="G399" s="2" t="s">
        <v>107</v>
      </c>
      <c r="H399" s="2" t="s">
        <v>676</v>
      </c>
      <c r="I399" s="2" t="s">
        <v>618</v>
      </c>
      <c r="J399" s="2" t="s">
        <v>156</v>
      </c>
      <c r="K399" s="2" t="s">
        <v>110</v>
      </c>
      <c r="L399" s="2" t="s">
        <v>47</v>
      </c>
      <c r="M399" s="2">
        <f>8000/24</f>
        <v>333.33333333333331</v>
      </c>
      <c r="N399" s="2" t="str">
        <f>VLOOKUP(A399, zcorin_converter!A:L, 12, FALSE)</f>
        <v>Bag in Box</v>
      </c>
      <c r="O399" s="2" t="s">
        <v>623</v>
      </c>
      <c r="P399" s="2" t="s">
        <v>25</v>
      </c>
    </row>
    <row r="400" spans="1:16">
      <c r="A400" s="11" t="s">
        <v>837</v>
      </c>
      <c r="B400" s="2" t="s">
        <v>838</v>
      </c>
      <c r="C400" s="4">
        <v>24</v>
      </c>
      <c r="D400" s="4">
        <f>(C400*E400/1000)*1.04</f>
        <v>4.1184000000000003</v>
      </c>
      <c r="E400" s="4">
        <v>165</v>
      </c>
      <c r="F400" s="4" t="s">
        <v>18</v>
      </c>
      <c r="G400" s="4" t="s">
        <v>721</v>
      </c>
      <c r="H400" s="4" t="s">
        <v>722</v>
      </c>
      <c r="I400" s="4" t="s">
        <v>722</v>
      </c>
      <c r="J400" s="2" t="s">
        <v>723</v>
      </c>
      <c r="K400" s="4" t="s">
        <v>83</v>
      </c>
      <c r="L400" s="2" t="s">
        <v>724</v>
      </c>
      <c r="M400" s="3">
        <f>48000*85%/2/C400</f>
        <v>850</v>
      </c>
      <c r="N400" s="2" t="str">
        <f>VLOOKUP(A400, zcorin_converter!A:L, 12, FALSE)</f>
        <v>RTD</v>
      </c>
      <c r="O400" s="3" t="s">
        <v>725</v>
      </c>
      <c r="P400" s="2" t="s">
        <v>726</v>
      </c>
    </row>
    <row r="401" spans="1:16">
      <c r="A401" s="11" t="s">
        <v>839</v>
      </c>
      <c r="B401" s="2" t="s">
        <v>840</v>
      </c>
      <c r="C401" s="4">
        <v>24</v>
      </c>
      <c r="D401" s="4">
        <f>(C401*E401/1000)*1.04</f>
        <v>4.1184000000000003</v>
      </c>
      <c r="E401" s="4">
        <v>165</v>
      </c>
      <c r="F401" s="4" t="s">
        <v>18</v>
      </c>
      <c r="G401" s="2" t="s">
        <v>721</v>
      </c>
      <c r="H401" s="4" t="s">
        <v>722</v>
      </c>
      <c r="I401" s="4" t="s">
        <v>722</v>
      </c>
      <c r="J401" s="2" t="s">
        <v>723</v>
      </c>
      <c r="K401" s="4" t="s">
        <v>83</v>
      </c>
      <c r="L401" s="2" t="s">
        <v>724</v>
      </c>
      <c r="M401" s="3">
        <f t="shared" ref="M401:M403" si="26">48000*85%/2/C401</f>
        <v>850</v>
      </c>
      <c r="N401" s="2" t="str">
        <f>VLOOKUP(A401, zcorin_converter!A:L, 12, FALSE)</f>
        <v>RTD</v>
      </c>
      <c r="O401" s="3" t="s">
        <v>725</v>
      </c>
      <c r="P401" s="2" t="s">
        <v>726</v>
      </c>
    </row>
    <row r="402" spans="1:16">
      <c r="A402" s="11" t="s">
        <v>841</v>
      </c>
      <c r="B402" s="2" t="s">
        <v>842</v>
      </c>
      <c r="C402" s="4">
        <v>40</v>
      </c>
      <c r="D402" s="4">
        <f>(C402*E402/1000)*1.04</f>
        <v>4.3680000000000003</v>
      </c>
      <c r="E402" s="4">
        <v>105</v>
      </c>
      <c r="F402" s="4" t="s">
        <v>18</v>
      </c>
      <c r="G402" s="4" t="s">
        <v>721</v>
      </c>
      <c r="H402" s="4" t="s">
        <v>722</v>
      </c>
      <c r="I402" s="4" t="s">
        <v>722</v>
      </c>
      <c r="J402" s="2" t="s">
        <v>723</v>
      </c>
      <c r="K402" s="4" t="s">
        <v>83</v>
      </c>
      <c r="L402" s="2" t="s">
        <v>724</v>
      </c>
      <c r="M402" s="3">
        <f t="shared" si="26"/>
        <v>510</v>
      </c>
      <c r="N402" s="2" t="str">
        <f>VLOOKUP(A402, zcorin_converter!A:L, 12, FALSE)</f>
        <v>RTD</v>
      </c>
      <c r="O402" s="3" t="s">
        <v>725</v>
      </c>
      <c r="P402" s="2" t="s">
        <v>726</v>
      </c>
    </row>
    <row r="403" spans="1:16">
      <c r="A403" s="11" t="s">
        <v>843</v>
      </c>
      <c r="B403" s="2" t="s">
        <v>844</v>
      </c>
      <c r="C403" s="4">
        <v>40</v>
      </c>
      <c r="D403" s="4">
        <f>(C403*E403/1000)*1.04</f>
        <v>4.3680000000000003</v>
      </c>
      <c r="E403" s="4">
        <v>105</v>
      </c>
      <c r="F403" s="4" t="s">
        <v>18</v>
      </c>
      <c r="G403" s="2" t="s">
        <v>721</v>
      </c>
      <c r="H403" s="4" t="s">
        <v>722</v>
      </c>
      <c r="I403" s="4" t="s">
        <v>722</v>
      </c>
      <c r="J403" s="2" t="s">
        <v>723</v>
      </c>
      <c r="K403" s="4" t="s">
        <v>83</v>
      </c>
      <c r="L403" s="2" t="s">
        <v>724</v>
      </c>
      <c r="M403" s="3">
        <f t="shared" si="26"/>
        <v>510</v>
      </c>
      <c r="N403" s="2" t="str">
        <f>VLOOKUP(A403, zcorin_converter!A:L, 12, FALSE)</f>
        <v>RTD</v>
      </c>
      <c r="O403" s="3" t="s">
        <v>725</v>
      </c>
      <c r="P403" s="2" t="s">
        <v>726</v>
      </c>
    </row>
    <row r="404" spans="1:16">
      <c r="A404" s="11" t="s">
        <v>845</v>
      </c>
      <c r="B404" s="2" t="s">
        <v>846</v>
      </c>
      <c r="C404" s="2">
        <v>48</v>
      </c>
      <c r="D404" s="2">
        <f t="shared" ref="D404:D444" si="27">C404*E404/1000</f>
        <v>7.2</v>
      </c>
      <c r="E404" s="2">
        <v>150</v>
      </c>
      <c r="F404" s="2" t="s">
        <v>18</v>
      </c>
      <c r="G404" s="4" t="s">
        <v>107</v>
      </c>
      <c r="H404" s="2" t="s">
        <v>617</v>
      </c>
      <c r="I404" s="2" t="s">
        <v>618</v>
      </c>
      <c r="J404" s="2" t="s">
        <v>156</v>
      </c>
      <c r="K404" s="2" t="s">
        <v>110</v>
      </c>
      <c r="L404" s="2" t="s">
        <v>47</v>
      </c>
      <c r="M404" s="2">
        <v>116.66666666666667</v>
      </c>
      <c r="N404" s="2" t="str">
        <f>VLOOKUP(A404, zcorin_converter!A:L, 12, FALSE)</f>
        <v>Bag in Box</v>
      </c>
      <c r="O404" s="3"/>
      <c r="P404" s="2" t="s">
        <v>25</v>
      </c>
    </row>
    <row r="405" spans="1:16">
      <c r="A405" s="11" t="s">
        <v>847</v>
      </c>
      <c r="B405" s="2" t="s">
        <v>848</v>
      </c>
      <c r="C405" s="2">
        <v>12</v>
      </c>
      <c r="D405" s="2">
        <f t="shared" si="27"/>
        <v>6.9</v>
      </c>
      <c r="E405" s="2">
        <v>575</v>
      </c>
      <c r="F405" s="2" t="s">
        <v>18</v>
      </c>
      <c r="G405" s="2" t="s">
        <v>107</v>
      </c>
      <c r="H405" s="2" t="s">
        <v>676</v>
      </c>
      <c r="I405" s="2" t="s">
        <v>618</v>
      </c>
      <c r="J405" s="2" t="s">
        <v>156</v>
      </c>
      <c r="K405" s="2" t="s">
        <v>110</v>
      </c>
      <c r="L405" s="2" t="s">
        <v>47</v>
      </c>
      <c r="M405" s="2">
        <f t="shared" ref="M405:M406" si="28">8000/24</f>
        <v>333.33333333333331</v>
      </c>
      <c r="N405" s="2" t="str">
        <f>VLOOKUP(A405, zcorin_converter!A:L, 12, FALSE)</f>
        <v>Bag in Box</v>
      </c>
      <c r="O405" s="2" t="s">
        <v>623</v>
      </c>
      <c r="P405" s="2" t="s">
        <v>25</v>
      </c>
    </row>
    <row r="406" spans="1:16">
      <c r="A406" s="11" t="s">
        <v>849</v>
      </c>
      <c r="B406" s="2" t="s">
        <v>850</v>
      </c>
      <c r="C406" s="2">
        <v>12</v>
      </c>
      <c r="D406" s="2">
        <f t="shared" si="27"/>
        <v>6.9</v>
      </c>
      <c r="E406" s="2">
        <f>575</f>
        <v>575</v>
      </c>
      <c r="F406" s="2" t="s">
        <v>18</v>
      </c>
      <c r="G406" s="4" t="s">
        <v>107</v>
      </c>
      <c r="H406" s="2" t="s">
        <v>676</v>
      </c>
      <c r="I406" s="2" t="s">
        <v>618</v>
      </c>
      <c r="J406" s="2" t="s">
        <v>156</v>
      </c>
      <c r="K406" s="2" t="s">
        <v>110</v>
      </c>
      <c r="L406" s="2" t="s">
        <v>47</v>
      </c>
      <c r="M406" s="2">
        <f t="shared" si="28"/>
        <v>333.33333333333331</v>
      </c>
      <c r="N406" s="2" t="str">
        <f>VLOOKUP(A406, zcorin_converter!A:L, 12, FALSE)</f>
        <v>Bag in Box</v>
      </c>
      <c r="O406" s="2" t="s">
        <v>623</v>
      </c>
      <c r="P406" s="2" t="s">
        <v>25</v>
      </c>
    </row>
    <row r="407" spans="1:16">
      <c r="A407" s="11" t="s">
        <v>851</v>
      </c>
      <c r="B407" s="2" t="s">
        <v>852</v>
      </c>
      <c r="C407" s="2">
        <v>12</v>
      </c>
      <c r="D407" s="2">
        <f t="shared" si="27"/>
        <v>6.9</v>
      </c>
      <c r="E407" s="2">
        <v>575</v>
      </c>
      <c r="F407" s="2" t="s">
        <v>18</v>
      </c>
      <c r="G407" s="2" t="s">
        <v>107</v>
      </c>
      <c r="H407" s="2" t="s">
        <v>676</v>
      </c>
      <c r="I407" s="2" t="s">
        <v>618</v>
      </c>
      <c r="J407" s="2" t="s">
        <v>156</v>
      </c>
      <c r="K407" s="2" t="s">
        <v>110</v>
      </c>
      <c r="L407" s="2" t="s">
        <v>47</v>
      </c>
      <c r="M407" s="2">
        <v>333.33333333333331</v>
      </c>
      <c r="N407" s="2" t="str">
        <f>VLOOKUP(A407, zcorin_converter!A:L, 12, FALSE)</f>
        <v>Bag in Box</v>
      </c>
      <c r="O407" s="3"/>
      <c r="P407" s="2" t="s">
        <v>25</v>
      </c>
    </row>
    <row r="408" spans="1:16">
      <c r="A408" s="11" t="s">
        <v>853</v>
      </c>
      <c r="B408" s="2" t="s">
        <v>854</v>
      </c>
      <c r="C408" s="2">
        <v>10</v>
      </c>
      <c r="D408" s="2">
        <f t="shared" si="27"/>
        <v>9</v>
      </c>
      <c r="E408" s="2">
        <v>900</v>
      </c>
      <c r="F408" s="2" t="s">
        <v>18</v>
      </c>
      <c r="G408" s="4" t="s">
        <v>107</v>
      </c>
      <c r="H408" s="2" t="s">
        <v>676</v>
      </c>
      <c r="I408" s="2" t="s">
        <v>618</v>
      </c>
      <c r="J408" s="2" t="s">
        <v>156</v>
      </c>
      <c r="K408" s="2" t="s">
        <v>110</v>
      </c>
      <c r="L408" s="2" t="s">
        <v>47</v>
      </c>
      <c r="M408" s="2">
        <v>354.16666666666669</v>
      </c>
      <c r="N408" s="2" t="str">
        <f>VLOOKUP(A408, zcorin_converter!A:L, 12, FALSE)</f>
        <v>Bag in Box</v>
      </c>
      <c r="O408" s="3"/>
      <c r="P408" s="2" t="s">
        <v>25</v>
      </c>
    </row>
    <row r="409" spans="1:16">
      <c r="A409" s="11" t="s">
        <v>855</v>
      </c>
      <c r="B409" s="2" t="s">
        <v>856</v>
      </c>
      <c r="C409" s="2">
        <v>10</v>
      </c>
      <c r="D409" s="2">
        <f t="shared" si="27"/>
        <v>9</v>
      </c>
      <c r="E409" s="2">
        <v>900</v>
      </c>
      <c r="F409" s="2" t="s">
        <v>18</v>
      </c>
      <c r="G409" s="4" t="s">
        <v>107</v>
      </c>
      <c r="H409" s="2" t="s">
        <v>676</v>
      </c>
      <c r="I409" s="2" t="s">
        <v>618</v>
      </c>
      <c r="J409" s="2" t="s">
        <v>156</v>
      </c>
      <c r="K409" s="2" t="s">
        <v>110</v>
      </c>
      <c r="L409" s="2" t="s">
        <v>47</v>
      </c>
      <c r="M409" s="2">
        <v>354.16666666666669</v>
      </c>
      <c r="N409" s="2" t="str">
        <f>VLOOKUP(A409, zcorin_converter!A:L, 12, FALSE)</f>
        <v>Bag in Box</v>
      </c>
      <c r="O409" s="3"/>
      <c r="P409" s="2" t="s">
        <v>25</v>
      </c>
    </row>
    <row r="410" spans="1:16">
      <c r="A410" s="11" t="s">
        <v>857</v>
      </c>
      <c r="B410" s="2" t="s">
        <v>858</v>
      </c>
      <c r="C410" s="2">
        <v>21</v>
      </c>
      <c r="D410" s="2">
        <f t="shared" si="27"/>
        <v>7.875</v>
      </c>
      <c r="E410" s="2">
        <v>375</v>
      </c>
      <c r="F410" s="2" t="s">
        <v>18</v>
      </c>
      <c r="G410" s="4" t="s">
        <v>107</v>
      </c>
      <c r="H410" s="2" t="s">
        <v>676</v>
      </c>
      <c r="I410" s="2" t="s">
        <v>618</v>
      </c>
      <c r="J410" s="2" t="s">
        <v>156</v>
      </c>
      <c r="K410" s="2" t="s">
        <v>110</v>
      </c>
      <c r="L410" s="2" t="s">
        <v>47</v>
      </c>
      <c r="M410" s="2">
        <v>208.33333333333334</v>
      </c>
      <c r="N410" s="2" t="str">
        <f>VLOOKUP(A410, zcorin_converter!A:L, 12, FALSE)</f>
        <v>Bag in Box</v>
      </c>
      <c r="O410" s="3"/>
      <c r="P410" s="2" t="s">
        <v>25</v>
      </c>
    </row>
    <row r="411" spans="1:16">
      <c r="A411" s="11" t="s">
        <v>859</v>
      </c>
      <c r="B411" s="2" t="s">
        <v>860</v>
      </c>
      <c r="C411" s="2">
        <v>6</v>
      </c>
      <c r="D411" s="2">
        <f t="shared" si="27"/>
        <v>9.6</v>
      </c>
      <c r="E411" s="2">
        <f>1600</f>
        <v>1600</v>
      </c>
      <c r="F411" s="2" t="s">
        <v>18</v>
      </c>
      <c r="G411" s="2" t="s">
        <v>107</v>
      </c>
      <c r="H411" s="2" t="s">
        <v>632</v>
      </c>
      <c r="I411" s="2" t="s">
        <v>618</v>
      </c>
      <c r="J411" s="2" t="s">
        <v>156</v>
      </c>
      <c r="K411" s="2" t="s">
        <v>110</v>
      </c>
      <c r="L411" s="2" t="s">
        <v>47</v>
      </c>
      <c r="M411" s="2">
        <f t="shared" ref="M411:M412" si="29">3000/24</f>
        <v>125</v>
      </c>
      <c r="N411" s="2" t="str">
        <f>VLOOKUP(A411, zcorin_converter!A:L, 12, FALSE)</f>
        <v>Bag in Box</v>
      </c>
      <c r="O411" s="2" t="s">
        <v>216</v>
      </c>
      <c r="P411" s="2" t="s">
        <v>25</v>
      </c>
    </row>
    <row r="412" spans="1:16">
      <c r="A412" s="11" t="s">
        <v>861</v>
      </c>
      <c r="B412" s="2" t="s">
        <v>862</v>
      </c>
      <c r="C412" s="2">
        <v>6</v>
      </c>
      <c r="D412" s="2">
        <f t="shared" si="27"/>
        <v>9.6</v>
      </c>
      <c r="E412" s="2">
        <f>1600</f>
        <v>1600</v>
      </c>
      <c r="F412" s="2" t="s">
        <v>18</v>
      </c>
      <c r="G412" s="4" t="s">
        <v>107</v>
      </c>
      <c r="H412" s="2" t="s">
        <v>632</v>
      </c>
      <c r="I412" s="2" t="s">
        <v>618</v>
      </c>
      <c r="J412" s="2" t="s">
        <v>156</v>
      </c>
      <c r="K412" s="2" t="s">
        <v>110</v>
      </c>
      <c r="L412" s="2" t="s">
        <v>47</v>
      </c>
      <c r="M412" s="2">
        <f t="shared" si="29"/>
        <v>125</v>
      </c>
      <c r="N412" s="2" t="str">
        <f>VLOOKUP(A412, zcorin_converter!A:L, 12, FALSE)</f>
        <v>Bag in Box</v>
      </c>
      <c r="O412" s="2" t="s">
        <v>216</v>
      </c>
      <c r="P412" s="2" t="s">
        <v>25</v>
      </c>
    </row>
    <row r="413" spans="1:16">
      <c r="A413" s="11" t="s">
        <v>863</v>
      </c>
      <c r="B413" s="2" t="s">
        <v>864</v>
      </c>
      <c r="C413" s="2">
        <v>4</v>
      </c>
      <c r="D413" s="2">
        <f t="shared" si="27"/>
        <v>12</v>
      </c>
      <c r="E413" s="2">
        <v>3000</v>
      </c>
      <c r="F413" s="2" t="s">
        <v>18</v>
      </c>
      <c r="G413" s="2" t="s">
        <v>107</v>
      </c>
      <c r="H413" s="2" t="s">
        <v>632</v>
      </c>
      <c r="I413" s="2" t="s">
        <v>618</v>
      </c>
      <c r="J413" s="2" t="s">
        <v>156</v>
      </c>
      <c r="K413" s="2" t="s">
        <v>110</v>
      </c>
      <c r="L413" s="2" t="s">
        <v>47</v>
      </c>
      <c r="M413" s="2">
        <v>104.16666666666667</v>
      </c>
      <c r="N413" s="2" t="str">
        <f>VLOOKUP(A413, zcorin_converter!A:L, 12, FALSE)</f>
        <v>Bag in Box</v>
      </c>
      <c r="O413" s="3"/>
      <c r="P413" s="2" t="s">
        <v>25</v>
      </c>
    </row>
    <row r="414" spans="1:16">
      <c r="A414" s="11" t="s">
        <v>865</v>
      </c>
      <c r="B414" s="2" t="s">
        <v>866</v>
      </c>
      <c r="C414" s="2">
        <v>4</v>
      </c>
      <c r="D414" s="2">
        <f t="shared" si="27"/>
        <v>12</v>
      </c>
      <c r="E414" s="2">
        <v>3000</v>
      </c>
      <c r="F414" s="2" t="s">
        <v>18</v>
      </c>
      <c r="G414" s="4" t="s">
        <v>107</v>
      </c>
      <c r="H414" s="2" t="s">
        <v>632</v>
      </c>
      <c r="I414" s="2" t="s">
        <v>618</v>
      </c>
      <c r="J414" s="2" t="s">
        <v>156</v>
      </c>
      <c r="K414" s="2" t="s">
        <v>110</v>
      </c>
      <c r="L414" s="2" t="s">
        <v>47</v>
      </c>
      <c r="M414" s="2">
        <v>104.16666666666667</v>
      </c>
      <c r="N414" s="2" t="str">
        <f>VLOOKUP(A414, zcorin_converter!A:L, 12, FALSE)</f>
        <v>Bag in Box</v>
      </c>
      <c r="O414" s="3"/>
      <c r="P414" s="2" t="s">
        <v>25</v>
      </c>
    </row>
    <row r="415" spans="1:16">
      <c r="A415" s="11" t="s">
        <v>867</v>
      </c>
      <c r="B415" s="2" t="s">
        <v>868</v>
      </c>
      <c r="C415" s="2">
        <v>10</v>
      </c>
      <c r="D415" s="2">
        <f t="shared" si="27"/>
        <v>9</v>
      </c>
      <c r="E415" s="2">
        <v>900</v>
      </c>
      <c r="F415" s="2" t="s">
        <v>18</v>
      </c>
      <c r="G415" s="2" t="s">
        <v>107</v>
      </c>
      <c r="H415" s="2" t="s">
        <v>632</v>
      </c>
      <c r="I415" s="2" t="s">
        <v>618</v>
      </c>
      <c r="J415" s="2" t="s">
        <v>156</v>
      </c>
      <c r="K415" s="2" t="s">
        <v>110</v>
      </c>
      <c r="L415" s="2" t="s">
        <v>47</v>
      </c>
      <c r="M415" s="2">
        <f>7500/24</f>
        <v>312.5</v>
      </c>
      <c r="N415" s="2" t="str">
        <f>VLOOKUP(A415, zcorin_converter!A:L, 12, FALSE)</f>
        <v>Bag in Box</v>
      </c>
      <c r="O415" s="2" t="s">
        <v>623</v>
      </c>
      <c r="P415" s="2" t="s">
        <v>25</v>
      </c>
    </row>
    <row r="416" spans="1:16">
      <c r="A416" s="11" t="s">
        <v>869</v>
      </c>
      <c r="B416" s="2" t="s">
        <v>870</v>
      </c>
      <c r="C416" s="2">
        <v>21</v>
      </c>
      <c r="D416" s="2">
        <f t="shared" si="27"/>
        <v>8.4</v>
      </c>
      <c r="E416" s="2">
        <v>400</v>
      </c>
      <c r="F416" s="2" t="s">
        <v>18</v>
      </c>
      <c r="G416" s="4" t="s">
        <v>107</v>
      </c>
      <c r="H416" s="2" t="s">
        <v>632</v>
      </c>
      <c r="I416" s="2" t="s">
        <v>618</v>
      </c>
      <c r="J416" s="2" t="s">
        <v>156</v>
      </c>
      <c r="K416" s="2" t="s">
        <v>110</v>
      </c>
      <c r="L416" s="2" t="s">
        <v>47</v>
      </c>
      <c r="M416" s="2">
        <f>5000/24</f>
        <v>208.33333333333334</v>
      </c>
      <c r="N416" s="2" t="str">
        <f>VLOOKUP(A416, zcorin_converter!A:L, 12, FALSE)</f>
        <v>Bag in Box</v>
      </c>
      <c r="O416" s="2" t="s">
        <v>362</v>
      </c>
      <c r="P416" s="2" t="s">
        <v>25</v>
      </c>
    </row>
    <row r="417" spans="1:16">
      <c r="A417" s="11" t="s">
        <v>871</v>
      </c>
      <c r="B417" s="2" t="s">
        <v>872</v>
      </c>
      <c r="C417" s="2">
        <v>10</v>
      </c>
      <c r="D417" s="2">
        <f t="shared" si="27"/>
        <v>9</v>
      </c>
      <c r="E417" s="2">
        <v>900</v>
      </c>
      <c r="F417" s="2" t="s">
        <v>18</v>
      </c>
      <c r="G417" s="2" t="s">
        <v>107</v>
      </c>
      <c r="H417" s="2" t="s">
        <v>632</v>
      </c>
      <c r="I417" s="2" t="s">
        <v>618</v>
      </c>
      <c r="J417" s="2" t="s">
        <v>156</v>
      </c>
      <c r="K417" s="2" t="s">
        <v>110</v>
      </c>
      <c r="L417" s="2" t="s">
        <v>47</v>
      </c>
      <c r="M417" s="2">
        <v>229.16666666666666</v>
      </c>
      <c r="N417" s="2" t="str">
        <f>VLOOKUP(A417, zcorin_converter!A:L, 12, FALSE)</f>
        <v>Bag in Box</v>
      </c>
      <c r="O417" s="3"/>
      <c r="P417" s="2" t="s">
        <v>25</v>
      </c>
    </row>
    <row r="418" spans="1:16">
      <c r="A418" s="11" t="s">
        <v>873</v>
      </c>
      <c r="B418" s="2" t="s">
        <v>874</v>
      </c>
      <c r="C418" s="2">
        <v>12</v>
      </c>
      <c r="D418" s="2">
        <f t="shared" si="27"/>
        <v>7.2</v>
      </c>
      <c r="E418" s="2">
        <v>600</v>
      </c>
      <c r="F418" s="2" t="s">
        <v>18</v>
      </c>
      <c r="G418" s="4" t="s">
        <v>107</v>
      </c>
      <c r="H418" s="2" t="s">
        <v>632</v>
      </c>
      <c r="I418" s="2" t="s">
        <v>618</v>
      </c>
      <c r="J418" s="2" t="s">
        <v>156</v>
      </c>
      <c r="K418" s="2" t="s">
        <v>110</v>
      </c>
      <c r="L418" s="2" t="s">
        <v>47</v>
      </c>
      <c r="M418" s="2">
        <v>333.33333333333331</v>
      </c>
      <c r="N418" s="2" t="str">
        <f>VLOOKUP(A418, zcorin_converter!A:L, 12, FALSE)</f>
        <v>Bag in Box</v>
      </c>
      <c r="O418" s="3"/>
      <c r="P418" s="2" t="s">
        <v>25</v>
      </c>
    </row>
    <row r="419" spans="1:16">
      <c r="A419" s="11" t="s">
        <v>875</v>
      </c>
      <c r="B419" s="2" t="s">
        <v>876</v>
      </c>
      <c r="C419" s="2">
        <v>21</v>
      </c>
      <c r="D419" s="2">
        <f t="shared" si="27"/>
        <v>7.875</v>
      </c>
      <c r="E419" s="2">
        <v>375</v>
      </c>
      <c r="F419" s="2" t="s">
        <v>18</v>
      </c>
      <c r="G419" s="2" t="s">
        <v>107</v>
      </c>
      <c r="H419" s="2" t="s">
        <v>632</v>
      </c>
      <c r="I419" s="2" t="s">
        <v>618</v>
      </c>
      <c r="J419" s="2" t="s">
        <v>156</v>
      </c>
      <c r="K419" s="2" t="s">
        <v>110</v>
      </c>
      <c r="L419" s="2" t="s">
        <v>47</v>
      </c>
      <c r="M419" s="2">
        <v>208.33333333333334</v>
      </c>
      <c r="N419" s="2" t="str">
        <f>VLOOKUP(A419, zcorin_converter!A:L, 12, FALSE)</f>
        <v>Bag in Box</v>
      </c>
      <c r="O419" s="3"/>
      <c r="P419" s="2" t="s">
        <v>25</v>
      </c>
    </row>
    <row r="420" spans="1:16">
      <c r="A420" s="11" t="s">
        <v>877</v>
      </c>
      <c r="B420" s="2" t="s">
        <v>878</v>
      </c>
      <c r="C420" s="2">
        <v>21</v>
      </c>
      <c r="D420" s="2">
        <f t="shared" si="27"/>
        <v>7.875</v>
      </c>
      <c r="E420" s="2">
        <v>375</v>
      </c>
      <c r="F420" s="2" t="s">
        <v>18</v>
      </c>
      <c r="G420" s="4" t="s">
        <v>107</v>
      </c>
      <c r="H420" s="2" t="s">
        <v>632</v>
      </c>
      <c r="I420" s="2" t="s">
        <v>618</v>
      </c>
      <c r="J420" s="2" t="s">
        <v>156</v>
      </c>
      <c r="K420" s="2" t="s">
        <v>110</v>
      </c>
      <c r="L420" s="2" t="s">
        <v>47</v>
      </c>
      <c r="M420" s="2">
        <v>208.33333333333334</v>
      </c>
      <c r="N420" s="2" t="str">
        <f>VLOOKUP(A420, zcorin_converter!A:L, 12, FALSE)</f>
        <v>Bag in Box</v>
      </c>
      <c r="O420" s="3"/>
      <c r="P420" s="2" t="s">
        <v>25</v>
      </c>
    </row>
    <row r="421" spans="1:16">
      <c r="A421" s="11" t="s">
        <v>879</v>
      </c>
      <c r="B421" s="2" t="s">
        <v>880</v>
      </c>
      <c r="C421" s="2">
        <v>48</v>
      </c>
      <c r="D421" s="2">
        <f t="shared" si="27"/>
        <v>7.2</v>
      </c>
      <c r="E421" s="2">
        <v>150</v>
      </c>
      <c r="F421" s="2" t="s">
        <v>18</v>
      </c>
      <c r="G421" s="2" t="s">
        <v>107</v>
      </c>
      <c r="H421" s="2" t="s">
        <v>632</v>
      </c>
      <c r="I421" s="2" t="s">
        <v>618</v>
      </c>
      <c r="J421" s="2" t="s">
        <v>156</v>
      </c>
      <c r="K421" s="2" t="s">
        <v>110</v>
      </c>
      <c r="L421" s="2" t="s">
        <v>47</v>
      </c>
      <c r="M421" s="2">
        <v>116.66666666666667</v>
      </c>
      <c r="N421" s="2" t="str">
        <f>VLOOKUP(A421, zcorin_converter!A:L, 12, FALSE)</f>
        <v>Bag in Box</v>
      </c>
      <c r="O421" s="3"/>
      <c r="P421" s="2" t="s">
        <v>25</v>
      </c>
    </row>
    <row r="422" spans="1:16">
      <c r="A422" s="11" t="s">
        <v>881</v>
      </c>
      <c r="B422" s="2" t="s">
        <v>882</v>
      </c>
      <c r="C422" s="2">
        <v>10</v>
      </c>
      <c r="D422" s="2">
        <f t="shared" si="27"/>
        <v>9</v>
      </c>
      <c r="E422" s="2">
        <v>900</v>
      </c>
      <c r="F422" s="2" t="s">
        <v>18</v>
      </c>
      <c r="G422" s="4" t="s">
        <v>107</v>
      </c>
      <c r="H422" s="2" t="s">
        <v>632</v>
      </c>
      <c r="I422" s="2" t="s">
        <v>618</v>
      </c>
      <c r="J422" s="2" t="s">
        <v>156</v>
      </c>
      <c r="K422" s="2" t="s">
        <v>110</v>
      </c>
      <c r="L422" s="2" t="s">
        <v>47</v>
      </c>
      <c r="M422" s="2">
        <v>229.16666666666666</v>
      </c>
      <c r="N422" s="2" t="str">
        <f>VLOOKUP(A422, zcorin_converter!A:L, 12, FALSE)</f>
        <v>Bag in Box</v>
      </c>
      <c r="O422" s="3"/>
      <c r="P422" s="2" t="s">
        <v>25</v>
      </c>
    </row>
    <row r="423" spans="1:16">
      <c r="A423" s="11" t="s">
        <v>883</v>
      </c>
      <c r="B423" s="2" t="s">
        <v>884</v>
      </c>
      <c r="C423" s="2">
        <v>12</v>
      </c>
      <c r="D423" s="2">
        <f t="shared" si="27"/>
        <v>7.2</v>
      </c>
      <c r="E423" s="2">
        <v>600</v>
      </c>
      <c r="F423" s="2" t="s">
        <v>18</v>
      </c>
      <c r="G423" s="2" t="s">
        <v>107</v>
      </c>
      <c r="H423" s="2" t="s">
        <v>632</v>
      </c>
      <c r="I423" s="2" t="s">
        <v>618</v>
      </c>
      <c r="J423" s="2" t="s">
        <v>156</v>
      </c>
      <c r="K423" s="2" t="s">
        <v>110</v>
      </c>
      <c r="L423" s="2" t="s">
        <v>47</v>
      </c>
      <c r="M423" s="2">
        <v>333.33333333333331</v>
      </c>
      <c r="N423" s="2" t="str">
        <f>VLOOKUP(A423, zcorin_converter!A:L, 12, FALSE)</f>
        <v>Bag in Box</v>
      </c>
      <c r="O423" s="3"/>
      <c r="P423" s="2" t="s">
        <v>25</v>
      </c>
    </row>
    <row r="424" spans="1:16">
      <c r="A424" s="11" t="s">
        <v>885</v>
      </c>
      <c r="B424" s="2" t="s">
        <v>886</v>
      </c>
      <c r="C424" s="2">
        <v>6</v>
      </c>
      <c r="D424" s="2">
        <f t="shared" si="27"/>
        <v>9.6</v>
      </c>
      <c r="E424" s="2">
        <f>1600</f>
        <v>1600</v>
      </c>
      <c r="F424" s="2" t="s">
        <v>18</v>
      </c>
      <c r="G424" s="4" t="s">
        <v>107</v>
      </c>
      <c r="H424" s="2" t="s">
        <v>617</v>
      </c>
      <c r="I424" s="2" t="s">
        <v>618</v>
      </c>
      <c r="J424" s="2" t="s">
        <v>156</v>
      </c>
      <c r="K424" s="2" t="s">
        <v>110</v>
      </c>
      <c r="L424" s="2" t="s">
        <v>47</v>
      </c>
      <c r="M424" s="2">
        <f t="shared" ref="M424:M425" si="30">3000/24</f>
        <v>125</v>
      </c>
      <c r="N424" s="2" t="str">
        <f>VLOOKUP(A424, zcorin_converter!A:L, 12, FALSE)</f>
        <v>Bag in Box</v>
      </c>
      <c r="O424" s="2" t="s">
        <v>216</v>
      </c>
      <c r="P424" s="2" t="s">
        <v>25</v>
      </c>
    </row>
    <row r="425" spans="1:16">
      <c r="A425" s="11" t="s">
        <v>887</v>
      </c>
      <c r="B425" s="2" t="s">
        <v>888</v>
      </c>
      <c r="C425" s="2">
        <v>6</v>
      </c>
      <c r="D425" s="2">
        <f t="shared" si="27"/>
        <v>9.6</v>
      </c>
      <c r="E425" s="2">
        <f>1600</f>
        <v>1600</v>
      </c>
      <c r="F425" s="2" t="s">
        <v>18</v>
      </c>
      <c r="G425" s="2" t="s">
        <v>107</v>
      </c>
      <c r="H425" s="2" t="s">
        <v>617</v>
      </c>
      <c r="I425" s="2" t="s">
        <v>618</v>
      </c>
      <c r="J425" s="2" t="s">
        <v>156</v>
      </c>
      <c r="K425" s="2" t="s">
        <v>110</v>
      </c>
      <c r="L425" s="2" t="s">
        <v>47</v>
      </c>
      <c r="M425" s="2">
        <f t="shared" si="30"/>
        <v>125</v>
      </c>
      <c r="N425" s="2" t="str">
        <f>VLOOKUP(A425, zcorin_converter!A:L, 12, FALSE)</f>
        <v>Bag in Box</v>
      </c>
      <c r="O425" s="2" t="s">
        <v>216</v>
      </c>
      <c r="P425" s="2" t="s">
        <v>25</v>
      </c>
    </row>
    <row r="426" spans="1:16">
      <c r="A426" s="11" t="s">
        <v>889</v>
      </c>
      <c r="B426" s="2" t="s">
        <v>890</v>
      </c>
      <c r="C426" s="2">
        <v>4</v>
      </c>
      <c r="D426" s="2">
        <f t="shared" si="27"/>
        <v>12</v>
      </c>
      <c r="E426" s="2">
        <v>3000</v>
      </c>
      <c r="F426" s="2" t="s">
        <v>18</v>
      </c>
      <c r="G426" s="4" t="s">
        <v>107</v>
      </c>
      <c r="H426" s="2" t="s">
        <v>617</v>
      </c>
      <c r="I426" s="2" t="s">
        <v>618</v>
      </c>
      <c r="J426" s="2" t="s">
        <v>156</v>
      </c>
      <c r="K426" s="2" t="s">
        <v>110</v>
      </c>
      <c r="L426" s="2" t="s">
        <v>47</v>
      </c>
      <c r="M426" s="2">
        <v>104.16666666666667</v>
      </c>
      <c r="N426" s="2" t="str">
        <f>VLOOKUP(A426, zcorin_converter!A:L, 12, FALSE)</f>
        <v>Bag in Box</v>
      </c>
      <c r="O426" s="3"/>
      <c r="P426" s="2" t="s">
        <v>25</v>
      </c>
    </row>
    <row r="427" spans="1:16">
      <c r="A427" s="11" t="s">
        <v>891</v>
      </c>
      <c r="B427" s="2" t="s">
        <v>892</v>
      </c>
      <c r="C427" s="2">
        <v>4</v>
      </c>
      <c r="D427" s="2">
        <f t="shared" si="27"/>
        <v>12</v>
      </c>
      <c r="E427" s="2">
        <v>3000</v>
      </c>
      <c r="F427" s="2" t="s">
        <v>18</v>
      </c>
      <c r="G427" s="2" t="s">
        <v>107</v>
      </c>
      <c r="H427" s="2" t="s">
        <v>617</v>
      </c>
      <c r="I427" s="2" t="s">
        <v>618</v>
      </c>
      <c r="J427" s="2" t="s">
        <v>156</v>
      </c>
      <c r="K427" s="2" t="s">
        <v>110</v>
      </c>
      <c r="L427" s="2" t="s">
        <v>47</v>
      </c>
      <c r="M427" s="2">
        <v>104.16666666666667</v>
      </c>
      <c r="N427" s="2" t="str">
        <f>VLOOKUP(A427, zcorin_converter!A:L, 12, FALSE)</f>
        <v>Bag in Box</v>
      </c>
      <c r="O427" s="3"/>
      <c r="P427" s="2" t="s">
        <v>25</v>
      </c>
    </row>
    <row r="428" spans="1:16">
      <c r="A428" s="11" t="s">
        <v>893</v>
      </c>
      <c r="B428" s="2" t="s">
        <v>894</v>
      </c>
      <c r="C428" s="2">
        <v>10</v>
      </c>
      <c r="D428" s="2">
        <f t="shared" si="27"/>
        <v>9</v>
      </c>
      <c r="E428" s="2">
        <v>900</v>
      </c>
      <c r="F428" s="2" t="s">
        <v>18</v>
      </c>
      <c r="G428" s="4" t="s">
        <v>107</v>
      </c>
      <c r="H428" s="2" t="s">
        <v>617</v>
      </c>
      <c r="I428" s="2" t="s">
        <v>618</v>
      </c>
      <c r="J428" s="2" t="s">
        <v>156</v>
      </c>
      <c r="K428" s="2" t="s">
        <v>110</v>
      </c>
      <c r="L428" s="2" t="s">
        <v>47</v>
      </c>
      <c r="M428" s="2">
        <v>229.16666666666666</v>
      </c>
      <c r="N428" s="2" t="str">
        <f>VLOOKUP(A428, zcorin_converter!A:L, 12, FALSE)</f>
        <v>Bag in Box</v>
      </c>
      <c r="O428" s="3"/>
      <c r="P428" s="2" t="s">
        <v>25</v>
      </c>
    </row>
    <row r="429" spans="1:16">
      <c r="A429" s="11" t="s">
        <v>895</v>
      </c>
      <c r="B429" s="2" t="s">
        <v>896</v>
      </c>
      <c r="C429" s="2">
        <v>12</v>
      </c>
      <c r="D429" s="2">
        <f t="shared" si="27"/>
        <v>7.2</v>
      </c>
      <c r="E429" s="2">
        <v>600</v>
      </c>
      <c r="F429" s="2" t="s">
        <v>18</v>
      </c>
      <c r="G429" s="2" t="s">
        <v>107</v>
      </c>
      <c r="H429" s="2" t="s">
        <v>617</v>
      </c>
      <c r="I429" s="2" t="s">
        <v>618</v>
      </c>
      <c r="J429" s="2" t="s">
        <v>156</v>
      </c>
      <c r="K429" s="2" t="s">
        <v>110</v>
      </c>
      <c r="L429" s="2" t="s">
        <v>47</v>
      </c>
      <c r="M429" s="2">
        <v>333.33333333333331</v>
      </c>
      <c r="N429" s="2" t="str">
        <f>VLOOKUP(A429, zcorin_converter!A:L, 12, FALSE)</f>
        <v>Bag in Box</v>
      </c>
      <c r="O429" s="3"/>
      <c r="P429" s="2" t="s">
        <v>25</v>
      </c>
    </row>
    <row r="430" spans="1:16">
      <c r="A430" s="11" t="s">
        <v>897</v>
      </c>
      <c r="B430" s="2" t="s">
        <v>898</v>
      </c>
      <c r="C430" s="2">
        <v>21</v>
      </c>
      <c r="D430" s="2">
        <f t="shared" si="27"/>
        <v>7.875</v>
      </c>
      <c r="E430" s="2">
        <v>375</v>
      </c>
      <c r="F430" s="2" t="s">
        <v>18</v>
      </c>
      <c r="G430" s="4" t="s">
        <v>107</v>
      </c>
      <c r="H430" s="2" t="s">
        <v>617</v>
      </c>
      <c r="I430" s="2" t="s">
        <v>618</v>
      </c>
      <c r="J430" s="2" t="s">
        <v>156</v>
      </c>
      <c r="K430" s="2" t="s">
        <v>110</v>
      </c>
      <c r="L430" s="2" t="s">
        <v>47</v>
      </c>
      <c r="M430" s="2">
        <v>208.33333333333334</v>
      </c>
      <c r="N430" s="2" t="str">
        <f>VLOOKUP(A430, zcorin_converter!A:L, 12, FALSE)</f>
        <v>Bag in Box</v>
      </c>
      <c r="O430" s="3"/>
      <c r="P430" s="2" t="s">
        <v>25</v>
      </c>
    </row>
    <row r="431" spans="1:16">
      <c r="A431" s="11" t="s">
        <v>899</v>
      </c>
      <c r="B431" s="2" t="s">
        <v>900</v>
      </c>
      <c r="C431" s="2">
        <v>10</v>
      </c>
      <c r="D431" s="2">
        <f t="shared" si="27"/>
        <v>9</v>
      </c>
      <c r="E431" s="2">
        <v>900</v>
      </c>
      <c r="F431" s="2" t="s">
        <v>18</v>
      </c>
      <c r="G431" s="2" t="s">
        <v>107</v>
      </c>
      <c r="H431" s="2" t="s">
        <v>617</v>
      </c>
      <c r="I431" s="2" t="s">
        <v>618</v>
      </c>
      <c r="J431" s="2" t="s">
        <v>156</v>
      </c>
      <c r="K431" s="2" t="s">
        <v>110</v>
      </c>
      <c r="L431" s="2" t="s">
        <v>47</v>
      </c>
      <c r="M431" s="2">
        <v>229.16666666666666</v>
      </c>
      <c r="N431" s="2" t="str">
        <f>VLOOKUP(A431, zcorin_converter!A:L, 12, FALSE)</f>
        <v>Bag in Box</v>
      </c>
      <c r="O431" s="3"/>
      <c r="P431" s="2" t="s">
        <v>25</v>
      </c>
    </row>
    <row r="432" spans="1:16">
      <c r="A432" s="11" t="s">
        <v>901</v>
      </c>
      <c r="B432" s="2" t="s">
        <v>902</v>
      </c>
      <c r="C432" s="2">
        <v>12</v>
      </c>
      <c r="D432" s="2">
        <f t="shared" si="27"/>
        <v>7.2</v>
      </c>
      <c r="E432" s="2">
        <v>600</v>
      </c>
      <c r="F432" s="2" t="s">
        <v>18</v>
      </c>
      <c r="G432" s="4" t="s">
        <v>107</v>
      </c>
      <c r="H432" s="2" t="s">
        <v>617</v>
      </c>
      <c r="I432" s="2" t="s">
        <v>618</v>
      </c>
      <c r="J432" s="2" t="s">
        <v>156</v>
      </c>
      <c r="K432" s="2" t="s">
        <v>110</v>
      </c>
      <c r="L432" s="2" t="s">
        <v>47</v>
      </c>
      <c r="M432" s="2">
        <v>333.33333333333331</v>
      </c>
      <c r="N432" s="2" t="str">
        <f>VLOOKUP(A432, zcorin_converter!A:L, 12, FALSE)</f>
        <v>Bag in Box</v>
      </c>
      <c r="O432" s="3"/>
      <c r="P432" s="2" t="s">
        <v>25</v>
      </c>
    </row>
    <row r="433" spans="1:16">
      <c r="A433" s="11" t="s">
        <v>903</v>
      </c>
      <c r="B433" s="2" t="s">
        <v>904</v>
      </c>
      <c r="C433" s="2">
        <v>21</v>
      </c>
      <c r="D433" s="2">
        <f t="shared" si="27"/>
        <v>7.875</v>
      </c>
      <c r="E433" s="2">
        <v>375</v>
      </c>
      <c r="F433" s="2" t="s">
        <v>18</v>
      </c>
      <c r="G433" s="2" t="s">
        <v>107</v>
      </c>
      <c r="H433" s="2" t="s">
        <v>617</v>
      </c>
      <c r="I433" s="2" t="s">
        <v>618</v>
      </c>
      <c r="J433" s="2" t="s">
        <v>156</v>
      </c>
      <c r="K433" s="2" t="s">
        <v>110</v>
      </c>
      <c r="L433" s="2" t="s">
        <v>47</v>
      </c>
      <c r="M433" s="2">
        <v>208.33333333333334</v>
      </c>
      <c r="N433" s="2" t="str">
        <f>VLOOKUP(A433, zcorin_converter!A:L, 12, FALSE)</f>
        <v>Bag in Box</v>
      </c>
      <c r="O433" s="3"/>
      <c r="P433" s="2" t="s">
        <v>25</v>
      </c>
    </row>
    <row r="434" spans="1:16">
      <c r="A434" s="11" t="s">
        <v>905</v>
      </c>
      <c r="B434" s="2" t="s">
        <v>906</v>
      </c>
      <c r="C434" s="2">
        <v>48</v>
      </c>
      <c r="D434" s="2">
        <f t="shared" si="27"/>
        <v>7.2</v>
      </c>
      <c r="E434" s="2">
        <v>150</v>
      </c>
      <c r="F434" s="2" t="s">
        <v>18</v>
      </c>
      <c r="G434" s="4" t="s">
        <v>107</v>
      </c>
      <c r="H434" s="2" t="s">
        <v>617</v>
      </c>
      <c r="I434" s="2" t="s">
        <v>618</v>
      </c>
      <c r="J434" s="2" t="s">
        <v>156</v>
      </c>
      <c r="K434" s="2" t="s">
        <v>110</v>
      </c>
      <c r="L434" s="2" t="s">
        <v>47</v>
      </c>
      <c r="M434" s="2">
        <v>116.66666666666667</v>
      </c>
      <c r="N434" s="2" t="str">
        <f>VLOOKUP(A434, zcorin_converter!A:L, 12, FALSE)</f>
        <v>Bag in Box</v>
      </c>
      <c r="O434" s="3"/>
      <c r="P434" s="2" t="s">
        <v>25</v>
      </c>
    </row>
    <row r="435" spans="1:16">
      <c r="A435" s="11" t="s">
        <v>907</v>
      </c>
      <c r="B435" s="2" t="s">
        <v>908</v>
      </c>
      <c r="C435" s="2">
        <v>10</v>
      </c>
      <c r="D435" s="2">
        <f t="shared" si="27"/>
        <v>10</v>
      </c>
      <c r="E435" s="2">
        <v>1000</v>
      </c>
      <c r="F435" s="2" t="s">
        <v>18</v>
      </c>
      <c r="G435" s="2" t="s">
        <v>107</v>
      </c>
      <c r="H435" s="2" t="s">
        <v>365</v>
      </c>
      <c r="I435" s="2" t="s">
        <v>366</v>
      </c>
      <c r="J435" s="2" t="s">
        <v>38</v>
      </c>
      <c r="K435" s="2" t="s">
        <v>110</v>
      </c>
      <c r="L435" s="2" t="s">
        <v>24</v>
      </c>
      <c r="M435" s="2">
        <v>0</v>
      </c>
      <c r="N435" s="2" t="str">
        <f>VLOOKUP(A435, zcorin_converter!A:L, 12, FALSE)</f>
        <v>Bag in Box</v>
      </c>
      <c r="O435" s="2">
        <v>0</v>
      </c>
      <c r="P435" s="2" t="s">
        <v>25</v>
      </c>
    </row>
    <row r="436" spans="1:16">
      <c r="A436" s="11" t="s">
        <v>909</v>
      </c>
      <c r="B436" s="2" t="s">
        <v>910</v>
      </c>
      <c r="C436" s="2">
        <v>24</v>
      </c>
      <c r="D436" s="2">
        <f t="shared" si="27"/>
        <v>9</v>
      </c>
      <c r="E436" s="2">
        <v>375</v>
      </c>
      <c r="F436" s="2" t="s">
        <v>18</v>
      </c>
      <c r="G436" s="4" t="s">
        <v>107</v>
      </c>
      <c r="H436" s="2" t="s">
        <v>365</v>
      </c>
      <c r="I436" s="2" t="s">
        <v>366</v>
      </c>
      <c r="J436" s="2" t="s">
        <v>38</v>
      </c>
      <c r="K436" s="2" t="s">
        <v>110</v>
      </c>
      <c r="L436" s="2" t="s">
        <v>24</v>
      </c>
      <c r="M436" s="2">
        <v>0</v>
      </c>
      <c r="N436" s="2" t="str">
        <f>VLOOKUP(A436, zcorin_converter!A:L, 12, FALSE)</f>
        <v>Bag in Box</v>
      </c>
      <c r="O436" s="2">
        <v>0</v>
      </c>
      <c r="P436" s="2" t="s">
        <v>25</v>
      </c>
    </row>
    <row r="437" spans="1:16">
      <c r="A437" s="11" t="s">
        <v>911</v>
      </c>
      <c r="B437" s="2" t="s">
        <v>912</v>
      </c>
      <c r="C437" s="2">
        <v>48</v>
      </c>
      <c r="D437" s="2">
        <f t="shared" si="27"/>
        <v>7.2</v>
      </c>
      <c r="E437" s="2">
        <v>150</v>
      </c>
      <c r="F437" s="2" t="s">
        <v>18</v>
      </c>
      <c r="G437" s="2" t="s">
        <v>107</v>
      </c>
      <c r="H437" s="2" t="s">
        <v>365</v>
      </c>
      <c r="I437" s="2" t="s">
        <v>366</v>
      </c>
      <c r="J437" s="2" t="s">
        <v>38</v>
      </c>
      <c r="K437" s="2" t="s">
        <v>110</v>
      </c>
      <c r="L437" s="2" t="s">
        <v>24</v>
      </c>
      <c r="M437" s="2">
        <v>0</v>
      </c>
      <c r="N437" s="2" t="str">
        <f>VLOOKUP(A437, zcorin_converter!A:L, 12, FALSE)</f>
        <v>Bag in Box</v>
      </c>
      <c r="O437" s="2">
        <v>0</v>
      </c>
      <c r="P437" s="2" t="s">
        <v>25</v>
      </c>
    </row>
    <row r="438" spans="1:16">
      <c r="A438" s="11" t="s">
        <v>913</v>
      </c>
      <c r="B438" s="2" t="s">
        <v>914</v>
      </c>
      <c r="C438" s="2">
        <v>12</v>
      </c>
      <c r="D438" s="2">
        <f t="shared" si="27"/>
        <v>6.6</v>
      </c>
      <c r="E438" s="2">
        <f>550</f>
        <v>550</v>
      </c>
      <c r="F438" s="2" t="s">
        <v>18</v>
      </c>
      <c r="G438" s="4" t="s">
        <v>107</v>
      </c>
      <c r="H438" s="2" t="s">
        <v>365</v>
      </c>
      <c r="I438" s="2" t="s">
        <v>366</v>
      </c>
      <c r="J438" s="2" t="s">
        <v>38</v>
      </c>
      <c r="K438" s="2" t="s">
        <v>110</v>
      </c>
      <c r="L438" s="2" t="s">
        <v>24</v>
      </c>
      <c r="M438" s="2">
        <v>0</v>
      </c>
      <c r="N438" s="2" t="str">
        <f>VLOOKUP(A438, zcorin_converter!A:L, 12, FALSE)</f>
        <v>Bag in Box</v>
      </c>
      <c r="O438" s="2">
        <v>0</v>
      </c>
      <c r="P438" s="2" t="s">
        <v>25</v>
      </c>
    </row>
    <row r="439" spans="1:16">
      <c r="A439" s="11" t="s">
        <v>915</v>
      </c>
      <c r="B439" s="2" t="s">
        <v>916</v>
      </c>
      <c r="C439" s="2">
        <v>48</v>
      </c>
      <c r="D439" s="2">
        <f t="shared" si="27"/>
        <v>5.76</v>
      </c>
      <c r="E439" s="2">
        <v>120</v>
      </c>
      <c r="F439" s="2" t="s">
        <v>18</v>
      </c>
      <c r="G439" s="2" t="s">
        <v>107</v>
      </c>
      <c r="H439" s="2" t="s">
        <v>365</v>
      </c>
      <c r="I439" s="2" t="s">
        <v>366</v>
      </c>
      <c r="J439" s="2" t="s">
        <v>38</v>
      </c>
      <c r="K439" s="2" t="s">
        <v>110</v>
      </c>
      <c r="L439" s="2" t="s">
        <v>24</v>
      </c>
      <c r="M439" s="2">
        <v>0</v>
      </c>
      <c r="N439" s="2" t="str">
        <f>VLOOKUP(A439, zcorin_converter!A:L, 12, FALSE)</f>
        <v>Bag in Box</v>
      </c>
      <c r="O439" s="2">
        <v>0</v>
      </c>
      <c r="P439" s="2" t="s">
        <v>25</v>
      </c>
    </row>
    <row r="440" spans="1:16">
      <c r="A440" s="11" t="s">
        <v>917</v>
      </c>
      <c r="B440" s="2" t="s">
        <v>918</v>
      </c>
      <c r="C440" s="2">
        <v>24</v>
      </c>
      <c r="D440" s="2">
        <f t="shared" si="27"/>
        <v>9</v>
      </c>
      <c r="E440" s="2">
        <v>375</v>
      </c>
      <c r="F440" s="2" t="s">
        <v>18</v>
      </c>
      <c r="G440" s="4" t="s">
        <v>107</v>
      </c>
      <c r="H440" s="2" t="s">
        <v>531</v>
      </c>
      <c r="I440" s="2" t="s">
        <v>532</v>
      </c>
      <c r="J440" s="2" t="s">
        <v>42</v>
      </c>
      <c r="K440" s="2" t="s">
        <v>110</v>
      </c>
      <c r="L440" s="2" t="s">
        <v>24</v>
      </c>
      <c r="M440" s="2">
        <v>0</v>
      </c>
      <c r="N440" s="2" t="str">
        <f>VLOOKUP(A440, zcorin_converter!A:L, 12, FALSE)</f>
        <v>Bag in Box</v>
      </c>
      <c r="O440" s="2">
        <v>0</v>
      </c>
      <c r="P440" s="2" t="s">
        <v>25</v>
      </c>
    </row>
    <row r="441" spans="1:16">
      <c r="A441" s="11" t="s">
        <v>919</v>
      </c>
      <c r="B441" s="2" t="s">
        <v>920</v>
      </c>
      <c r="C441" s="2">
        <v>48</v>
      </c>
      <c r="D441" s="2">
        <f t="shared" si="27"/>
        <v>7.2</v>
      </c>
      <c r="E441" s="2">
        <v>150</v>
      </c>
      <c r="F441" s="2" t="s">
        <v>18</v>
      </c>
      <c r="G441" s="2" t="s">
        <v>107</v>
      </c>
      <c r="H441" s="2" t="s">
        <v>531</v>
      </c>
      <c r="I441" s="2" t="s">
        <v>532</v>
      </c>
      <c r="J441" s="2" t="s">
        <v>42</v>
      </c>
      <c r="K441" s="2" t="s">
        <v>110</v>
      </c>
      <c r="L441" s="2" t="s">
        <v>24</v>
      </c>
      <c r="M441" s="2">
        <v>0</v>
      </c>
      <c r="N441" s="2" t="str">
        <f>VLOOKUP(A441, zcorin_converter!A:L, 12, FALSE)</f>
        <v>Bag in Box</v>
      </c>
      <c r="O441" s="2">
        <v>0</v>
      </c>
      <c r="P441" s="2" t="s">
        <v>25</v>
      </c>
    </row>
    <row r="442" spans="1:16">
      <c r="A442" s="11" t="s">
        <v>921</v>
      </c>
      <c r="B442" s="2" t="s">
        <v>922</v>
      </c>
      <c r="C442" s="2">
        <v>10</v>
      </c>
      <c r="D442" s="2">
        <f t="shared" si="27"/>
        <v>10</v>
      </c>
      <c r="E442" s="2">
        <v>1000</v>
      </c>
      <c r="F442" s="2" t="s">
        <v>18</v>
      </c>
      <c r="G442" s="4" t="s">
        <v>107</v>
      </c>
      <c r="H442" s="2" t="s">
        <v>531</v>
      </c>
      <c r="I442" s="2" t="s">
        <v>532</v>
      </c>
      <c r="J442" s="2" t="s">
        <v>42</v>
      </c>
      <c r="K442" s="2" t="s">
        <v>110</v>
      </c>
      <c r="L442" s="2" t="s">
        <v>24</v>
      </c>
      <c r="M442" s="2">
        <v>0</v>
      </c>
      <c r="N442" s="2" t="str">
        <f>VLOOKUP(A442, zcorin_converter!A:L, 12, FALSE)</f>
        <v>Bag in Box</v>
      </c>
      <c r="O442" s="2">
        <v>0</v>
      </c>
      <c r="P442" s="2" t="s">
        <v>25</v>
      </c>
    </row>
    <row r="443" spans="1:16">
      <c r="A443" s="11" t="s">
        <v>923</v>
      </c>
      <c r="B443" s="2" t="s">
        <v>924</v>
      </c>
      <c r="C443" s="2">
        <v>12</v>
      </c>
      <c r="D443" s="2">
        <f t="shared" si="27"/>
        <v>6.6</v>
      </c>
      <c r="E443" s="2">
        <f>550</f>
        <v>550</v>
      </c>
      <c r="F443" s="2" t="s">
        <v>18</v>
      </c>
      <c r="G443" s="2" t="s">
        <v>107</v>
      </c>
      <c r="H443" s="2" t="s">
        <v>531</v>
      </c>
      <c r="I443" s="2" t="s">
        <v>532</v>
      </c>
      <c r="J443" s="2" t="s">
        <v>42</v>
      </c>
      <c r="K443" s="2" t="s">
        <v>110</v>
      </c>
      <c r="L443" s="2" t="s">
        <v>24</v>
      </c>
      <c r="M443" s="2">
        <v>0</v>
      </c>
      <c r="N443" s="2" t="str">
        <f>VLOOKUP(A443, zcorin_converter!A:L, 12, FALSE)</f>
        <v>Bag in Box</v>
      </c>
      <c r="O443" s="2">
        <v>0</v>
      </c>
      <c r="P443" s="2" t="s">
        <v>25</v>
      </c>
    </row>
    <row r="444" spans="1:16">
      <c r="A444" s="11" t="s">
        <v>925</v>
      </c>
      <c r="B444" s="2" t="s">
        <v>926</v>
      </c>
      <c r="C444" s="2">
        <v>48</v>
      </c>
      <c r="D444" s="2">
        <f t="shared" si="27"/>
        <v>5.76</v>
      </c>
      <c r="E444" s="2">
        <v>120</v>
      </c>
      <c r="F444" s="2" t="s">
        <v>18</v>
      </c>
      <c r="G444" s="4" t="s">
        <v>107</v>
      </c>
      <c r="H444" s="2" t="s">
        <v>531</v>
      </c>
      <c r="I444" s="2" t="s">
        <v>532</v>
      </c>
      <c r="J444" s="2" t="s">
        <v>42</v>
      </c>
      <c r="K444" s="2" t="s">
        <v>110</v>
      </c>
      <c r="L444" s="2" t="s">
        <v>24</v>
      </c>
      <c r="M444" s="2">
        <v>0</v>
      </c>
      <c r="N444" s="2" t="str">
        <f>VLOOKUP(A444, zcorin_converter!A:L, 12, FALSE)</f>
        <v>Bag in Box</v>
      </c>
      <c r="O444" s="2">
        <v>0</v>
      </c>
      <c r="P444" s="2" t="s">
        <v>25</v>
      </c>
    </row>
    <row r="445" spans="1:16">
      <c r="A445" s="11" t="s">
        <v>927</v>
      </c>
      <c r="B445" s="2" t="s">
        <v>820</v>
      </c>
      <c r="C445" s="2">
        <v>24</v>
      </c>
      <c r="D445" s="2">
        <f>E445*C445/1000</f>
        <v>9.6</v>
      </c>
      <c r="E445" s="2">
        <v>400</v>
      </c>
      <c r="F445" s="2" t="s">
        <v>140</v>
      </c>
      <c r="G445" s="2" t="s">
        <v>29</v>
      </c>
      <c r="H445" s="2" t="s">
        <v>29</v>
      </c>
      <c r="I445" s="2" t="s">
        <v>355</v>
      </c>
      <c r="J445" s="2" t="s">
        <v>22</v>
      </c>
      <c r="K445" s="2" t="s">
        <v>29</v>
      </c>
      <c r="L445" s="2" t="s">
        <v>24</v>
      </c>
      <c r="M445" s="2">
        <v>0</v>
      </c>
      <c r="N445" s="2" t="str">
        <f>VLOOKUP(A445, zcorin_converter!A:L, 12, FALSE)</f>
        <v>Canning</v>
      </c>
      <c r="O445" s="2">
        <v>0</v>
      </c>
      <c r="P445" s="2" t="s">
        <v>25</v>
      </c>
    </row>
    <row r="446" spans="1:16">
      <c r="A446" s="11" t="s">
        <v>928</v>
      </c>
      <c r="B446" s="2" t="s">
        <v>929</v>
      </c>
      <c r="C446" s="2">
        <v>24</v>
      </c>
      <c r="D446" s="2">
        <f>E446*C446/1000</f>
        <v>9.6</v>
      </c>
      <c r="E446" s="2">
        <v>400</v>
      </c>
      <c r="F446" s="2" t="s">
        <v>50</v>
      </c>
      <c r="G446" s="4" t="s">
        <v>29</v>
      </c>
      <c r="H446" s="2" t="s">
        <v>29</v>
      </c>
      <c r="I446" s="2" t="s">
        <v>38</v>
      </c>
      <c r="J446" s="2" t="s">
        <v>38</v>
      </c>
      <c r="K446" s="2" t="s">
        <v>29</v>
      </c>
      <c r="L446" s="2" t="s">
        <v>24</v>
      </c>
      <c r="M446" s="2">
        <v>0</v>
      </c>
      <c r="N446" s="2" t="str">
        <f>VLOOKUP(A446, zcorin_converter!A:L, 12, FALSE)</f>
        <v>Canning</v>
      </c>
      <c r="O446" s="2">
        <v>0</v>
      </c>
      <c r="P446" s="2" t="s">
        <v>25</v>
      </c>
    </row>
    <row r="447" spans="1:16">
      <c r="A447" s="11" t="s">
        <v>930</v>
      </c>
      <c r="B447" s="2" t="s">
        <v>931</v>
      </c>
      <c r="C447" s="2">
        <v>12</v>
      </c>
      <c r="D447" s="2">
        <f>C447*E447/1000</f>
        <v>9.6</v>
      </c>
      <c r="E447" s="2">
        <v>800</v>
      </c>
      <c r="F447" s="2" t="s">
        <v>502</v>
      </c>
      <c r="G447" s="2" t="s">
        <v>29</v>
      </c>
      <c r="H447" s="2" t="s">
        <v>29</v>
      </c>
      <c r="I447" s="2" t="s">
        <v>56</v>
      </c>
      <c r="J447" s="2" t="s">
        <v>22</v>
      </c>
      <c r="K447" s="2" t="s">
        <v>29</v>
      </c>
      <c r="L447" s="2" t="s">
        <v>24</v>
      </c>
      <c r="M447" s="2">
        <v>0</v>
      </c>
      <c r="N447" s="2" t="str">
        <f>VLOOKUP(A447, zcorin_converter!A:L, 12, FALSE)</f>
        <v>Canning</v>
      </c>
      <c r="O447" s="2">
        <v>0</v>
      </c>
      <c r="P447" s="2" t="s">
        <v>25</v>
      </c>
    </row>
    <row r="448" spans="1:16">
      <c r="A448" s="11" t="s">
        <v>932</v>
      </c>
      <c r="B448" s="2" t="s">
        <v>933</v>
      </c>
      <c r="C448" s="2">
        <v>12</v>
      </c>
      <c r="D448" s="2">
        <f>C448*E448/1000</f>
        <v>9.6</v>
      </c>
      <c r="E448" s="2">
        <v>800</v>
      </c>
      <c r="F448" s="2" t="s">
        <v>502</v>
      </c>
      <c r="G448" s="4" t="s">
        <v>29</v>
      </c>
      <c r="H448" s="2" t="s">
        <v>29</v>
      </c>
      <c r="I448" s="2" t="s">
        <v>62</v>
      </c>
      <c r="J448" s="2" t="s">
        <v>22</v>
      </c>
      <c r="K448" s="2" t="s">
        <v>29</v>
      </c>
      <c r="L448" s="2" t="s">
        <v>24</v>
      </c>
      <c r="M448" s="2">
        <v>0</v>
      </c>
      <c r="N448" s="2" t="str">
        <f>VLOOKUP(A448, zcorin_converter!A:L, 12, FALSE)</f>
        <v>Canning</v>
      </c>
      <c r="O448" s="2">
        <v>0</v>
      </c>
      <c r="P448" s="2" t="s">
        <v>25</v>
      </c>
    </row>
    <row r="449" spans="1:16">
      <c r="A449" s="11" t="s">
        <v>934</v>
      </c>
      <c r="B449" s="2" t="s">
        <v>935</v>
      </c>
      <c r="C449" s="2">
        <v>12</v>
      </c>
      <c r="D449" s="2">
        <f>C449*E449/1000</f>
        <v>9.6</v>
      </c>
      <c r="E449" s="2">
        <v>800</v>
      </c>
      <c r="F449" s="2" t="s">
        <v>502</v>
      </c>
      <c r="G449" s="2" t="s">
        <v>29</v>
      </c>
      <c r="H449" s="2" t="s">
        <v>29</v>
      </c>
      <c r="I449" s="2" t="s">
        <v>51</v>
      </c>
      <c r="J449" s="2" t="s">
        <v>22</v>
      </c>
      <c r="K449" s="2" t="s">
        <v>29</v>
      </c>
      <c r="L449" s="2" t="s">
        <v>24</v>
      </c>
      <c r="M449" s="2">
        <v>0</v>
      </c>
      <c r="N449" s="2" t="str">
        <f>VLOOKUP(A449, zcorin_converter!A:L, 12, FALSE)</f>
        <v>Canning</v>
      </c>
      <c r="O449" s="2">
        <v>0</v>
      </c>
      <c r="P449" s="2" t="s">
        <v>25</v>
      </c>
    </row>
    <row r="450" spans="1:16">
      <c r="A450" s="11" t="s">
        <v>936</v>
      </c>
      <c r="B450" s="2" t="s">
        <v>937</v>
      </c>
      <c r="C450" s="2">
        <v>24</v>
      </c>
      <c r="D450" s="2">
        <f>E450*C450/1000</f>
        <v>9.6</v>
      </c>
      <c r="E450" s="2">
        <v>400</v>
      </c>
      <c r="F450" s="2" t="s">
        <v>354</v>
      </c>
      <c r="G450" s="4" t="s">
        <v>29</v>
      </c>
      <c r="H450" s="2" t="s">
        <v>29</v>
      </c>
      <c r="I450" s="2" t="s">
        <v>355</v>
      </c>
      <c r="J450" s="2" t="s">
        <v>22</v>
      </c>
      <c r="K450" s="2" t="s">
        <v>29</v>
      </c>
      <c r="L450" s="2" t="s">
        <v>24</v>
      </c>
      <c r="M450" s="2">
        <v>0</v>
      </c>
      <c r="N450" s="2" t="str">
        <f>VLOOKUP(A450, zcorin_converter!A:L, 12, FALSE)</f>
        <v>Canning</v>
      </c>
      <c r="O450" s="2">
        <v>0</v>
      </c>
      <c r="P450" s="2" t="s">
        <v>25</v>
      </c>
    </row>
    <row r="451" spans="1:16">
      <c r="A451" s="11" t="s">
        <v>938</v>
      </c>
      <c r="B451" s="2" t="s">
        <v>939</v>
      </c>
      <c r="C451" s="4">
        <v>40</v>
      </c>
      <c r="D451" s="4">
        <f>(C451*E451/1000)*1.04</f>
        <v>4.3680000000000003</v>
      </c>
      <c r="E451" s="4">
        <v>105</v>
      </c>
      <c r="F451" s="4" t="s">
        <v>18</v>
      </c>
      <c r="G451" s="2" t="s">
        <v>721</v>
      </c>
      <c r="H451" s="4" t="s">
        <v>722</v>
      </c>
      <c r="I451" s="4" t="s">
        <v>722</v>
      </c>
      <c r="J451" s="2" t="s">
        <v>723</v>
      </c>
      <c r="K451" s="4" t="s">
        <v>83</v>
      </c>
      <c r="L451" s="2" t="s">
        <v>724</v>
      </c>
      <c r="M451" s="3">
        <f>48000*85%/2/C451</f>
        <v>510</v>
      </c>
      <c r="N451" s="2" t="str">
        <f>VLOOKUP(A451, zcorin_converter!A:L, 12, FALSE)</f>
        <v>RTD</v>
      </c>
      <c r="O451" s="3" t="s">
        <v>725</v>
      </c>
      <c r="P451" s="2" t="s">
        <v>726</v>
      </c>
    </row>
    <row r="452" spans="1:16">
      <c r="A452" s="11" t="s">
        <v>940</v>
      </c>
      <c r="B452" s="2" t="s">
        <v>941</v>
      </c>
      <c r="C452" s="4">
        <v>24</v>
      </c>
      <c r="D452" s="4">
        <f>(C452*E452/1000)*1.04</f>
        <v>4.1184000000000003</v>
      </c>
      <c r="E452" s="4">
        <v>165</v>
      </c>
      <c r="F452" s="4" t="s">
        <v>18</v>
      </c>
      <c r="G452" s="4" t="s">
        <v>721</v>
      </c>
      <c r="H452" s="4" t="s">
        <v>722</v>
      </c>
      <c r="I452" s="4" t="s">
        <v>722</v>
      </c>
      <c r="J452" s="2" t="s">
        <v>723</v>
      </c>
      <c r="K452" s="4" t="s">
        <v>83</v>
      </c>
      <c r="L452" s="2" t="s">
        <v>724</v>
      </c>
      <c r="M452" s="3">
        <f t="shared" ref="M452:M454" si="31">48000*85%/2/C452</f>
        <v>850</v>
      </c>
      <c r="N452" s="2" t="str">
        <f>VLOOKUP(A452, zcorin_converter!A:L, 12, FALSE)</f>
        <v>RTD</v>
      </c>
      <c r="O452" s="3" t="s">
        <v>725</v>
      </c>
      <c r="P452" s="2" t="s">
        <v>726</v>
      </c>
    </row>
    <row r="453" spans="1:16">
      <c r="A453" s="11" t="s">
        <v>942</v>
      </c>
      <c r="B453" s="2" t="s">
        <v>943</v>
      </c>
      <c r="C453" s="4">
        <v>40</v>
      </c>
      <c r="D453" s="4">
        <f>(C453*E453/1000)*1.04</f>
        <v>4.3680000000000003</v>
      </c>
      <c r="E453" s="4">
        <v>105</v>
      </c>
      <c r="F453" s="4" t="s">
        <v>18</v>
      </c>
      <c r="G453" s="2" t="s">
        <v>721</v>
      </c>
      <c r="H453" s="4" t="s">
        <v>722</v>
      </c>
      <c r="I453" s="4" t="s">
        <v>722</v>
      </c>
      <c r="J453" s="2" t="s">
        <v>723</v>
      </c>
      <c r="K453" s="4" t="s">
        <v>83</v>
      </c>
      <c r="L453" s="2" t="s">
        <v>724</v>
      </c>
      <c r="M453" s="3">
        <f t="shared" si="31"/>
        <v>510</v>
      </c>
      <c r="N453" s="2" t="str">
        <f>VLOOKUP(A453, zcorin_converter!A:L, 12, FALSE)</f>
        <v>RTD</v>
      </c>
      <c r="O453" s="3" t="s">
        <v>725</v>
      </c>
      <c r="P453" s="2" t="s">
        <v>726</v>
      </c>
    </row>
    <row r="454" spans="1:16">
      <c r="A454" s="11" t="s">
        <v>944</v>
      </c>
      <c r="B454" s="2" t="s">
        <v>945</v>
      </c>
      <c r="C454" s="4">
        <v>24</v>
      </c>
      <c r="D454" s="4">
        <f>(C454*E454/1000)*1.04</f>
        <v>4.1184000000000003</v>
      </c>
      <c r="E454" s="4">
        <v>165</v>
      </c>
      <c r="F454" s="4" t="s">
        <v>18</v>
      </c>
      <c r="G454" s="4" t="s">
        <v>721</v>
      </c>
      <c r="H454" s="4" t="s">
        <v>722</v>
      </c>
      <c r="I454" s="4" t="s">
        <v>722</v>
      </c>
      <c r="J454" s="2" t="s">
        <v>723</v>
      </c>
      <c r="K454" s="4" t="s">
        <v>83</v>
      </c>
      <c r="L454" s="2" t="s">
        <v>724</v>
      </c>
      <c r="M454" s="3">
        <f t="shared" si="31"/>
        <v>850</v>
      </c>
      <c r="N454" s="2" t="str">
        <f>VLOOKUP(A454, zcorin_converter!A:L, 12, FALSE)</f>
        <v>RTD</v>
      </c>
      <c r="O454" s="3" t="s">
        <v>725</v>
      </c>
      <c r="P454" s="2" t="s">
        <v>726</v>
      </c>
    </row>
    <row r="455" spans="1:16">
      <c r="A455" s="11">
        <v>209062</v>
      </c>
      <c r="B455" s="2" t="s">
        <v>946</v>
      </c>
      <c r="C455" s="2">
        <v>24</v>
      </c>
      <c r="D455" s="2">
        <f t="shared" ref="D455:D462" si="32">E455*C455/1000</f>
        <v>9.6</v>
      </c>
      <c r="E455" s="2">
        <v>400</v>
      </c>
      <c r="F455" s="2" t="s">
        <v>18</v>
      </c>
      <c r="G455" s="2" t="s">
        <v>107</v>
      </c>
      <c r="H455" s="2" t="s">
        <v>394</v>
      </c>
      <c r="I455" s="2" t="s">
        <v>30</v>
      </c>
      <c r="J455" s="2" t="s">
        <v>22</v>
      </c>
      <c r="K455" s="2" t="s">
        <v>110</v>
      </c>
      <c r="L455" s="2" t="s">
        <v>47</v>
      </c>
      <c r="M455" s="2">
        <f>2600/24</f>
        <v>108.33333333333333</v>
      </c>
      <c r="N455" s="2" t="s">
        <v>947</v>
      </c>
      <c r="O455" s="2" t="s">
        <v>205</v>
      </c>
      <c r="P455" s="2" t="s">
        <v>25</v>
      </c>
    </row>
    <row r="456" spans="1:16">
      <c r="A456" s="11">
        <v>209061</v>
      </c>
      <c r="B456" s="2" t="s">
        <v>948</v>
      </c>
      <c r="C456" s="2">
        <v>10</v>
      </c>
      <c r="D456" s="2">
        <f t="shared" si="32"/>
        <v>8</v>
      </c>
      <c r="E456" s="2">
        <v>800</v>
      </c>
      <c r="F456" s="2" t="s">
        <v>18</v>
      </c>
      <c r="G456" s="4" t="s">
        <v>107</v>
      </c>
      <c r="H456" s="2" t="s">
        <v>394</v>
      </c>
      <c r="I456" s="2" t="s">
        <v>30</v>
      </c>
      <c r="J456" s="2" t="s">
        <v>22</v>
      </c>
      <c r="K456" s="2" t="s">
        <v>110</v>
      </c>
      <c r="L456" s="2" t="s">
        <v>47</v>
      </c>
      <c r="M456" s="2">
        <f>4000/24</f>
        <v>166.66666666666666</v>
      </c>
      <c r="N456" s="2" t="s">
        <v>947</v>
      </c>
      <c r="O456" s="2" t="s">
        <v>205</v>
      </c>
      <c r="P456" s="2" t="s">
        <v>25</v>
      </c>
    </row>
    <row r="457" spans="1:16">
      <c r="A457" s="11">
        <v>208971</v>
      </c>
      <c r="B457" s="2" t="s">
        <v>949</v>
      </c>
      <c r="C457" s="2">
        <v>10</v>
      </c>
      <c r="D457" s="2">
        <f t="shared" si="32"/>
        <v>8</v>
      </c>
      <c r="E457" s="2">
        <v>800</v>
      </c>
      <c r="F457" s="2" t="s">
        <v>18</v>
      </c>
      <c r="G457" s="2" t="s">
        <v>19</v>
      </c>
      <c r="H457" s="2" t="s">
        <v>41</v>
      </c>
      <c r="I457" s="2" t="s">
        <v>42</v>
      </c>
      <c r="J457" s="2" t="s">
        <v>42</v>
      </c>
      <c r="K457" s="2" t="s">
        <v>23</v>
      </c>
      <c r="L457" s="2" t="s">
        <v>24</v>
      </c>
      <c r="M457" s="2">
        <v>0</v>
      </c>
      <c r="N457" s="2" t="s">
        <v>947</v>
      </c>
      <c r="O457" s="2">
        <v>0</v>
      </c>
      <c r="P457" s="2" t="s">
        <v>25</v>
      </c>
    </row>
    <row r="458" spans="1:16">
      <c r="A458" s="11">
        <v>208970</v>
      </c>
      <c r="B458" s="2" t="s">
        <v>950</v>
      </c>
      <c r="C458" s="2">
        <v>24</v>
      </c>
      <c r="D458" s="2">
        <f t="shared" si="32"/>
        <v>9.6</v>
      </c>
      <c r="E458" s="2">
        <v>400</v>
      </c>
      <c r="F458" s="2" t="s">
        <v>18</v>
      </c>
      <c r="G458" s="2" t="s">
        <v>19</v>
      </c>
      <c r="H458" s="2" t="s">
        <v>36</v>
      </c>
      <c r="I458" s="2" t="s">
        <v>37</v>
      </c>
      <c r="J458" s="2" t="s">
        <v>38</v>
      </c>
      <c r="K458" s="2" t="s">
        <v>23</v>
      </c>
      <c r="L458" s="2" t="s">
        <v>24</v>
      </c>
      <c r="M458" s="2">
        <v>0</v>
      </c>
      <c r="N458" s="2" t="s">
        <v>947</v>
      </c>
      <c r="O458" s="2">
        <v>0</v>
      </c>
      <c r="P458" s="2" t="s">
        <v>25</v>
      </c>
    </row>
    <row r="459" spans="1:16">
      <c r="A459" s="11">
        <v>208969</v>
      </c>
      <c r="B459" s="2" t="s">
        <v>951</v>
      </c>
      <c r="C459" s="2">
        <v>10</v>
      </c>
      <c r="D459" s="2">
        <f t="shared" si="32"/>
        <v>8</v>
      </c>
      <c r="E459" s="2">
        <v>800</v>
      </c>
      <c r="F459" s="2" t="s">
        <v>18</v>
      </c>
      <c r="G459" s="2" t="s">
        <v>19</v>
      </c>
      <c r="H459" s="2" t="s">
        <v>36</v>
      </c>
      <c r="I459" s="2" t="s">
        <v>37</v>
      </c>
      <c r="J459" s="2" t="s">
        <v>38</v>
      </c>
      <c r="K459" s="2" t="s">
        <v>23</v>
      </c>
      <c r="L459" s="2" t="s">
        <v>24</v>
      </c>
      <c r="M459" s="2">
        <v>0</v>
      </c>
      <c r="N459" s="2" t="s">
        <v>947</v>
      </c>
      <c r="O459" s="2">
        <v>0</v>
      </c>
      <c r="P459" s="2" t="s">
        <v>25</v>
      </c>
    </row>
    <row r="460" spans="1:16">
      <c r="A460" s="11">
        <v>208972</v>
      </c>
      <c r="B460" s="2" t="s">
        <v>952</v>
      </c>
      <c r="C460" s="2">
        <v>24</v>
      </c>
      <c r="D460" s="2">
        <f t="shared" si="32"/>
        <v>9.6</v>
      </c>
      <c r="E460" s="2">
        <v>400</v>
      </c>
      <c r="F460" s="2" t="s">
        <v>18</v>
      </c>
      <c r="G460" s="2" t="s">
        <v>19</v>
      </c>
      <c r="H460" s="2" t="s">
        <v>41</v>
      </c>
      <c r="I460" s="2" t="s">
        <v>42</v>
      </c>
      <c r="J460" s="2" t="s">
        <v>42</v>
      </c>
      <c r="K460" s="2" t="s">
        <v>23</v>
      </c>
      <c r="L460" s="2" t="s">
        <v>24</v>
      </c>
      <c r="M460" s="2">
        <v>0</v>
      </c>
      <c r="N460" s="2" t="s">
        <v>947</v>
      </c>
      <c r="O460" s="2">
        <v>0</v>
      </c>
      <c r="P460" s="2" t="s">
        <v>25</v>
      </c>
    </row>
    <row r="461" spans="1:16">
      <c r="A461" s="11">
        <v>209068</v>
      </c>
      <c r="B461" s="2" t="s">
        <v>953</v>
      </c>
      <c r="C461" s="2">
        <v>24</v>
      </c>
      <c r="D461" s="2">
        <f t="shared" si="32"/>
        <v>9.6</v>
      </c>
      <c r="E461" s="2">
        <v>400</v>
      </c>
      <c r="F461" s="2" t="s">
        <v>18</v>
      </c>
      <c r="G461" s="2" t="s">
        <v>535</v>
      </c>
      <c r="H461" s="2" t="s">
        <v>698</v>
      </c>
      <c r="I461" s="2" t="s">
        <v>535</v>
      </c>
      <c r="J461" s="2" t="s">
        <v>22</v>
      </c>
      <c r="K461" s="2" t="s">
        <v>535</v>
      </c>
      <c r="L461" s="2" t="s">
        <v>24</v>
      </c>
      <c r="M461" s="2">
        <v>0</v>
      </c>
      <c r="N461" s="2" t="s">
        <v>954</v>
      </c>
      <c r="O461" s="2">
        <v>0</v>
      </c>
      <c r="P461" s="2" t="s">
        <v>25</v>
      </c>
    </row>
    <row r="462" spans="1:16">
      <c r="A462" s="11">
        <v>209069</v>
      </c>
      <c r="B462" s="2" t="s">
        <v>955</v>
      </c>
      <c r="C462" s="2">
        <v>12</v>
      </c>
      <c r="D462" s="2">
        <f t="shared" si="32"/>
        <v>9.6</v>
      </c>
      <c r="E462" s="2">
        <v>800</v>
      </c>
      <c r="F462" s="2" t="s">
        <v>18</v>
      </c>
      <c r="G462" s="2" t="s">
        <v>535</v>
      </c>
      <c r="H462" s="2" t="s">
        <v>698</v>
      </c>
      <c r="I462" s="2" t="s">
        <v>535</v>
      </c>
      <c r="J462" s="2" t="s">
        <v>22</v>
      </c>
      <c r="K462" s="2" t="s">
        <v>535</v>
      </c>
      <c r="L462" s="2" t="s">
        <v>24</v>
      </c>
      <c r="M462" s="2">
        <v>0</v>
      </c>
      <c r="N462" s="2" t="s">
        <v>954</v>
      </c>
      <c r="O462" s="2">
        <v>0</v>
      </c>
      <c r="P462" s="2" t="s">
        <v>25</v>
      </c>
    </row>
    <row r="463" spans="1:16">
      <c r="A463" s="11">
        <v>211316</v>
      </c>
      <c r="B463" s="2" t="s">
        <v>956</v>
      </c>
      <c r="C463" s="2">
        <v>12</v>
      </c>
      <c r="D463" s="2">
        <f t="shared" ref="D463:D470" si="33">C463*E463/1000</f>
        <v>9.6</v>
      </c>
      <c r="E463" s="2">
        <v>800</v>
      </c>
      <c r="F463" s="2" t="s">
        <v>147</v>
      </c>
      <c r="G463" s="2" t="s">
        <v>29</v>
      </c>
      <c r="H463" s="2" t="s">
        <v>29</v>
      </c>
      <c r="I463" s="2" t="s">
        <v>38</v>
      </c>
      <c r="J463" s="2" t="s">
        <v>38</v>
      </c>
      <c r="K463" s="2" t="s">
        <v>29</v>
      </c>
      <c r="L463" s="2" t="s">
        <v>24</v>
      </c>
      <c r="M463" s="2">
        <v>0</v>
      </c>
      <c r="N463" s="2" t="s">
        <v>954</v>
      </c>
      <c r="O463" s="2">
        <v>0</v>
      </c>
      <c r="P463" s="2" t="s">
        <v>25</v>
      </c>
    </row>
    <row r="464" spans="1:16">
      <c r="A464" s="11">
        <v>211315</v>
      </c>
      <c r="B464" s="2" t="s">
        <v>957</v>
      </c>
      <c r="C464" s="2">
        <v>12</v>
      </c>
      <c r="D464" s="2">
        <f t="shared" si="33"/>
        <v>9.6</v>
      </c>
      <c r="E464" s="2">
        <v>800</v>
      </c>
      <c r="F464" s="2" t="s">
        <v>147</v>
      </c>
      <c r="G464" s="2" t="s">
        <v>29</v>
      </c>
      <c r="H464" s="2" t="s">
        <v>29</v>
      </c>
      <c r="I464" s="2" t="s">
        <v>42</v>
      </c>
      <c r="J464" s="2" t="s">
        <v>42</v>
      </c>
      <c r="K464" s="2" t="s">
        <v>29</v>
      </c>
      <c r="L464" s="2" t="s">
        <v>24</v>
      </c>
      <c r="M464" s="2">
        <v>0</v>
      </c>
      <c r="N464" s="2" t="s">
        <v>954</v>
      </c>
      <c r="O464" s="2">
        <v>0</v>
      </c>
      <c r="P464" s="2" t="s">
        <v>25</v>
      </c>
    </row>
    <row r="465" spans="1:16">
      <c r="A465" s="11">
        <v>211321</v>
      </c>
      <c r="B465" s="2" t="s">
        <v>958</v>
      </c>
      <c r="C465" s="2">
        <v>12</v>
      </c>
      <c r="D465" s="2">
        <f t="shared" si="33"/>
        <v>9.6</v>
      </c>
      <c r="E465" s="2">
        <v>800</v>
      </c>
      <c r="F465" s="2" t="s">
        <v>147</v>
      </c>
      <c r="G465" s="4" t="s">
        <v>29</v>
      </c>
      <c r="H465" s="2" t="s">
        <v>29</v>
      </c>
      <c r="I465" s="2" t="s">
        <v>38</v>
      </c>
      <c r="J465" s="2" t="s">
        <v>38</v>
      </c>
      <c r="K465" s="2" t="s">
        <v>29</v>
      </c>
      <c r="L465" s="2" t="s">
        <v>24</v>
      </c>
      <c r="M465" s="2">
        <v>0</v>
      </c>
      <c r="N465" s="2" t="s">
        <v>954</v>
      </c>
      <c r="O465" s="2">
        <v>0</v>
      </c>
      <c r="P465" s="2" t="s">
        <v>25</v>
      </c>
    </row>
    <row r="466" spans="1:16">
      <c r="A466" s="11">
        <v>211319</v>
      </c>
      <c r="B466" s="2" t="s">
        <v>959</v>
      </c>
      <c r="C466" s="2">
        <v>12</v>
      </c>
      <c r="D466" s="2">
        <f t="shared" si="33"/>
        <v>9.6</v>
      </c>
      <c r="E466" s="2">
        <v>800</v>
      </c>
      <c r="F466" s="2" t="s">
        <v>147</v>
      </c>
      <c r="G466" s="4" t="s">
        <v>29</v>
      </c>
      <c r="H466" s="2" t="s">
        <v>29</v>
      </c>
      <c r="I466" s="2" t="s">
        <v>38</v>
      </c>
      <c r="J466" s="2" t="s">
        <v>42</v>
      </c>
      <c r="K466" s="2" t="s">
        <v>29</v>
      </c>
      <c r="L466" s="2" t="s">
        <v>24</v>
      </c>
      <c r="M466" s="2">
        <v>0</v>
      </c>
      <c r="N466" s="2" t="s">
        <v>954</v>
      </c>
      <c r="O466" s="2">
        <v>0</v>
      </c>
      <c r="P466" s="2" t="s">
        <v>25</v>
      </c>
    </row>
    <row r="467" spans="1:16">
      <c r="A467" s="11">
        <v>211451</v>
      </c>
      <c r="B467" s="2" t="s">
        <v>960</v>
      </c>
      <c r="C467" s="2">
        <v>12</v>
      </c>
      <c r="D467" s="2">
        <f t="shared" si="33"/>
        <v>9.6</v>
      </c>
      <c r="E467" s="2">
        <v>800</v>
      </c>
      <c r="F467" s="2" t="s">
        <v>50</v>
      </c>
      <c r="G467" s="2" t="s">
        <v>29</v>
      </c>
      <c r="H467" s="2" t="s">
        <v>29</v>
      </c>
      <c r="I467" s="2" t="s">
        <v>38</v>
      </c>
      <c r="J467" s="2" t="s">
        <v>38</v>
      </c>
      <c r="K467" s="2" t="s">
        <v>29</v>
      </c>
      <c r="L467" s="2" t="s">
        <v>24</v>
      </c>
      <c r="M467" s="2">
        <v>0</v>
      </c>
      <c r="N467" s="2" t="s">
        <v>954</v>
      </c>
      <c r="O467" s="2">
        <v>0</v>
      </c>
      <c r="P467" s="2" t="s">
        <v>25</v>
      </c>
    </row>
    <row r="468" spans="1:16">
      <c r="A468" s="11">
        <v>211450</v>
      </c>
      <c r="B468" s="2" t="s">
        <v>961</v>
      </c>
      <c r="C468" s="2">
        <v>12</v>
      </c>
      <c r="D468" s="2">
        <f t="shared" si="33"/>
        <v>9.6</v>
      </c>
      <c r="E468" s="2">
        <v>800</v>
      </c>
      <c r="F468" s="2" t="s">
        <v>50</v>
      </c>
      <c r="G468" s="2" t="s">
        <v>29</v>
      </c>
      <c r="H468" s="2" t="s">
        <v>29</v>
      </c>
      <c r="I468" s="2" t="s">
        <v>42</v>
      </c>
      <c r="J468" s="2" t="s">
        <v>42</v>
      </c>
      <c r="K468" s="2" t="s">
        <v>29</v>
      </c>
      <c r="L468" s="2" t="s">
        <v>24</v>
      </c>
      <c r="M468" s="2">
        <v>0</v>
      </c>
      <c r="N468" s="2" t="s">
        <v>954</v>
      </c>
      <c r="O468" s="2">
        <v>0</v>
      </c>
      <c r="P468" s="2" t="s">
        <v>25</v>
      </c>
    </row>
    <row r="469" spans="1:16">
      <c r="A469" s="11">
        <v>211314</v>
      </c>
      <c r="B469" s="2" t="s">
        <v>962</v>
      </c>
      <c r="C469" s="2">
        <v>12</v>
      </c>
      <c r="D469" s="2">
        <f t="shared" si="33"/>
        <v>9.6</v>
      </c>
      <c r="E469" s="2">
        <v>800</v>
      </c>
      <c r="F469" s="2" t="s">
        <v>147</v>
      </c>
      <c r="G469" s="4" t="s">
        <v>29</v>
      </c>
      <c r="H469" s="2" t="s">
        <v>29</v>
      </c>
      <c r="I469" s="2" t="s">
        <v>156</v>
      </c>
      <c r="J469" s="2" t="s">
        <v>156</v>
      </c>
      <c r="K469" s="2" t="s">
        <v>29</v>
      </c>
      <c r="L469" s="2" t="s">
        <v>24</v>
      </c>
      <c r="M469" s="2">
        <v>0</v>
      </c>
      <c r="N469" s="2" t="s">
        <v>954</v>
      </c>
      <c r="O469" s="2">
        <v>0</v>
      </c>
      <c r="P469" s="2" t="s">
        <v>25</v>
      </c>
    </row>
    <row r="470" spans="1:16">
      <c r="A470" s="11">
        <v>211320</v>
      </c>
      <c r="B470" s="2" t="s">
        <v>963</v>
      </c>
      <c r="C470" s="2">
        <v>12</v>
      </c>
      <c r="D470" s="2">
        <f t="shared" si="33"/>
        <v>9.6</v>
      </c>
      <c r="E470" s="2">
        <v>800</v>
      </c>
      <c r="F470" s="2" t="s">
        <v>147</v>
      </c>
      <c r="G470" s="4" t="s">
        <v>29</v>
      </c>
      <c r="H470" s="2" t="s">
        <v>29</v>
      </c>
      <c r="I470" s="2" t="s">
        <v>156</v>
      </c>
      <c r="J470" s="2" t="s">
        <v>156</v>
      </c>
      <c r="K470" s="2" t="s">
        <v>29</v>
      </c>
      <c r="L470" s="2" t="s">
        <v>24</v>
      </c>
      <c r="M470" s="2">
        <v>0</v>
      </c>
      <c r="N470" s="2" t="s">
        <v>954</v>
      </c>
      <c r="O470" s="2">
        <v>0</v>
      </c>
      <c r="P470" s="2" t="s">
        <v>25</v>
      </c>
    </row>
    <row r="471" spans="1:16">
      <c r="A471" s="11">
        <v>205309</v>
      </c>
      <c r="B471" s="2" t="s">
        <v>964</v>
      </c>
      <c r="C471" s="2">
        <v>24</v>
      </c>
      <c r="D471" s="2">
        <f t="shared" ref="D471:D497" si="34">E471*C471/1000</f>
        <v>9.6</v>
      </c>
      <c r="E471" s="2">
        <v>400</v>
      </c>
      <c r="F471" s="2" t="s">
        <v>18</v>
      </c>
      <c r="G471" s="2" t="s">
        <v>19</v>
      </c>
      <c r="H471" s="2" t="s">
        <v>20</v>
      </c>
      <c r="I471" s="2" t="s">
        <v>30</v>
      </c>
      <c r="J471" s="2" t="s">
        <v>22</v>
      </c>
      <c r="K471" s="2" t="s">
        <v>23</v>
      </c>
      <c r="L471" s="2" t="s">
        <v>24</v>
      </c>
      <c r="M471" s="2">
        <v>0</v>
      </c>
      <c r="N471" s="2" t="s">
        <v>954</v>
      </c>
      <c r="O471" s="2">
        <v>0</v>
      </c>
      <c r="P471" s="2" t="s">
        <v>25</v>
      </c>
    </row>
    <row r="472" spans="1:16">
      <c r="A472" s="11">
        <v>213164</v>
      </c>
      <c r="B472" s="2" t="s">
        <v>965</v>
      </c>
      <c r="C472" s="2">
        <v>12</v>
      </c>
      <c r="D472" s="2">
        <f t="shared" si="34"/>
        <v>7.2</v>
      </c>
      <c r="E472" s="2">
        <v>600</v>
      </c>
      <c r="F472" s="2" t="s">
        <v>18</v>
      </c>
      <c r="G472" s="4" t="s">
        <v>80</v>
      </c>
      <c r="H472" s="2" t="s">
        <v>81</v>
      </c>
      <c r="I472" s="2" t="s">
        <v>82</v>
      </c>
      <c r="J472" s="2" t="s">
        <v>38</v>
      </c>
      <c r="K472" s="2" t="s">
        <v>83</v>
      </c>
      <c r="L472" s="2" t="s">
        <v>24</v>
      </c>
      <c r="M472" s="2">
        <v>0</v>
      </c>
      <c r="N472" s="2" t="s">
        <v>947</v>
      </c>
      <c r="O472" s="2">
        <v>0</v>
      </c>
      <c r="P472" s="2" t="s">
        <v>25</v>
      </c>
    </row>
    <row r="473" spans="1:16">
      <c r="A473" s="11">
        <v>213158</v>
      </c>
      <c r="B473" s="2" t="s">
        <v>966</v>
      </c>
      <c r="C473" s="2">
        <v>10</v>
      </c>
      <c r="D473" s="2">
        <f t="shared" si="34"/>
        <v>7.75</v>
      </c>
      <c r="E473" s="2">
        <v>775</v>
      </c>
      <c r="F473" s="2" t="s">
        <v>18</v>
      </c>
      <c r="G473" s="4" t="s">
        <v>80</v>
      </c>
      <c r="H473" s="2" t="s">
        <v>81</v>
      </c>
      <c r="I473" s="2" t="s">
        <v>82</v>
      </c>
      <c r="J473" s="2" t="s">
        <v>38</v>
      </c>
      <c r="K473" s="2" t="s">
        <v>83</v>
      </c>
      <c r="L473" s="2" t="s">
        <v>24</v>
      </c>
      <c r="M473" s="2">
        <v>0</v>
      </c>
      <c r="N473" s="2" t="s">
        <v>947</v>
      </c>
      <c r="O473" s="2">
        <v>0</v>
      </c>
      <c r="P473" s="2" t="s">
        <v>25</v>
      </c>
    </row>
    <row r="474" spans="1:16">
      <c r="A474" s="11">
        <v>213160</v>
      </c>
      <c r="B474" s="2" t="s">
        <v>967</v>
      </c>
      <c r="C474" s="2">
        <v>12</v>
      </c>
      <c r="D474" s="2">
        <f t="shared" si="34"/>
        <v>7.2</v>
      </c>
      <c r="E474" s="2">
        <v>600</v>
      </c>
      <c r="F474" s="2" t="s">
        <v>18</v>
      </c>
      <c r="G474" s="4" t="s">
        <v>80</v>
      </c>
      <c r="H474" s="2" t="s">
        <v>92</v>
      </c>
      <c r="I474" s="2" t="s">
        <v>93</v>
      </c>
      <c r="J474" s="2" t="s">
        <v>42</v>
      </c>
      <c r="K474" s="2" t="s">
        <v>83</v>
      </c>
      <c r="L474" s="2" t="s">
        <v>24</v>
      </c>
      <c r="M474" s="2">
        <v>0</v>
      </c>
      <c r="N474" s="2" t="s">
        <v>947</v>
      </c>
      <c r="O474" s="2">
        <v>0</v>
      </c>
      <c r="P474" s="2" t="s">
        <v>25</v>
      </c>
    </row>
    <row r="475" spans="1:16">
      <c r="A475" s="11">
        <v>213157</v>
      </c>
      <c r="B475" s="2" t="s">
        <v>968</v>
      </c>
      <c r="C475" s="2">
        <v>10</v>
      </c>
      <c r="D475" s="2">
        <f t="shared" si="34"/>
        <v>7.75</v>
      </c>
      <c r="E475" s="2">
        <v>775</v>
      </c>
      <c r="F475" s="2" t="s">
        <v>18</v>
      </c>
      <c r="G475" s="4" t="s">
        <v>80</v>
      </c>
      <c r="H475" s="2" t="s">
        <v>92</v>
      </c>
      <c r="I475" s="2" t="s">
        <v>93</v>
      </c>
      <c r="J475" s="2" t="s">
        <v>42</v>
      </c>
      <c r="K475" s="2" t="s">
        <v>83</v>
      </c>
      <c r="L475" s="2" t="s">
        <v>24</v>
      </c>
      <c r="M475" s="2">
        <v>0</v>
      </c>
      <c r="N475" s="2" t="s">
        <v>947</v>
      </c>
      <c r="O475" s="2">
        <v>0</v>
      </c>
      <c r="P475" s="2" t="s">
        <v>25</v>
      </c>
    </row>
    <row r="476" spans="1:16">
      <c r="A476" s="11">
        <v>213930</v>
      </c>
      <c r="B476" s="2" t="s">
        <v>969</v>
      </c>
      <c r="C476" s="2">
        <v>10</v>
      </c>
      <c r="D476" s="2">
        <f t="shared" si="34"/>
        <v>7.75</v>
      </c>
      <c r="E476" s="2">
        <v>775</v>
      </c>
      <c r="F476" s="2" t="s">
        <v>18</v>
      </c>
      <c r="G476" s="4" t="s">
        <v>80</v>
      </c>
      <c r="H476" s="2" t="s">
        <v>551</v>
      </c>
      <c r="I476" s="2" t="s">
        <v>238</v>
      </c>
      <c r="J476" s="2" t="s">
        <v>156</v>
      </c>
      <c r="K476" s="2" t="s">
        <v>83</v>
      </c>
      <c r="L476" s="2" t="s">
        <v>47</v>
      </c>
      <c r="M476" s="2">
        <f>5000/24</f>
        <v>208.33333333333334</v>
      </c>
      <c r="N476" s="2" t="s">
        <v>947</v>
      </c>
      <c r="O476" s="2" t="s">
        <v>216</v>
      </c>
      <c r="P476" s="2" t="s">
        <v>25</v>
      </c>
    </row>
    <row r="477" spans="1:16">
      <c r="A477" s="11">
        <v>213929</v>
      </c>
      <c r="B477" s="2" t="s">
        <v>970</v>
      </c>
      <c r="C477" s="2">
        <v>10</v>
      </c>
      <c r="D477" s="2">
        <f t="shared" si="34"/>
        <v>7.75</v>
      </c>
      <c r="E477" s="2">
        <v>775</v>
      </c>
      <c r="F477" s="2" t="s">
        <v>18</v>
      </c>
      <c r="G477" s="4" t="s">
        <v>80</v>
      </c>
      <c r="H477" s="2" t="s">
        <v>551</v>
      </c>
      <c r="I477" s="2" t="s">
        <v>238</v>
      </c>
      <c r="J477" s="2" t="s">
        <v>156</v>
      </c>
      <c r="K477" s="2" t="s">
        <v>83</v>
      </c>
      <c r="L477" s="2" t="s">
        <v>47</v>
      </c>
      <c r="M477" s="2">
        <f t="shared" ref="M477:M479" si="35">5000/24</f>
        <v>208.33333333333334</v>
      </c>
      <c r="N477" s="2" t="s">
        <v>947</v>
      </c>
      <c r="O477" s="2" t="s">
        <v>216</v>
      </c>
      <c r="P477" s="2" t="s">
        <v>25</v>
      </c>
    </row>
    <row r="478" spans="1:16">
      <c r="A478" s="11">
        <v>213942</v>
      </c>
      <c r="B478" s="2" t="s">
        <v>971</v>
      </c>
      <c r="C478" s="2">
        <v>10</v>
      </c>
      <c r="D478" s="2">
        <f t="shared" si="34"/>
        <v>7.75</v>
      </c>
      <c r="E478" s="2">
        <v>775</v>
      </c>
      <c r="F478" s="2" t="s">
        <v>18</v>
      </c>
      <c r="G478" s="4" t="s">
        <v>80</v>
      </c>
      <c r="H478" s="2" t="s">
        <v>556</v>
      </c>
      <c r="I478" s="2" t="s">
        <v>238</v>
      </c>
      <c r="J478" s="2" t="s">
        <v>156</v>
      </c>
      <c r="K478" s="2" t="s">
        <v>83</v>
      </c>
      <c r="L478" s="2" t="s">
        <v>47</v>
      </c>
      <c r="M478" s="2">
        <f t="shared" si="35"/>
        <v>208.33333333333334</v>
      </c>
      <c r="N478" s="2" t="s">
        <v>947</v>
      </c>
      <c r="O478" s="2" t="s">
        <v>216</v>
      </c>
      <c r="P478" s="2" t="s">
        <v>25</v>
      </c>
    </row>
    <row r="479" spans="1:16">
      <c r="A479" s="11">
        <v>213941</v>
      </c>
      <c r="B479" s="2" t="s">
        <v>972</v>
      </c>
      <c r="C479" s="2">
        <v>10</v>
      </c>
      <c r="D479" s="2">
        <f t="shared" si="34"/>
        <v>7.75</v>
      </c>
      <c r="E479" s="2">
        <v>775</v>
      </c>
      <c r="F479" s="2" t="s">
        <v>18</v>
      </c>
      <c r="G479" s="4" t="s">
        <v>80</v>
      </c>
      <c r="H479" s="2" t="s">
        <v>556</v>
      </c>
      <c r="I479" s="2" t="s">
        <v>238</v>
      </c>
      <c r="J479" s="2" t="s">
        <v>156</v>
      </c>
      <c r="K479" s="2" t="s">
        <v>83</v>
      </c>
      <c r="L479" s="2" t="s">
        <v>47</v>
      </c>
      <c r="M479" s="2">
        <f t="shared" si="35"/>
        <v>208.33333333333334</v>
      </c>
      <c r="N479" s="2" t="s">
        <v>947</v>
      </c>
      <c r="O479" s="2" t="s">
        <v>216</v>
      </c>
      <c r="P479" s="2" t="s">
        <v>25</v>
      </c>
    </row>
    <row r="480" spans="1:16">
      <c r="A480" s="11">
        <v>209065</v>
      </c>
      <c r="B480" s="2" t="s">
        <v>973</v>
      </c>
      <c r="C480" s="2">
        <v>24</v>
      </c>
      <c r="D480" s="2">
        <f t="shared" si="34"/>
        <v>9.6</v>
      </c>
      <c r="E480" s="2">
        <v>400</v>
      </c>
      <c r="F480" s="2" t="s">
        <v>18</v>
      </c>
      <c r="G480" s="2" t="s">
        <v>19</v>
      </c>
      <c r="H480" s="2" t="s">
        <v>36</v>
      </c>
      <c r="I480" s="2" t="s">
        <v>37</v>
      </c>
      <c r="J480" s="2" t="s">
        <v>38</v>
      </c>
      <c r="K480" s="2" t="s">
        <v>23</v>
      </c>
      <c r="L480" s="2" t="s">
        <v>24</v>
      </c>
      <c r="M480" s="2">
        <v>0</v>
      </c>
      <c r="N480" s="2" t="s">
        <v>947</v>
      </c>
      <c r="O480" s="2">
        <v>0</v>
      </c>
      <c r="P480" s="2" t="s">
        <v>25</v>
      </c>
    </row>
    <row r="481" spans="1:16">
      <c r="A481" s="11">
        <v>209066</v>
      </c>
      <c r="B481" s="2" t="s">
        <v>974</v>
      </c>
      <c r="C481" s="2">
        <v>24</v>
      </c>
      <c r="D481" s="2">
        <f t="shared" si="34"/>
        <v>9.6</v>
      </c>
      <c r="E481" s="2">
        <v>400</v>
      </c>
      <c r="F481" s="2" t="s">
        <v>18</v>
      </c>
      <c r="G481" s="2" t="s">
        <v>19</v>
      </c>
      <c r="H481" s="2" t="s">
        <v>41</v>
      </c>
      <c r="I481" s="2" t="s">
        <v>42</v>
      </c>
      <c r="J481" s="2" t="s">
        <v>42</v>
      </c>
      <c r="K481" s="2" t="s">
        <v>23</v>
      </c>
      <c r="L481" s="2" t="s">
        <v>24</v>
      </c>
      <c r="M481" s="2">
        <v>0</v>
      </c>
      <c r="N481" s="2" t="s">
        <v>947</v>
      </c>
      <c r="O481" s="2">
        <v>0</v>
      </c>
      <c r="P481" s="2" t="s">
        <v>25</v>
      </c>
    </row>
    <row r="482" spans="1:16">
      <c r="A482" s="11">
        <v>213731</v>
      </c>
      <c r="B482" s="2" t="s">
        <v>975</v>
      </c>
      <c r="C482" s="2">
        <v>10</v>
      </c>
      <c r="D482" s="2">
        <f t="shared" si="34"/>
        <v>8</v>
      </c>
      <c r="E482" s="2">
        <v>800</v>
      </c>
      <c r="F482" s="2" t="s">
        <v>18</v>
      </c>
      <c r="G482" s="2" t="s">
        <v>19</v>
      </c>
      <c r="H482" s="2" t="s">
        <v>36</v>
      </c>
      <c r="I482" s="2" t="s">
        <v>37</v>
      </c>
      <c r="J482" s="2" t="s">
        <v>38</v>
      </c>
      <c r="K482" s="2" t="s">
        <v>23</v>
      </c>
      <c r="L482" s="2" t="s">
        <v>24</v>
      </c>
      <c r="M482" s="2">
        <v>0</v>
      </c>
      <c r="N482" s="2" t="s">
        <v>947</v>
      </c>
      <c r="O482" s="2">
        <v>0</v>
      </c>
      <c r="P482" s="2" t="s">
        <v>25</v>
      </c>
    </row>
    <row r="483" spans="1:16">
      <c r="A483" s="11">
        <v>213732</v>
      </c>
      <c r="B483" s="2" t="s">
        <v>976</v>
      </c>
      <c r="C483" s="2">
        <v>10</v>
      </c>
      <c r="D483" s="2">
        <f t="shared" si="34"/>
        <v>8</v>
      </c>
      <c r="E483" s="2">
        <v>800</v>
      </c>
      <c r="F483" s="2" t="s">
        <v>18</v>
      </c>
      <c r="G483" s="2" t="s">
        <v>19</v>
      </c>
      <c r="H483" s="2" t="s">
        <v>41</v>
      </c>
      <c r="I483" s="2" t="s">
        <v>42</v>
      </c>
      <c r="J483" s="2" t="s">
        <v>42</v>
      </c>
      <c r="K483" s="2" t="s">
        <v>23</v>
      </c>
      <c r="L483" s="2" t="s">
        <v>24</v>
      </c>
      <c r="M483" s="2">
        <v>0</v>
      </c>
      <c r="N483" s="2" t="s">
        <v>947</v>
      </c>
      <c r="O483" s="2">
        <v>0</v>
      </c>
      <c r="P483" s="2" t="s">
        <v>25</v>
      </c>
    </row>
    <row r="484" spans="1:16">
      <c r="A484" s="11">
        <v>193901</v>
      </c>
      <c r="B484" s="2" t="s">
        <v>977</v>
      </c>
      <c r="C484" s="2">
        <v>12</v>
      </c>
      <c r="D484" s="2">
        <f t="shared" si="34"/>
        <v>9.6</v>
      </c>
      <c r="E484" s="2">
        <v>800</v>
      </c>
      <c r="F484" s="2" t="s">
        <v>18</v>
      </c>
      <c r="G484" s="2" t="s">
        <v>19</v>
      </c>
      <c r="H484" s="2" t="s">
        <v>167</v>
      </c>
      <c r="I484" s="2" t="s">
        <v>156</v>
      </c>
      <c r="J484" s="2" t="s">
        <v>156</v>
      </c>
      <c r="K484" s="2" t="s">
        <v>23</v>
      </c>
      <c r="L484" s="2" t="s">
        <v>24</v>
      </c>
      <c r="M484" s="2">
        <v>0</v>
      </c>
      <c r="N484" s="2" t="s">
        <v>954</v>
      </c>
      <c r="O484" s="2">
        <v>0</v>
      </c>
      <c r="P484" s="2" t="s">
        <v>25</v>
      </c>
    </row>
    <row r="485" spans="1:16">
      <c r="A485" s="11">
        <v>193902</v>
      </c>
      <c r="B485" s="2" t="s">
        <v>978</v>
      </c>
      <c r="C485" s="2">
        <v>24</v>
      </c>
      <c r="D485" s="2">
        <f t="shared" si="34"/>
        <v>9.6</v>
      </c>
      <c r="E485" s="2">
        <v>400</v>
      </c>
      <c r="F485" s="2" t="s">
        <v>18</v>
      </c>
      <c r="G485" s="2" t="s">
        <v>19</v>
      </c>
      <c r="H485" s="2" t="s">
        <v>167</v>
      </c>
      <c r="I485" s="2" t="s">
        <v>156</v>
      </c>
      <c r="J485" s="2" t="s">
        <v>156</v>
      </c>
      <c r="K485" s="2" t="s">
        <v>23</v>
      </c>
      <c r="L485" s="2" t="s">
        <v>24</v>
      </c>
      <c r="M485" s="2">
        <v>0</v>
      </c>
      <c r="N485" s="2" t="s">
        <v>947</v>
      </c>
      <c r="O485" s="2">
        <v>0</v>
      </c>
      <c r="P485" s="2" t="s">
        <v>25</v>
      </c>
    </row>
    <row r="486" spans="1:16">
      <c r="A486" s="11">
        <v>193897</v>
      </c>
      <c r="B486" s="2" t="s">
        <v>979</v>
      </c>
      <c r="C486" s="2">
        <v>6</v>
      </c>
      <c r="D486" s="2">
        <f t="shared" si="34"/>
        <v>10.8</v>
      </c>
      <c r="E486" s="2">
        <v>1800</v>
      </c>
      <c r="F486" s="2" t="s">
        <v>18</v>
      </c>
      <c r="G486" s="2" t="s">
        <v>19</v>
      </c>
      <c r="H486" s="2" t="s">
        <v>167</v>
      </c>
      <c r="I486" s="2" t="s">
        <v>156</v>
      </c>
      <c r="J486" s="2" t="s">
        <v>156</v>
      </c>
      <c r="K486" s="2" t="s">
        <v>23</v>
      </c>
      <c r="L486" s="2" t="s">
        <v>24</v>
      </c>
      <c r="M486" s="2">
        <v>0</v>
      </c>
      <c r="N486" s="2" t="s">
        <v>947</v>
      </c>
      <c r="O486" s="2">
        <v>0</v>
      </c>
      <c r="P486" s="2" t="s">
        <v>25</v>
      </c>
    </row>
    <row r="487" spans="1:16">
      <c r="A487" s="11">
        <v>193904</v>
      </c>
      <c r="B487" s="2" t="s">
        <v>980</v>
      </c>
      <c r="C487" s="2">
        <v>12</v>
      </c>
      <c r="D487" s="2">
        <f t="shared" si="34"/>
        <v>9.6</v>
      </c>
      <c r="E487" s="2">
        <v>800</v>
      </c>
      <c r="F487" s="2" t="s">
        <v>18</v>
      </c>
      <c r="G487" s="2" t="s">
        <v>19</v>
      </c>
      <c r="H487" s="2" t="s">
        <v>167</v>
      </c>
      <c r="I487" s="2" t="s">
        <v>156</v>
      </c>
      <c r="J487" s="2" t="s">
        <v>156</v>
      </c>
      <c r="K487" s="2" t="s">
        <v>23</v>
      </c>
      <c r="L487" s="2" t="s">
        <v>24</v>
      </c>
      <c r="M487" s="2">
        <v>0</v>
      </c>
      <c r="N487" s="2" t="s">
        <v>954</v>
      </c>
      <c r="O487" s="2">
        <v>0</v>
      </c>
      <c r="P487" s="2" t="s">
        <v>25</v>
      </c>
    </row>
    <row r="488" spans="1:16">
      <c r="A488" s="11">
        <v>193906</v>
      </c>
      <c r="B488" s="2" t="s">
        <v>981</v>
      </c>
      <c r="C488" s="2">
        <v>24</v>
      </c>
      <c r="D488" s="2">
        <f t="shared" si="34"/>
        <v>9.6</v>
      </c>
      <c r="E488" s="2">
        <v>400</v>
      </c>
      <c r="F488" s="2" t="s">
        <v>18</v>
      </c>
      <c r="G488" s="2" t="s">
        <v>19</v>
      </c>
      <c r="H488" s="2" t="s">
        <v>167</v>
      </c>
      <c r="I488" s="2" t="s">
        <v>156</v>
      </c>
      <c r="J488" s="2" t="s">
        <v>156</v>
      </c>
      <c r="K488" s="2" t="s">
        <v>23</v>
      </c>
      <c r="L488" s="2" t="s">
        <v>24</v>
      </c>
      <c r="M488" s="2">
        <v>0</v>
      </c>
      <c r="N488" s="2" t="s">
        <v>947</v>
      </c>
      <c r="O488" s="2">
        <v>0</v>
      </c>
      <c r="P488" s="2" t="s">
        <v>25</v>
      </c>
    </row>
    <row r="489" spans="1:16">
      <c r="A489" s="11">
        <v>193903</v>
      </c>
      <c r="B489" s="2" t="s">
        <v>982</v>
      </c>
      <c r="C489" s="2">
        <v>6</v>
      </c>
      <c r="D489" s="2">
        <f t="shared" si="34"/>
        <v>10.8</v>
      </c>
      <c r="E489" s="2">
        <v>1800</v>
      </c>
      <c r="F489" s="2" t="s">
        <v>18</v>
      </c>
      <c r="G489" s="2" t="s">
        <v>19</v>
      </c>
      <c r="H489" s="2" t="s">
        <v>167</v>
      </c>
      <c r="I489" s="2" t="s">
        <v>156</v>
      </c>
      <c r="J489" s="2" t="s">
        <v>156</v>
      </c>
      <c r="K489" s="2" t="s">
        <v>23</v>
      </c>
      <c r="L489" s="2" t="s">
        <v>24</v>
      </c>
      <c r="M489" s="2">
        <v>0</v>
      </c>
      <c r="N489" s="2" t="s">
        <v>947</v>
      </c>
      <c r="O489" s="2">
        <v>0</v>
      </c>
      <c r="P489" s="2" t="s">
        <v>25</v>
      </c>
    </row>
    <row r="490" spans="1:16">
      <c r="A490" s="11">
        <v>193837</v>
      </c>
      <c r="B490" s="2" t="s">
        <v>983</v>
      </c>
      <c r="C490" s="2">
        <v>12</v>
      </c>
      <c r="D490" s="2">
        <f t="shared" si="34"/>
        <v>9.6</v>
      </c>
      <c r="E490" s="2">
        <v>800</v>
      </c>
      <c r="F490" s="2" t="s">
        <v>18</v>
      </c>
      <c r="G490" s="2" t="s">
        <v>19</v>
      </c>
      <c r="H490" s="2" t="s">
        <v>170</v>
      </c>
      <c r="I490" s="2" t="s">
        <v>156</v>
      </c>
      <c r="J490" s="2" t="s">
        <v>156</v>
      </c>
      <c r="K490" s="2" t="s">
        <v>23</v>
      </c>
      <c r="L490" s="2" t="s">
        <v>24</v>
      </c>
      <c r="M490" s="2">
        <v>0</v>
      </c>
      <c r="N490" s="2" t="s">
        <v>954</v>
      </c>
      <c r="O490" s="2">
        <v>0</v>
      </c>
      <c r="P490" s="2" t="s">
        <v>25</v>
      </c>
    </row>
    <row r="491" spans="1:16">
      <c r="A491" s="11">
        <v>193898</v>
      </c>
      <c r="B491" s="2" t="s">
        <v>984</v>
      </c>
      <c r="C491" s="2">
        <v>12</v>
      </c>
      <c r="D491" s="2">
        <f t="shared" si="34"/>
        <v>9.6</v>
      </c>
      <c r="E491" s="2">
        <v>800</v>
      </c>
      <c r="F491" s="2" t="s">
        <v>18</v>
      </c>
      <c r="G491" s="2" t="s">
        <v>19</v>
      </c>
      <c r="H491" s="2" t="s">
        <v>170</v>
      </c>
      <c r="I491" s="2" t="s">
        <v>156</v>
      </c>
      <c r="J491" s="2" t="s">
        <v>156</v>
      </c>
      <c r="K491" s="2" t="s">
        <v>23</v>
      </c>
      <c r="L491" s="2" t="s">
        <v>24</v>
      </c>
      <c r="M491" s="2">
        <v>0</v>
      </c>
      <c r="N491" s="2" t="s">
        <v>954</v>
      </c>
      <c r="O491" s="2">
        <v>0</v>
      </c>
      <c r="P491" s="2" t="s">
        <v>25</v>
      </c>
    </row>
    <row r="492" spans="1:16">
      <c r="A492" s="11">
        <v>193899</v>
      </c>
      <c r="B492" s="2" t="s">
        <v>985</v>
      </c>
      <c r="C492" s="2">
        <v>24</v>
      </c>
      <c r="D492" s="2">
        <f t="shared" si="34"/>
        <v>9.6</v>
      </c>
      <c r="E492" s="2">
        <v>400</v>
      </c>
      <c r="F492" s="2" t="s">
        <v>18</v>
      </c>
      <c r="G492" s="2" t="s">
        <v>19</v>
      </c>
      <c r="H492" s="2" t="s">
        <v>170</v>
      </c>
      <c r="I492" s="2" t="s">
        <v>156</v>
      </c>
      <c r="J492" s="2" t="s">
        <v>156</v>
      </c>
      <c r="K492" s="2" t="s">
        <v>23</v>
      </c>
      <c r="L492" s="2" t="s">
        <v>24</v>
      </c>
      <c r="M492" s="2">
        <v>0</v>
      </c>
      <c r="N492" s="2" t="s">
        <v>947</v>
      </c>
      <c r="O492" s="2">
        <v>0</v>
      </c>
      <c r="P492" s="2" t="s">
        <v>25</v>
      </c>
    </row>
    <row r="493" spans="1:16">
      <c r="A493" s="11">
        <v>193907</v>
      </c>
      <c r="B493" s="2" t="s">
        <v>986</v>
      </c>
      <c r="C493" s="2">
        <v>6</v>
      </c>
      <c r="D493" s="2">
        <f t="shared" si="34"/>
        <v>10.8</v>
      </c>
      <c r="E493" s="2">
        <v>1800</v>
      </c>
      <c r="F493" s="2" t="s">
        <v>18</v>
      </c>
      <c r="G493" s="2" t="s">
        <v>19</v>
      </c>
      <c r="H493" s="2" t="s">
        <v>170</v>
      </c>
      <c r="I493" s="2" t="s">
        <v>156</v>
      </c>
      <c r="J493" s="2" t="s">
        <v>156</v>
      </c>
      <c r="K493" s="2" t="s">
        <v>23</v>
      </c>
      <c r="L493" s="2" t="s">
        <v>24</v>
      </c>
      <c r="M493" s="2">
        <v>0</v>
      </c>
      <c r="N493" s="2" t="s">
        <v>947</v>
      </c>
      <c r="O493" s="2">
        <v>0</v>
      </c>
      <c r="P493" s="2" t="s">
        <v>25</v>
      </c>
    </row>
    <row r="494" spans="1:16">
      <c r="A494" s="11">
        <v>213733</v>
      </c>
      <c r="B494" s="2" t="s">
        <v>987</v>
      </c>
      <c r="C494" s="2">
        <v>24</v>
      </c>
      <c r="D494" s="2">
        <f t="shared" si="34"/>
        <v>9.6</v>
      </c>
      <c r="E494" s="2">
        <v>400</v>
      </c>
      <c r="F494" s="2" t="s">
        <v>18</v>
      </c>
      <c r="G494" s="2" t="s">
        <v>19</v>
      </c>
      <c r="H494" s="2" t="s">
        <v>20</v>
      </c>
      <c r="I494" s="2" t="s">
        <v>38</v>
      </c>
      <c r="J494" s="2" t="s">
        <v>38</v>
      </c>
      <c r="K494" s="2" t="s">
        <v>23</v>
      </c>
      <c r="L494" s="2" t="s">
        <v>24</v>
      </c>
      <c r="M494" s="2">
        <v>0</v>
      </c>
      <c r="N494" s="2" t="s">
        <v>947</v>
      </c>
      <c r="O494" s="2">
        <v>0</v>
      </c>
      <c r="P494" s="2" t="s">
        <v>25</v>
      </c>
    </row>
    <row r="495" spans="1:16">
      <c r="A495" s="11">
        <v>213734</v>
      </c>
      <c r="B495" s="2" t="s">
        <v>988</v>
      </c>
      <c r="C495" s="2">
        <v>10</v>
      </c>
      <c r="D495" s="2">
        <f t="shared" si="34"/>
        <v>8</v>
      </c>
      <c r="E495" s="2">
        <v>800</v>
      </c>
      <c r="F495" s="2" t="s">
        <v>18</v>
      </c>
      <c r="G495" s="2" t="s">
        <v>19</v>
      </c>
      <c r="H495" s="2" t="s">
        <v>20</v>
      </c>
      <c r="I495" s="2" t="s">
        <v>38</v>
      </c>
      <c r="J495" s="2" t="s">
        <v>38</v>
      </c>
      <c r="K495" s="2" t="s">
        <v>23</v>
      </c>
      <c r="L495" s="2" t="s">
        <v>24</v>
      </c>
      <c r="M495" s="2">
        <v>0</v>
      </c>
      <c r="N495" s="2" t="s">
        <v>947</v>
      </c>
      <c r="O495" s="2">
        <v>0</v>
      </c>
      <c r="P495" s="2" t="s">
        <v>25</v>
      </c>
    </row>
    <row r="496" spans="1:16">
      <c r="A496" s="11">
        <v>213735</v>
      </c>
      <c r="B496" s="2" t="s">
        <v>989</v>
      </c>
      <c r="C496" s="2">
        <v>12</v>
      </c>
      <c r="D496" s="2">
        <f t="shared" si="34"/>
        <v>9.6</v>
      </c>
      <c r="E496" s="2">
        <v>800</v>
      </c>
      <c r="F496" s="2" t="s">
        <v>18</v>
      </c>
      <c r="G496" s="2" t="s">
        <v>19</v>
      </c>
      <c r="H496" s="2" t="s">
        <v>20</v>
      </c>
      <c r="I496" s="2" t="s">
        <v>156</v>
      </c>
      <c r="J496" s="2" t="s">
        <v>156</v>
      </c>
      <c r="K496" s="2" t="s">
        <v>23</v>
      </c>
      <c r="L496" s="2" t="s">
        <v>24</v>
      </c>
      <c r="M496" s="2">
        <v>0</v>
      </c>
      <c r="N496" s="2" t="s">
        <v>954</v>
      </c>
      <c r="O496" s="2">
        <v>0</v>
      </c>
      <c r="P496" s="2" t="s">
        <v>25</v>
      </c>
    </row>
    <row r="497" spans="1:16">
      <c r="A497" s="11">
        <v>205308</v>
      </c>
      <c r="B497" s="2" t="s">
        <v>990</v>
      </c>
      <c r="C497" s="2">
        <v>24</v>
      </c>
      <c r="D497" s="2">
        <f t="shared" si="34"/>
        <v>9.6</v>
      </c>
      <c r="E497" s="2">
        <v>400</v>
      </c>
      <c r="F497" s="2" t="s">
        <v>18</v>
      </c>
      <c r="G497" s="2" t="s">
        <v>19</v>
      </c>
      <c r="H497" s="2" t="s">
        <v>20</v>
      </c>
      <c r="I497" s="2" t="s">
        <v>156</v>
      </c>
      <c r="J497" s="2" t="s">
        <v>156</v>
      </c>
      <c r="K497" s="2" t="s">
        <v>23</v>
      </c>
      <c r="L497" s="2" t="s">
        <v>24</v>
      </c>
      <c r="M497" s="2">
        <v>0</v>
      </c>
      <c r="N497" s="2" t="s">
        <v>947</v>
      </c>
      <c r="O497" s="2">
        <v>0</v>
      </c>
      <c r="P497" s="2" t="s">
        <v>25</v>
      </c>
    </row>
    <row r="498" spans="1:16">
      <c r="A498" s="11" t="s">
        <v>991</v>
      </c>
      <c r="B498" s="2" t="s">
        <v>992</v>
      </c>
      <c r="C498" s="4">
        <v>24</v>
      </c>
      <c r="D498" s="4">
        <f>(C498*E498/1000)*1.04</f>
        <v>4.1184000000000003</v>
      </c>
      <c r="E498" s="4">
        <v>165</v>
      </c>
      <c r="F498" s="4" t="s">
        <v>28</v>
      </c>
      <c r="G498" s="4" t="s">
        <v>29</v>
      </c>
      <c r="H498" s="2" t="s">
        <v>29</v>
      </c>
      <c r="I498" s="4" t="s">
        <v>723</v>
      </c>
      <c r="J498" s="2" t="s">
        <v>723</v>
      </c>
      <c r="K498" s="4" t="s">
        <v>29</v>
      </c>
      <c r="L498" s="2" t="s">
        <v>724</v>
      </c>
      <c r="M498" s="3">
        <f>48000*85%/2/C498</f>
        <v>850</v>
      </c>
      <c r="N498" s="2" t="str">
        <f>VLOOKUP(A498, zcorin_converter!A:L, 12, FALSE)</f>
        <v>RTD</v>
      </c>
      <c r="O498" s="3" t="s">
        <v>725</v>
      </c>
      <c r="P498" s="2" t="s">
        <v>726</v>
      </c>
    </row>
    <row r="499" spans="1:16">
      <c r="A499" s="14">
        <v>213541</v>
      </c>
      <c r="B499" s="15" t="s">
        <v>993</v>
      </c>
      <c r="C499" s="4">
        <v>24</v>
      </c>
      <c r="D499" s="4">
        <f>(C499*E499/1000)*1.04</f>
        <v>4.1184000000000003</v>
      </c>
      <c r="E499" s="4">
        <v>165</v>
      </c>
      <c r="F499" s="2" t="s">
        <v>147</v>
      </c>
      <c r="G499" s="4" t="s">
        <v>29</v>
      </c>
      <c r="H499" s="4" t="s">
        <v>29</v>
      </c>
      <c r="I499" s="4" t="s">
        <v>723</v>
      </c>
      <c r="J499" s="2" t="s">
        <v>723</v>
      </c>
      <c r="K499" s="4" t="s">
        <v>29</v>
      </c>
      <c r="L499" s="2" t="s">
        <v>724</v>
      </c>
      <c r="M499" s="3">
        <f>48000*85%/2/C499</f>
        <v>850</v>
      </c>
      <c r="N499" s="2" t="s">
        <v>723</v>
      </c>
      <c r="O499" s="3" t="s">
        <v>725</v>
      </c>
      <c r="P499" s="2" t="s">
        <v>726</v>
      </c>
    </row>
    <row r="500" spans="1:16">
      <c r="A500" s="14">
        <v>213540</v>
      </c>
      <c r="B500" s="15" t="s">
        <v>994</v>
      </c>
      <c r="C500" s="4">
        <v>24</v>
      </c>
      <c r="D500" s="4">
        <f>(C500*E500/1000)*1.04</f>
        <v>4.1184000000000003</v>
      </c>
      <c r="E500" s="4">
        <v>165</v>
      </c>
      <c r="F500" s="4" t="s">
        <v>28</v>
      </c>
      <c r="G500" s="4" t="s">
        <v>29</v>
      </c>
      <c r="H500" s="4" t="s">
        <v>29</v>
      </c>
      <c r="I500" s="4" t="s">
        <v>723</v>
      </c>
      <c r="J500" s="2" t="s">
        <v>723</v>
      </c>
      <c r="K500" s="4" t="s">
        <v>29</v>
      </c>
      <c r="L500" s="2" t="s">
        <v>724</v>
      </c>
      <c r="M500" s="3">
        <f>48000*85%/2/C500</f>
        <v>850</v>
      </c>
      <c r="N500" s="2" t="s">
        <v>723</v>
      </c>
      <c r="O500" s="3" t="s">
        <v>725</v>
      </c>
      <c r="P500" s="2" t="s">
        <v>726</v>
      </c>
    </row>
    <row r="501" spans="1:16">
      <c r="A501" s="11" t="s">
        <v>995</v>
      </c>
      <c r="B501" s="2" t="s">
        <v>996</v>
      </c>
      <c r="C501" s="2">
        <v>48</v>
      </c>
      <c r="D501" s="2">
        <f>C501*E501/1000</f>
        <v>5.76</v>
      </c>
      <c r="E501" s="2">
        <v>120</v>
      </c>
      <c r="F501" s="2" t="s">
        <v>18</v>
      </c>
      <c r="G501" s="4" t="s">
        <v>107</v>
      </c>
      <c r="H501" s="2" t="s">
        <v>365</v>
      </c>
      <c r="I501" s="2" t="s">
        <v>366</v>
      </c>
      <c r="J501" s="2" t="s">
        <v>38</v>
      </c>
      <c r="K501" s="2" t="s">
        <v>110</v>
      </c>
      <c r="L501" s="2" t="s">
        <v>24</v>
      </c>
      <c r="M501" s="2">
        <v>0</v>
      </c>
      <c r="N501" s="2" t="str">
        <f>VLOOKUP(A501, zcorin_converter!A:L, 12, FALSE)</f>
        <v>Bag in Box</v>
      </c>
      <c r="O501" s="2">
        <v>0</v>
      </c>
      <c r="P501" s="2" t="s">
        <v>25</v>
      </c>
    </row>
    <row r="502" spans="1:16">
      <c r="A502" s="11" t="s">
        <v>997</v>
      </c>
      <c r="B502" s="2" t="s">
        <v>998</v>
      </c>
      <c r="C502" s="2">
        <v>48</v>
      </c>
      <c r="D502" s="2">
        <f>C502*E502/1000</f>
        <v>7.2</v>
      </c>
      <c r="E502" s="2">
        <v>150</v>
      </c>
      <c r="F502" s="2" t="s">
        <v>18</v>
      </c>
      <c r="G502" s="4" t="s">
        <v>107</v>
      </c>
      <c r="H502" s="2" t="s">
        <v>365</v>
      </c>
      <c r="I502" s="2" t="s">
        <v>366</v>
      </c>
      <c r="J502" s="2" t="s">
        <v>38</v>
      </c>
      <c r="K502" s="2" t="s">
        <v>110</v>
      </c>
      <c r="L502" s="2" t="s">
        <v>24</v>
      </c>
      <c r="M502" s="2">
        <v>0</v>
      </c>
      <c r="N502" s="2" t="str">
        <f>VLOOKUP(A502, zcorin_converter!A:L, 12, FALSE)</f>
        <v>Bag in Box</v>
      </c>
      <c r="O502" s="2">
        <v>0</v>
      </c>
      <c r="P502" s="2" t="s">
        <v>25</v>
      </c>
    </row>
    <row r="503" spans="1:16">
      <c r="A503" s="11" t="s">
        <v>999</v>
      </c>
      <c r="B503" s="2" t="s">
        <v>1000</v>
      </c>
      <c r="C503" s="2">
        <v>24</v>
      </c>
      <c r="D503" s="2">
        <f>C503*E503/1000</f>
        <v>9.6</v>
      </c>
      <c r="E503" s="2">
        <v>400</v>
      </c>
      <c r="F503" s="2" t="s">
        <v>18</v>
      </c>
      <c r="G503" s="4" t="s">
        <v>107</v>
      </c>
      <c r="H503" s="2" t="s">
        <v>365</v>
      </c>
      <c r="I503" s="2" t="s">
        <v>366</v>
      </c>
      <c r="J503" s="2" t="s">
        <v>38</v>
      </c>
      <c r="K503" s="2" t="s">
        <v>110</v>
      </c>
      <c r="L503" s="2" t="s">
        <v>24</v>
      </c>
      <c r="M503" s="2">
        <v>0</v>
      </c>
      <c r="N503" s="2" t="str">
        <f>VLOOKUP(A503, zcorin_converter!A:L, 12, FALSE)</f>
        <v>Bag in Box</v>
      </c>
      <c r="O503" s="2">
        <v>0</v>
      </c>
      <c r="P503" s="2" t="s">
        <v>25</v>
      </c>
    </row>
    <row r="504" spans="1:16">
      <c r="A504" s="11" t="s">
        <v>1001</v>
      </c>
      <c r="B504" s="2" t="s">
        <v>1002</v>
      </c>
      <c r="C504" s="2">
        <v>12</v>
      </c>
      <c r="D504" s="2">
        <f>C504*E504/1000</f>
        <v>6.6</v>
      </c>
      <c r="E504" s="2">
        <v>550</v>
      </c>
      <c r="F504" s="2" t="s">
        <v>18</v>
      </c>
      <c r="G504" s="4" t="s">
        <v>107</v>
      </c>
      <c r="H504" s="2" t="s">
        <v>365</v>
      </c>
      <c r="I504" s="2" t="s">
        <v>366</v>
      </c>
      <c r="J504" s="2" t="s">
        <v>38</v>
      </c>
      <c r="K504" s="2" t="s">
        <v>110</v>
      </c>
      <c r="L504" s="2" t="s">
        <v>24</v>
      </c>
      <c r="M504" s="2">
        <v>0</v>
      </c>
      <c r="N504" s="2" t="str">
        <f>VLOOKUP(A504, zcorin_converter!A:L, 12, FALSE)</f>
        <v>Bag in Box</v>
      </c>
      <c r="O504" s="2">
        <v>0</v>
      </c>
      <c r="P504" s="2" t="s">
        <v>25</v>
      </c>
    </row>
    <row r="505" spans="1:16">
      <c r="A505" s="11" t="s">
        <v>1003</v>
      </c>
      <c r="B505" s="2" t="s">
        <v>1004</v>
      </c>
      <c r="C505" s="2">
        <v>10</v>
      </c>
      <c r="D505" s="2">
        <f>C505*E505/1000</f>
        <v>10</v>
      </c>
      <c r="E505" s="2">
        <v>1000</v>
      </c>
      <c r="F505" s="2" t="s">
        <v>18</v>
      </c>
      <c r="G505" s="4" t="s">
        <v>107</v>
      </c>
      <c r="H505" s="2" t="s">
        <v>365</v>
      </c>
      <c r="I505" s="2" t="s">
        <v>366</v>
      </c>
      <c r="J505" s="2" t="s">
        <v>38</v>
      </c>
      <c r="K505" s="2" t="s">
        <v>110</v>
      </c>
      <c r="L505" s="2" t="s">
        <v>24</v>
      </c>
      <c r="M505" s="2">
        <v>0</v>
      </c>
      <c r="N505" s="2" t="str">
        <f>VLOOKUP(A505, zcorin_converter!A:L, 12, FALSE)</f>
        <v>Bag in Box</v>
      </c>
      <c r="O505" s="2">
        <v>0</v>
      </c>
      <c r="P505" s="2" t="s">
        <v>25</v>
      </c>
    </row>
    <row r="506" spans="1:16">
      <c r="A506" s="11" t="s">
        <v>1005</v>
      </c>
      <c r="B506" s="2" t="s">
        <v>1006</v>
      </c>
      <c r="C506" s="2">
        <v>48</v>
      </c>
      <c r="D506" s="2">
        <v>5.76</v>
      </c>
      <c r="E506" s="2">
        <v>120</v>
      </c>
      <c r="F506" s="2" t="s">
        <v>18</v>
      </c>
      <c r="G506" s="4" t="s">
        <v>107</v>
      </c>
      <c r="H506" s="2" t="s">
        <v>531</v>
      </c>
      <c r="I506" s="2" t="s">
        <v>532</v>
      </c>
      <c r="J506" s="2" t="s">
        <v>42</v>
      </c>
      <c r="K506" s="2" t="s">
        <v>110</v>
      </c>
      <c r="L506" s="2" t="s">
        <v>24</v>
      </c>
      <c r="M506" s="2">
        <v>0</v>
      </c>
      <c r="N506" s="2" t="str">
        <f>VLOOKUP(A506, zcorin_converter!A:L, 12, FALSE)</f>
        <v>Bag in Box</v>
      </c>
      <c r="O506" s="2">
        <v>0</v>
      </c>
      <c r="P506" s="2" t="s">
        <v>25</v>
      </c>
    </row>
    <row r="507" spans="1:16">
      <c r="A507" s="11" t="s">
        <v>1007</v>
      </c>
      <c r="B507" s="2" t="s">
        <v>1008</v>
      </c>
      <c r="C507" s="2">
        <v>48</v>
      </c>
      <c r="D507" s="2">
        <f t="shared" ref="D507:D572" si="36">C507*E507/1000</f>
        <v>7.2</v>
      </c>
      <c r="E507" s="2">
        <v>150</v>
      </c>
      <c r="F507" s="2" t="s">
        <v>18</v>
      </c>
      <c r="G507" s="4" t="s">
        <v>107</v>
      </c>
      <c r="H507" s="2" t="s">
        <v>531</v>
      </c>
      <c r="I507" s="2" t="s">
        <v>532</v>
      </c>
      <c r="J507" s="2" t="s">
        <v>42</v>
      </c>
      <c r="K507" s="2" t="s">
        <v>110</v>
      </c>
      <c r="L507" s="2" t="s">
        <v>24</v>
      </c>
      <c r="M507" s="2">
        <v>0</v>
      </c>
      <c r="N507" s="2" t="str">
        <f>VLOOKUP(A507, zcorin_converter!A:L, 12, FALSE)</f>
        <v>Bag in Box</v>
      </c>
      <c r="O507" s="2">
        <v>0</v>
      </c>
      <c r="P507" s="2" t="s">
        <v>25</v>
      </c>
    </row>
    <row r="508" spans="1:16">
      <c r="A508" s="11" t="s">
        <v>1009</v>
      </c>
      <c r="B508" s="2" t="s">
        <v>1010</v>
      </c>
      <c r="C508" s="2">
        <v>24</v>
      </c>
      <c r="D508" s="2">
        <f t="shared" si="36"/>
        <v>9.6</v>
      </c>
      <c r="E508" s="2">
        <v>400</v>
      </c>
      <c r="F508" s="2" t="s">
        <v>18</v>
      </c>
      <c r="G508" s="4" t="s">
        <v>107</v>
      </c>
      <c r="H508" s="2" t="s">
        <v>531</v>
      </c>
      <c r="I508" s="2" t="s">
        <v>532</v>
      </c>
      <c r="J508" s="2" t="s">
        <v>42</v>
      </c>
      <c r="K508" s="2" t="s">
        <v>110</v>
      </c>
      <c r="L508" s="2" t="s">
        <v>24</v>
      </c>
      <c r="M508" s="2">
        <v>0</v>
      </c>
      <c r="N508" s="2" t="str">
        <f>VLOOKUP(A508, zcorin_converter!A:L, 12, FALSE)</f>
        <v>Bag in Box</v>
      </c>
      <c r="O508" s="2">
        <v>0</v>
      </c>
      <c r="P508" s="2" t="s">
        <v>25</v>
      </c>
    </row>
    <row r="509" spans="1:16">
      <c r="A509" s="11" t="s">
        <v>1011</v>
      </c>
      <c r="B509" s="2" t="s">
        <v>1012</v>
      </c>
      <c r="C509" s="2">
        <v>12</v>
      </c>
      <c r="D509" s="2">
        <f t="shared" si="36"/>
        <v>6.6</v>
      </c>
      <c r="E509" s="2">
        <f>550</f>
        <v>550</v>
      </c>
      <c r="F509" s="2" t="s">
        <v>18</v>
      </c>
      <c r="G509" s="4" t="s">
        <v>107</v>
      </c>
      <c r="H509" s="2" t="s">
        <v>531</v>
      </c>
      <c r="I509" s="2" t="s">
        <v>532</v>
      </c>
      <c r="J509" s="2" t="s">
        <v>42</v>
      </c>
      <c r="K509" s="2" t="s">
        <v>110</v>
      </c>
      <c r="L509" s="2" t="s">
        <v>24</v>
      </c>
      <c r="M509" s="2">
        <v>0</v>
      </c>
      <c r="N509" s="2" t="str">
        <f>VLOOKUP(A509, zcorin_converter!A:L, 12, FALSE)</f>
        <v>Bag in Box</v>
      </c>
      <c r="O509" s="2">
        <v>0</v>
      </c>
      <c r="P509" s="2" t="s">
        <v>25</v>
      </c>
    </row>
    <row r="510" spans="1:16">
      <c r="A510" s="11" t="s">
        <v>1013</v>
      </c>
      <c r="B510" s="2" t="s">
        <v>1014</v>
      </c>
      <c r="C510" s="2">
        <v>10</v>
      </c>
      <c r="D510" s="2">
        <f t="shared" si="36"/>
        <v>10</v>
      </c>
      <c r="E510" s="2">
        <v>1000</v>
      </c>
      <c r="F510" s="2" t="s">
        <v>18</v>
      </c>
      <c r="G510" s="4" t="s">
        <v>107</v>
      </c>
      <c r="H510" s="2" t="s">
        <v>531</v>
      </c>
      <c r="I510" s="2" t="s">
        <v>532</v>
      </c>
      <c r="J510" s="2" t="s">
        <v>42</v>
      </c>
      <c r="K510" s="2" t="s">
        <v>110</v>
      </c>
      <c r="L510" s="2" t="s">
        <v>24</v>
      </c>
      <c r="M510" s="2">
        <v>0</v>
      </c>
      <c r="N510" s="2" t="str">
        <f>VLOOKUP(A510, zcorin_converter!A:L, 12, FALSE)</f>
        <v>Bag in Box</v>
      </c>
      <c r="O510" s="2">
        <v>0</v>
      </c>
      <c r="P510" s="2" t="s">
        <v>25</v>
      </c>
    </row>
    <row r="511" spans="1:16">
      <c r="A511" s="11" t="s">
        <v>1015</v>
      </c>
      <c r="B511" s="2" t="s">
        <v>1016</v>
      </c>
      <c r="C511" s="2">
        <v>48</v>
      </c>
      <c r="D511" s="2">
        <f t="shared" si="36"/>
        <v>7.2</v>
      </c>
      <c r="E511" s="2">
        <v>150</v>
      </c>
      <c r="F511" s="2" t="s">
        <v>18</v>
      </c>
      <c r="G511" s="4" t="s">
        <v>107</v>
      </c>
      <c r="H511" s="2" t="s">
        <v>617</v>
      </c>
      <c r="I511" s="2" t="s">
        <v>618</v>
      </c>
      <c r="J511" s="2" t="s">
        <v>156</v>
      </c>
      <c r="K511" s="2" t="s">
        <v>110</v>
      </c>
      <c r="L511" s="2" t="s">
        <v>47</v>
      </c>
      <c r="M511" s="2">
        <f t="shared" ref="M511:M512" si="37">2900/24</f>
        <v>120.83333333333333</v>
      </c>
      <c r="N511" s="2" t="str">
        <f>VLOOKUP(A511, zcorin_converter!A:L, 12, FALSE)</f>
        <v>Bag in Box</v>
      </c>
      <c r="O511" s="2" t="s">
        <v>377</v>
      </c>
      <c r="P511" s="2" t="s">
        <v>25</v>
      </c>
    </row>
    <row r="512" spans="1:16">
      <c r="A512" s="11" t="s">
        <v>1017</v>
      </c>
      <c r="B512" s="2" t="s">
        <v>1018</v>
      </c>
      <c r="C512" s="2">
        <v>48</v>
      </c>
      <c r="D512" s="2">
        <f t="shared" si="36"/>
        <v>7.2</v>
      </c>
      <c r="E512" s="2">
        <v>150</v>
      </c>
      <c r="F512" s="2" t="s">
        <v>18</v>
      </c>
      <c r="G512" s="4" t="s">
        <v>107</v>
      </c>
      <c r="H512" s="2" t="s">
        <v>617</v>
      </c>
      <c r="I512" s="2" t="s">
        <v>618</v>
      </c>
      <c r="J512" s="2" t="s">
        <v>156</v>
      </c>
      <c r="K512" s="2" t="s">
        <v>110</v>
      </c>
      <c r="L512" s="2" t="s">
        <v>47</v>
      </c>
      <c r="M512" s="2">
        <f t="shared" si="37"/>
        <v>120.83333333333333</v>
      </c>
      <c r="N512" s="2" t="str">
        <f>VLOOKUP(A512, zcorin_converter!A:L, 12, FALSE)</f>
        <v>Bag in Box</v>
      </c>
      <c r="O512" s="2" t="s">
        <v>377</v>
      </c>
      <c r="P512" s="2" t="s">
        <v>25</v>
      </c>
    </row>
    <row r="513" spans="1:16">
      <c r="A513" s="11" t="s">
        <v>1019</v>
      </c>
      <c r="B513" s="2" t="s">
        <v>1020</v>
      </c>
      <c r="C513" s="2">
        <v>21</v>
      </c>
      <c r="D513" s="2">
        <f t="shared" si="36"/>
        <v>8.4</v>
      </c>
      <c r="E513" s="2">
        <v>400</v>
      </c>
      <c r="F513" s="2" t="s">
        <v>18</v>
      </c>
      <c r="G513" s="4" t="s">
        <v>107</v>
      </c>
      <c r="H513" s="2" t="s">
        <v>617</v>
      </c>
      <c r="I513" s="2" t="s">
        <v>618</v>
      </c>
      <c r="J513" s="2" t="s">
        <v>156</v>
      </c>
      <c r="K513" s="2" t="s">
        <v>110</v>
      </c>
      <c r="L513" s="2" t="s">
        <v>47</v>
      </c>
      <c r="M513" s="2">
        <f>5200/24</f>
        <v>216.66666666666666</v>
      </c>
      <c r="N513" s="2" t="str">
        <f>VLOOKUP(A513, zcorin_converter!A:L, 12, FALSE)</f>
        <v>Bag in Box</v>
      </c>
      <c r="O513" s="2" t="s">
        <v>362</v>
      </c>
      <c r="P513" s="2" t="s">
        <v>25</v>
      </c>
    </row>
    <row r="514" spans="1:16">
      <c r="A514" s="11" t="s">
        <v>1021</v>
      </c>
      <c r="B514" s="2" t="s">
        <v>1022</v>
      </c>
      <c r="C514" s="2">
        <v>21</v>
      </c>
      <c r="D514" s="2">
        <f t="shared" si="36"/>
        <v>8.4</v>
      </c>
      <c r="E514" s="2">
        <v>400</v>
      </c>
      <c r="F514" s="2" t="s">
        <v>18</v>
      </c>
      <c r="G514" s="4" t="s">
        <v>107</v>
      </c>
      <c r="H514" s="2" t="s">
        <v>617</v>
      </c>
      <c r="I514" s="2" t="s">
        <v>618</v>
      </c>
      <c r="J514" s="2" t="s">
        <v>156</v>
      </c>
      <c r="K514" s="2" t="s">
        <v>110</v>
      </c>
      <c r="L514" s="2" t="s">
        <v>47</v>
      </c>
      <c r="M514" s="2">
        <f>5200/24</f>
        <v>216.66666666666666</v>
      </c>
      <c r="N514" s="2" t="str">
        <f>VLOOKUP(A514, zcorin_converter!A:L, 12, FALSE)</f>
        <v>Bag in Box</v>
      </c>
      <c r="O514" s="2" t="s">
        <v>362</v>
      </c>
      <c r="P514" s="2" t="s">
        <v>25</v>
      </c>
    </row>
    <row r="515" spans="1:16">
      <c r="A515" s="11" t="s">
        <v>1023</v>
      </c>
      <c r="B515" s="2" t="s">
        <v>1024</v>
      </c>
      <c r="C515" s="2">
        <v>12</v>
      </c>
      <c r="D515" s="2">
        <f t="shared" si="36"/>
        <v>7.2</v>
      </c>
      <c r="E515" s="2">
        <v>600</v>
      </c>
      <c r="F515" s="2" t="s">
        <v>18</v>
      </c>
      <c r="G515" s="4" t="s">
        <v>107</v>
      </c>
      <c r="H515" s="2" t="s">
        <v>617</v>
      </c>
      <c r="I515" s="2" t="s">
        <v>618</v>
      </c>
      <c r="J515" s="2" t="s">
        <v>156</v>
      </c>
      <c r="K515" s="2" t="s">
        <v>110</v>
      </c>
      <c r="L515" s="2" t="s">
        <v>47</v>
      </c>
      <c r="M515" s="2">
        <f t="shared" ref="M515:M516" si="38">8000/24</f>
        <v>333.33333333333331</v>
      </c>
      <c r="N515" s="2" t="str">
        <f>VLOOKUP(A515, zcorin_converter!A:L, 12, FALSE)</f>
        <v>Bag in Box</v>
      </c>
      <c r="O515" s="2" t="s">
        <v>623</v>
      </c>
      <c r="P515" s="2" t="s">
        <v>25</v>
      </c>
    </row>
    <row r="516" spans="1:16">
      <c r="A516" s="11" t="s">
        <v>1025</v>
      </c>
      <c r="B516" s="2" t="s">
        <v>1026</v>
      </c>
      <c r="C516" s="2">
        <v>12</v>
      </c>
      <c r="D516" s="2">
        <f t="shared" si="36"/>
        <v>7.2</v>
      </c>
      <c r="E516" s="2">
        <v>600</v>
      </c>
      <c r="F516" s="2" t="s">
        <v>18</v>
      </c>
      <c r="G516" s="4" t="s">
        <v>107</v>
      </c>
      <c r="H516" s="2" t="s">
        <v>617</v>
      </c>
      <c r="I516" s="2" t="s">
        <v>618</v>
      </c>
      <c r="J516" s="2" t="s">
        <v>156</v>
      </c>
      <c r="K516" s="2" t="s">
        <v>110</v>
      </c>
      <c r="L516" s="2" t="s">
        <v>47</v>
      </c>
      <c r="M516" s="2">
        <f t="shared" si="38"/>
        <v>333.33333333333331</v>
      </c>
      <c r="N516" s="2" t="str">
        <f>VLOOKUP(A516, zcorin_converter!A:L, 12, FALSE)</f>
        <v>Bag in Box</v>
      </c>
      <c r="O516" s="2" t="s">
        <v>623</v>
      </c>
      <c r="P516" s="2" t="s">
        <v>25</v>
      </c>
    </row>
    <row r="517" spans="1:16">
      <c r="A517" s="11" t="s">
        <v>1027</v>
      </c>
      <c r="B517" s="2" t="s">
        <v>1028</v>
      </c>
      <c r="C517" s="2">
        <v>10</v>
      </c>
      <c r="D517" s="2">
        <f t="shared" si="36"/>
        <v>9</v>
      </c>
      <c r="E517" s="2">
        <v>900</v>
      </c>
      <c r="F517" s="2" t="s">
        <v>18</v>
      </c>
      <c r="G517" s="4" t="s">
        <v>107</v>
      </c>
      <c r="H517" s="2" t="s">
        <v>617</v>
      </c>
      <c r="I517" s="2" t="s">
        <v>618</v>
      </c>
      <c r="J517" s="2" t="s">
        <v>156</v>
      </c>
      <c r="K517" s="2" t="s">
        <v>110</v>
      </c>
      <c r="L517" s="2" t="s">
        <v>47</v>
      </c>
      <c r="M517" s="2">
        <f>5500/24</f>
        <v>229.16666666666666</v>
      </c>
      <c r="N517" s="2" t="str">
        <f>VLOOKUP(A517, zcorin_converter!A:L, 12, FALSE)</f>
        <v>Bag in Box</v>
      </c>
      <c r="O517" s="2" t="s">
        <v>377</v>
      </c>
      <c r="P517" s="2" t="s">
        <v>25</v>
      </c>
    </row>
    <row r="518" spans="1:16">
      <c r="A518" s="11" t="s">
        <v>1027</v>
      </c>
      <c r="B518" s="2" t="s">
        <v>1028</v>
      </c>
      <c r="C518" s="2">
        <v>10</v>
      </c>
      <c r="D518" s="2">
        <f t="shared" si="36"/>
        <v>9</v>
      </c>
      <c r="E518" s="2">
        <v>900</v>
      </c>
      <c r="F518" s="2" t="s">
        <v>18</v>
      </c>
      <c r="G518" s="4" t="s">
        <v>107</v>
      </c>
      <c r="H518" s="2" t="s">
        <v>617</v>
      </c>
      <c r="I518" s="2" t="s">
        <v>618</v>
      </c>
      <c r="J518" s="2" t="s">
        <v>156</v>
      </c>
      <c r="K518" s="2" t="s">
        <v>110</v>
      </c>
      <c r="L518" s="2" t="s">
        <v>47</v>
      </c>
      <c r="M518" s="2">
        <f>6000/24</f>
        <v>250</v>
      </c>
      <c r="N518" s="2" t="str">
        <f>VLOOKUP(A518, zcorin_converter!A:L, 12, FALSE)</f>
        <v>Bag in Box</v>
      </c>
      <c r="O518" s="2" t="s">
        <v>216</v>
      </c>
      <c r="P518" s="2" t="s">
        <v>25</v>
      </c>
    </row>
    <row r="519" spans="1:16">
      <c r="A519" s="11" t="s">
        <v>1027</v>
      </c>
      <c r="B519" s="2" t="s">
        <v>1028</v>
      </c>
      <c r="C519" s="2">
        <v>10</v>
      </c>
      <c r="D519" s="2">
        <f t="shared" si="36"/>
        <v>9</v>
      </c>
      <c r="E519" s="2">
        <v>900</v>
      </c>
      <c r="F519" s="2" t="s">
        <v>18</v>
      </c>
      <c r="G519" s="4" t="s">
        <v>107</v>
      </c>
      <c r="H519" s="2" t="s">
        <v>617</v>
      </c>
      <c r="I519" s="2" t="s">
        <v>618</v>
      </c>
      <c r="J519" s="2" t="s">
        <v>156</v>
      </c>
      <c r="K519" s="2" t="s">
        <v>110</v>
      </c>
      <c r="L519" s="2" t="s">
        <v>47</v>
      </c>
      <c r="M519" s="2">
        <f>6200/24</f>
        <v>258.33333333333331</v>
      </c>
      <c r="N519" s="2" t="str">
        <f>VLOOKUP(A519, zcorin_converter!A:L, 12, FALSE)</f>
        <v>Bag in Box</v>
      </c>
      <c r="O519" s="2" t="s">
        <v>362</v>
      </c>
      <c r="P519" s="2" t="s">
        <v>25</v>
      </c>
    </row>
    <row r="520" spans="1:16">
      <c r="A520" s="11" t="s">
        <v>1027</v>
      </c>
      <c r="B520" s="2" t="s">
        <v>1028</v>
      </c>
      <c r="C520" s="2">
        <v>10</v>
      </c>
      <c r="D520" s="2">
        <f t="shared" si="36"/>
        <v>9</v>
      </c>
      <c r="E520" s="2">
        <v>900</v>
      </c>
      <c r="F520" s="2" t="s">
        <v>18</v>
      </c>
      <c r="G520" s="4" t="s">
        <v>107</v>
      </c>
      <c r="H520" s="2" t="s">
        <v>617</v>
      </c>
      <c r="I520" s="2" t="s">
        <v>618</v>
      </c>
      <c r="J520" s="2" t="s">
        <v>156</v>
      </c>
      <c r="K520" s="2" t="s">
        <v>110</v>
      </c>
      <c r="L520" s="2" t="s">
        <v>47</v>
      </c>
      <c r="M520" s="2">
        <f>8200/24</f>
        <v>341.66666666666669</v>
      </c>
      <c r="N520" s="2" t="str">
        <f>VLOOKUP(A520, zcorin_converter!A:L, 12, FALSE)</f>
        <v>Bag in Box</v>
      </c>
      <c r="O520" s="2" t="s">
        <v>623</v>
      </c>
      <c r="P520" s="2" t="s">
        <v>25</v>
      </c>
    </row>
    <row r="521" spans="1:16">
      <c r="A521" s="11" t="s">
        <v>1027</v>
      </c>
      <c r="B521" s="2" t="s">
        <v>1028</v>
      </c>
      <c r="C521" s="2">
        <v>10</v>
      </c>
      <c r="D521" s="2">
        <f t="shared" si="36"/>
        <v>9</v>
      </c>
      <c r="E521" s="2">
        <v>900</v>
      </c>
      <c r="F521" s="2" t="s">
        <v>18</v>
      </c>
      <c r="G521" s="4" t="s">
        <v>107</v>
      </c>
      <c r="H521" s="2" t="s">
        <v>617</v>
      </c>
      <c r="I521" s="2" t="s">
        <v>618</v>
      </c>
      <c r="J521" s="2" t="s">
        <v>156</v>
      </c>
      <c r="K521" s="2" t="s">
        <v>110</v>
      </c>
      <c r="L521" s="2" t="s">
        <v>47</v>
      </c>
      <c r="M521" s="2">
        <f>4500/24</f>
        <v>187.5</v>
      </c>
      <c r="N521" s="2" t="str">
        <f>VLOOKUP(A521, zcorin_converter!A:L, 12, FALSE)</f>
        <v>Bag in Box</v>
      </c>
      <c r="O521" s="2" t="s">
        <v>205</v>
      </c>
      <c r="P521" s="2" t="s">
        <v>25</v>
      </c>
    </row>
    <row r="522" spans="1:16">
      <c r="A522" s="11" t="s">
        <v>1027</v>
      </c>
      <c r="B522" s="2" t="s">
        <v>1028</v>
      </c>
      <c r="C522" s="2">
        <v>10</v>
      </c>
      <c r="D522" s="2">
        <f t="shared" si="36"/>
        <v>9</v>
      </c>
      <c r="E522" s="2">
        <v>900</v>
      </c>
      <c r="F522" s="2" t="s">
        <v>18</v>
      </c>
      <c r="G522" s="4" t="s">
        <v>107</v>
      </c>
      <c r="H522" s="2" t="s">
        <v>617</v>
      </c>
      <c r="I522" s="2" t="s">
        <v>618</v>
      </c>
      <c r="J522" s="2" t="s">
        <v>156</v>
      </c>
      <c r="K522" s="2" t="s">
        <v>110</v>
      </c>
      <c r="L522" s="2" t="s">
        <v>47</v>
      </c>
      <c r="M522" s="2">
        <f>4000/24</f>
        <v>166.66666666666666</v>
      </c>
      <c r="N522" s="2" t="str">
        <f>VLOOKUP(A522, zcorin_converter!A:L, 12, FALSE)</f>
        <v>Bag in Box</v>
      </c>
      <c r="O522" s="2" t="s">
        <v>665</v>
      </c>
      <c r="P522" s="2" t="s">
        <v>25</v>
      </c>
    </row>
    <row r="523" spans="1:16">
      <c r="A523" s="11" t="s">
        <v>1027</v>
      </c>
      <c r="B523" s="2" t="s">
        <v>1028</v>
      </c>
      <c r="C523" s="2">
        <v>10</v>
      </c>
      <c r="D523" s="2">
        <f t="shared" si="36"/>
        <v>9</v>
      </c>
      <c r="E523" s="2">
        <v>900</v>
      </c>
      <c r="F523" s="2" t="s">
        <v>18</v>
      </c>
      <c r="G523" s="4" t="s">
        <v>107</v>
      </c>
      <c r="H523" s="2" t="s">
        <v>617</v>
      </c>
      <c r="I523" s="2" t="s">
        <v>618</v>
      </c>
      <c r="J523" s="2" t="s">
        <v>156</v>
      </c>
      <c r="K523" s="2" t="s">
        <v>110</v>
      </c>
      <c r="L523" s="2" t="s">
        <v>47</v>
      </c>
      <c r="M523" s="2">
        <f>5500/24</f>
        <v>229.16666666666666</v>
      </c>
      <c r="N523" s="2" t="str">
        <f>VLOOKUP(A523, zcorin_converter!A:L, 12, FALSE)</f>
        <v>Bag in Box</v>
      </c>
      <c r="O523" s="2" t="s">
        <v>351</v>
      </c>
      <c r="P523" s="2" t="s">
        <v>25</v>
      </c>
    </row>
    <row r="524" spans="1:16">
      <c r="A524" s="11" t="s">
        <v>1029</v>
      </c>
      <c r="B524" s="2" t="s">
        <v>1030</v>
      </c>
      <c r="C524" s="2">
        <v>10</v>
      </c>
      <c r="D524" s="2">
        <f t="shared" si="36"/>
        <v>9</v>
      </c>
      <c r="E524" s="2">
        <v>900</v>
      </c>
      <c r="F524" s="2" t="s">
        <v>18</v>
      </c>
      <c r="G524" s="4" t="s">
        <v>107</v>
      </c>
      <c r="H524" s="2" t="s">
        <v>617</v>
      </c>
      <c r="I524" s="2" t="s">
        <v>618</v>
      </c>
      <c r="J524" s="2" t="s">
        <v>156</v>
      </c>
      <c r="K524" s="2" t="s">
        <v>110</v>
      </c>
      <c r="L524" s="2" t="s">
        <v>47</v>
      </c>
      <c r="M524" s="2">
        <f>5500/24</f>
        <v>229.16666666666666</v>
      </c>
      <c r="N524" s="2" t="str">
        <f>VLOOKUP(A524, zcorin_converter!A:L, 12, FALSE)</f>
        <v>Bag in Box</v>
      </c>
      <c r="O524" s="2" t="s">
        <v>377</v>
      </c>
      <c r="P524" s="2" t="s">
        <v>25</v>
      </c>
    </row>
    <row r="525" spans="1:16">
      <c r="A525" s="11" t="s">
        <v>1029</v>
      </c>
      <c r="B525" s="2" t="s">
        <v>1030</v>
      </c>
      <c r="C525" s="2">
        <v>10</v>
      </c>
      <c r="D525" s="2">
        <f t="shared" si="36"/>
        <v>9</v>
      </c>
      <c r="E525" s="2">
        <v>900</v>
      </c>
      <c r="F525" s="2" t="s">
        <v>18</v>
      </c>
      <c r="G525" s="4" t="s">
        <v>107</v>
      </c>
      <c r="H525" s="2" t="s">
        <v>617</v>
      </c>
      <c r="I525" s="2" t="s">
        <v>618</v>
      </c>
      <c r="J525" s="2" t="s">
        <v>156</v>
      </c>
      <c r="K525" s="2" t="s">
        <v>110</v>
      </c>
      <c r="L525" s="2" t="s">
        <v>47</v>
      </c>
      <c r="M525" s="2">
        <f>6000/24</f>
        <v>250</v>
      </c>
      <c r="N525" s="2" t="str">
        <f>VLOOKUP(A525, zcorin_converter!A:L, 12, FALSE)</f>
        <v>Bag in Box</v>
      </c>
      <c r="O525" s="2" t="s">
        <v>216</v>
      </c>
      <c r="P525" s="2" t="s">
        <v>25</v>
      </c>
    </row>
    <row r="526" spans="1:16">
      <c r="A526" s="11" t="s">
        <v>1029</v>
      </c>
      <c r="B526" s="2" t="s">
        <v>1030</v>
      </c>
      <c r="C526" s="2">
        <v>10</v>
      </c>
      <c r="D526" s="2">
        <f t="shared" si="36"/>
        <v>9</v>
      </c>
      <c r="E526" s="2">
        <v>900</v>
      </c>
      <c r="F526" s="2" t="s">
        <v>18</v>
      </c>
      <c r="G526" s="4" t="s">
        <v>107</v>
      </c>
      <c r="H526" s="2" t="s">
        <v>617</v>
      </c>
      <c r="I526" s="2" t="s">
        <v>618</v>
      </c>
      <c r="J526" s="2" t="s">
        <v>156</v>
      </c>
      <c r="K526" s="2" t="s">
        <v>110</v>
      </c>
      <c r="L526" s="2" t="s">
        <v>47</v>
      </c>
      <c r="M526" s="2">
        <f>6200/24</f>
        <v>258.33333333333331</v>
      </c>
      <c r="N526" s="2" t="str">
        <f>VLOOKUP(A526, zcorin_converter!A:L, 12, FALSE)</f>
        <v>Bag in Box</v>
      </c>
      <c r="O526" s="2" t="s">
        <v>362</v>
      </c>
      <c r="P526" s="2" t="s">
        <v>25</v>
      </c>
    </row>
    <row r="527" spans="1:16">
      <c r="A527" s="11" t="s">
        <v>1029</v>
      </c>
      <c r="B527" s="2" t="s">
        <v>1030</v>
      </c>
      <c r="C527" s="2">
        <v>10</v>
      </c>
      <c r="D527" s="2">
        <f t="shared" si="36"/>
        <v>9</v>
      </c>
      <c r="E527" s="2">
        <v>900</v>
      </c>
      <c r="F527" s="2" t="s">
        <v>18</v>
      </c>
      <c r="G527" s="4" t="s">
        <v>107</v>
      </c>
      <c r="H527" s="2" t="s">
        <v>617</v>
      </c>
      <c r="I527" s="2" t="s">
        <v>618</v>
      </c>
      <c r="J527" s="2" t="s">
        <v>156</v>
      </c>
      <c r="K527" s="2" t="s">
        <v>110</v>
      </c>
      <c r="L527" s="2" t="s">
        <v>47</v>
      </c>
      <c r="M527" s="2">
        <f>8200/24</f>
        <v>341.66666666666669</v>
      </c>
      <c r="N527" s="2" t="str">
        <f>VLOOKUP(A527, zcorin_converter!A:L, 12, FALSE)</f>
        <v>Bag in Box</v>
      </c>
      <c r="O527" s="2" t="s">
        <v>623</v>
      </c>
      <c r="P527" s="2" t="s">
        <v>25</v>
      </c>
    </row>
    <row r="528" spans="1:16">
      <c r="A528" s="11" t="s">
        <v>1029</v>
      </c>
      <c r="B528" s="2" t="s">
        <v>1030</v>
      </c>
      <c r="C528" s="2">
        <v>10</v>
      </c>
      <c r="D528" s="2">
        <f t="shared" si="36"/>
        <v>9</v>
      </c>
      <c r="E528" s="2">
        <v>900</v>
      </c>
      <c r="F528" s="2" t="s">
        <v>18</v>
      </c>
      <c r="G528" s="4" t="s">
        <v>107</v>
      </c>
      <c r="H528" s="2" t="s">
        <v>617</v>
      </c>
      <c r="I528" s="2" t="s">
        <v>618</v>
      </c>
      <c r="J528" s="2" t="s">
        <v>156</v>
      </c>
      <c r="K528" s="2" t="s">
        <v>110</v>
      </c>
      <c r="L528" s="2" t="s">
        <v>47</v>
      </c>
      <c r="M528" s="2">
        <f>4500/24</f>
        <v>187.5</v>
      </c>
      <c r="N528" s="2" t="str">
        <f>VLOOKUP(A528, zcorin_converter!A:L, 12, FALSE)</f>
        <v>Bag in Box</v>
      </c>
      <c r="O528" s="2" t="s">
        <v>205</v>
      </c>
      <c r="P528" s="2" t="s">
        <v>25</v>
      </c>
    </row>
    <row r="529" spans="1:16">
      <c r="A529" s="11" t="s">
        <v>1029</v>
      </c>
      <c r="B529" s="2" t="s">
        <v>1030</v>
      </c>
      <c r="C529" s="2">
        <v>10</v>
      </c>
      <c r="D529" s="2">
        <f t="shared" si="36"/>
        <v>9</v>
      </c>
      <c r="E529" s="2">
        <v>900</v>
      </c>
      <c r="F529" s="2" t="s">
        <v>18</v>
      </c>
      <c r="G529" s="4" t="s">
        <v>107</v>
      </c>
      <c r="H529" s="2" t="s">
        <v>617</v>
      </c>
      <c r="I529" s="2" t="s">
        <v>618</v>
      </c>
      <c r="J529" s="2" t="s">
        <v>156</v>
      </c>
      <c r="K529" s="2" t="s">
        <v>110</v>
      </c>
      <c r="L529" s="2" t="s">
        <v>47</v>
      </c>
      <c r="M529" s="2">
        <f>4000/24</f>
        <v>166.66666666666666</v>
      </c>
      <c r="N529" s="2" t="str">
        <f>VLOOKUP(A529, zcorin_converter!A:L, 12, FALSE)</f>
        <v>Bag in Box</v>
      </c>
      <c r="O529" s="2" t="s">
        <v>665</v>
      </c>
      <c r="P529" s="2" t="s">
        <v>25</v>
      </c>
    </row>
    <row r="530" spans="1:16">
      <c r="A530" s="11" t="s">
        <v>1029</v>
      </c>
      <c r="B530" s="2" t="s">
        <v>1030</v>
      </c>
      <c r="C530" s="2">
        <v>10</v>
      </c>
      <c r="D530" s="2">
        <f t="shared" si="36"/>
        <v>9</v>
      </c>
      <c r="E530" s="2">
        <v>900</v>
      </c>
      <c r="F530" s="2" t="s">
        <v>18</v>
      </c>
      <c r="G530" s="4" t="s">
        <v>107</v>
      </c>
      <c r="H530" s="2" t="s">
        <v>617</v>
      </c>
      <c r="I530" s="2" t="s">
        <v>618</v>
      </c>
      <c r="J530" s="2" t="s">
        <v>156</v>
      </c>
      <c r="K530" s="2" t="s">
        <v>110</v>
      </c>
      <c r="L530" s="2" t="s">
        <v>47</v>
      </c>
      <c r="M530" s="2">
        <f>5500/24</f>
        <v>229.16666666666666</v>
      </c>
      <c r="N530" s="2" t="str">
        <f>VLOOKUP(A530, zcorin_converter!A:L, 12, FALSE)</f>
        <v>Bag in Box</v>
      </c>
      <c r="O530" s="2" t="s">
        <v>351</v>
      </c>
      <c r="P530" s="2" t="s">
        <v>25</v>
      </c>
    </row>
    <row r="531" spans="1:16">
      <c r="A531" s="11" t="s">
        <v>1031</v>
      </c>
      <c r="B531" s="2" t="s">
        <v>1032</v>
      </c>
      <c r="C531" s="2">
        <v>6</v>
      </c>
      <c r="D531" s="2">
        <f t="shared" si="36"/>
        <v>9.6</v>
      </c>
      <c r="E531" s="2">
        <f>1600</f>
        <v>1600</v>
      </c>
      <c r="F531" s="2" t="s">
        <v>18</v>
      </c>
      <c r="G531" s="4" t="s">
        <v>107</v>
      </c>
      <c r="H531" s="2" t="s">
        <v>617</v>
      </c>
      <c r="I531" s="2" t="s">
        <v>618</v>
      </c>
      <c r="J531" s="2" t="s">
        <v>156</v>
      </c>
      <c r="K531" s="2" t="s">
        <v>110</v>
      </c>
      <c r="L531" s="2" t="s">
        <v>47</v>
      </c>
      <c r="M531" s="2">
        <f t="shared" ref="M531:M532" si="39">3000/24</f>
        <v>125</v>
      </c>
      <c r="N531" s="2" t="str">
        <f>VLOOKUP(A531, zcorin_converter!A:L, 12, FALSE)</f>
        <v>Bag in Box</v>
      </c>
      <c r="O531" s="2" t="s">
        <v>216</v>
      </c>
      <c r="P531" s="2" t="s">
        <v>25</v>
      </c>
    </row>
    <row r="532" spans="1:16">
      <c r="A532" s="11" t="s">
        <v>1033</v>
      </c>
      <c r="B532" s="2" t="s">
        <v>1034</v>
      </c>
      <c r="C532" s="2">
        <v>6</v>
      </c>
      <c r="D532" s="2">
        <f t="shared" si="36"/>
        <v>9.6</v>
      </c>
      <c r="E532" s="2">
        <f>1600</f>
        <v>1600</v>
      </c>
      <c r="F532" s="2" t="s">
        <v>18</v>
      </c>
      <c r="G532" s="4" t="s">
        <v>107</v>
      </c>
      <c r="H532" s="2" t="s">
        <v>617</v>
      </c>
      <c r="I532" s="2" t="s">
        <v>618</v>
      </c>
      <c r="J532" s="2" t="s">
        <v>156</v>
      </c>
      <c r="K532" s="2" t="s">
        <v>110</v>
      </c>
      <c r="L532" s="2" t="s">
        <v>47</v>
      </c>
      <c r="M532" s="2">
        <f t="shared" si="39"/>
        <v>125</v>
      </c>
      <c r="N532" s="2" t="str">
        <f>VLOOKUP(A532, zcorin_converter!A:L, 12, FALSE)</f>
        <v>Bag in Box</v>
      </c>
      <c r="O532" s="2" t="s">
        <v>216</v>
      </c>
      <c r="P532" s="2" t="s">
        <v>25</v>
      </c>
    </row>
    <row r="533" spans="1:16">
      <c r="A533" s="11" t="s">
        <v>1035</v>
      </c>
      <c r="B533" s="2" t="s">
        <v>1036</v>
      </c>
      <c r="C533" s="2">
        <v>4</v>
      </c>
      <c r="D533" s="2">
        <f t="shared" si="36"/>
        <v>12</v>
      </c>
      <c r="E533" s="2">
        <v>3000</v>
      </c>
      <c r="F533" s="2" t="s">
        <v>18</v>
      </c>
      <c r="G533" s="4" t="s">
        <v>107</v>
      </c>
      <c r="H533" s="2" t="s">
        <v>617</v>
      </c>
      <c r="I533" s="2" t="s">
        <v>618</v>
      </c>
      <c r="J533" s="2" t="s">
        <v>156</v>
      </c>
      <c r="K533" s="2" t="s">
        <v>110</v>
      </c>
      <c r="L533" s="2" t="s">
        <v>47</v>
      </c>
      <c r="M533" s="2">
        <f t="shared" ref="M533:M534" si="40">2700/24</f>
        <v>112.5</v>
      </c>
      <c r="N533" s="2" t="str">
        <f>VLOOKUP(A533, zcorin_converter!A:L, 12, FALSE)</f>
        <v>Bag in Box</v>
      </c>
      <c r="O533" s="2" t="s">
        <v>665</v>
      </c>
      <c r="P533" s="2" t="s">
        <v>25</v>
      </c>
    </row>
    <row r="534" spans="1:16">
      <c r="A534" s="11" t="s">
        <v>1037</v>
      </c>
      <c r="B534" s="2" t="s">
        <v>1038</v>
      </c>
      <c r="C534" s="2">
        <v>4</v>
      </c>
      <c r="D534" s="2">
        <f t="shared" si="36"/>
        <v>12</v>
      </c>
      <c r="E534" s="2">
        <v>3000</v>
      </c>
      <c r="F534" s="2" t="s">
        <v>18</v>
      </c>
      <c r="G534" s="4" t="s">
        <v>107</v>
      </c>
      <c r="H534" s="2" t="s">
        <v>617</v>
      </c>
      <c r="I534" s="2" t="s">
        <v>618</v>
      </c>
      <c r="J534" s="2" t="s">
        <v>156</v>
      </c>
      <c r="K534" s="2" t="s">
        <v>110</v>
      </c>
      <c r="L534" s="2" t="s">
        <v>47</v>
      </c>
      <c r="M534" s="2">
        <f t="shared" si="40"/>
        <v>112.5</v>
      </c>
      <c r="N534" s="2" t="str">
        <f>VLOOKUP(A534, zcorin_converter!A:L, 12, FALSE)</f>
        <v>Bag in Box</v>
      </c>
      <c r="O534" s="2" t="s">
        <v>665</v>
      </c>
      <c r="P534" s="2" t="s">
        <v>25</v>
      </c>
    </row>
    <row r="535" spans="1:16">
      <c r="A535" s="11" t="s">
        <v>1039</v>
      </c>
      <c r="B535" s="2" t="s">
        <v>1040</v>
      </c>
      <c r="C535" s="2">
        <v>48</v>
      </c>
      <c r="D535" s="2">
        <f t="shared" si="36"/>
        <v>7.2</v>
      </c>
      <c r="E535" s="2">
        <v>150</v>
      </c>
      <c r="F535" s="2" t="s">
        <v>18</v>
      </c>
      <c r="G535" s="4" t="s">
        <v>107</v>
      </c>
      <c r="H535" s="2" t="s">
        <v>632</v>
      </c>
      <c r="I535" s="2" t="s">
        <v>618</v>
      </c>
      <c r="J535" s="2" t="s">
        <v>156</v>
      </c>
      <c r="K535" s="2" t="s">
        <v>110</v>
      </c>
      <c r="L535" s="2" t="s">
        <v>47</v>
      </c>
      <c r="M535" s="2">
        <f>2900/24</f>
        <v>120.83333333333333</v>
      </c>
      <c r="N535" s="2" t="str">
        <f>VLOOKUP(A535, zcorin_converter!A:L, 12, FALSE)</f>
        <v>Bag in Box</v>
      </c>
      <c r="O535" s="2" t="s">
        <v>377</v>
      </c>
      <c r="P535" s="2" t="s">
        <v>25</v>
      </c>
    </row>
    <row r="536" spans="1:16">
      <c r="A536" s="11" t="s">
        <v>1041</v>
      </c>
      <c r="B536" s="2" t="s">
        <v>1042</v>
      </c>
      <c r="C536" s="2">
        <v>21</v>
      </c>
      <c r="D536" s="2">
        <f t="shared" si="36"/>
        <v>8.4</v>
      </c>
      <c r="E536" s="2">
        <v>400</v>
      </c>
      <c r="F536" s="2" t="s">
        <v>18</v>
      </c>
      <c r="G536" s="4" t="s">
        <v>107</v>
      </c>
      <c r="H536" s="2" t="s">
        <v>632</v>
      </c>
      <c r="I536" s="2" t="s">
        <v>618</v>
      </c>
      <c r="J536" s="2" t="s">
        <v>156</v>
      </c>
      <c r="K536" s="2" t="s">
        <v>110</v>
      </c>
      <c r="L536" s="2" t="s">
        <v>47</v>
      </c>
      <c r="M536" s="2">
        <f t="shared" ref="M536:M538" si="41">5200/24</f>
        <v>216.66666666666666</v>
      </c>
      <c r="N536" s="2" t="str">
        <f>VLOOKUP(A536, zcorin_converter!A:L, 12, FALSE)</f>
        <v>Bag in Box</v>
      </c>
      <c r="O536" s="2" t="s">
        <v>362</v>
      </c>
      <c r="P536" s="2" t="s">
        <v>25</v>
      </c>
    </row>
    <row r="537" spans="1:16">
      <c r="A537" s="11" t="s">
        <v>1043</v>
      </c>
      <c r="B537" s="2" t="s">
        <v>1044</v>
      </c>
      <c r="C537" s="2">
        <v>21</v>
      </c>
      <c r="D537" s="2">
        <f t="shared" si="36"/>
        <v>8.4</v>
      </c>
      <c r="E537" s="2">
        <v>400</v>
      </c>
      <c r="F537" s="2" t="s">
        <v>18</v>
      </c>
      <c r="G537" s="4" t="s">
        <v>107</v>
      </c>
      <c r="H537" s="2" t="s">
        <v>632</v>
      </c>
      <c r="I537" s="2" t="s">
        <v>618</v>
      </c>
      <c r="J537" s="2" t="s">
        <v>156</v>
      </c>
      <c r="K537" s="2" t="s">
        <v>110</v>
      </c>
      <c r="L537" s="2" t="s">
        <v>47</v>
      </c>
      <c r="M537" s="2">
        <f t="shared" si="41"/>
        <v>216.66666666666666</v>
      </c>
      <c r="N537" s="2" t="str">
        <f>VLOOKUP(A537, zcorin_converter!A:L, 12, FALSE)</f>
        <v>Bag in Box</v>
      </c>
      <c r="O537" s="2" t="s">
        <v>362</v>
      </c>
      <c r="P537" s="2" t="s">
        <v>25</v>
      </c>
    </row>
    <row r="538" spans="1:16">
      <c r="A538" s="11" t="s">
        <v>1045</v>
      </c>
      <c r="B538" s="2" t="s">
        <v>1046</v>
      </c>
      <c r="C538" s="2">
        <v>21</v>
      </c>
      <c r="D538" s="2">
        <f t="shared" si="36"/>
        <v>8.4</v>
      </c>
      <c r="E538" s="2">
        <v>400</v>
      </c>
      <c r="F538" s="2" t="s">
        <v>18</v>
      </c>
      <c r="G538" s="2" t="s">
        <v>107</v>
      </c>
      <c r="H538" s="2" t="s">
        <v>632</v>
      </c>
      <c r="I538" s="2" t="s">
        <v>618</v>
      </c>
      <c r="J538" s="2" t="s">
        <v>156</v>
      </c>
      <c r="K538" s="2" t="s">
        <v>110</v>
      </c>
      <c r="L538" s="2" t="s">
        <v>47</v>
      </c>
      <c r="M538" s="2">
        <f t="shared" si="41"/>
        <v>216.66666666666666</v>
      </c>
      <c r="N538" s="2" t="str">
        <f>VLOOKUP(A538, zcorin_converter!A:L, 12, FALSE)</f>
        <v>Bag in Box</v>
      </c>
      <c r="O538" s="2" t="s">
        <v>362</v>
      </c>
      <c r="P538" s="2" t="s">
        <v>25</v>
      </c>
    </row>
    <row r="539" spans="1:16">
      <c r="A539" s="11" t="s">
        <v>1047</v>
      </c>
      <c r="B539" s="2" t="s">
        <v>1048</v>
      </c>
      <c r="C539" s="2">
        <v>12</v>
      </c>
      <c r="D539" s="2">
        <f t="shared" si="36"/>
        <v>7.2</v>
      </c>
      <c r="E539" s="2">
        <v>600</v>
      </c>
      <c r="F539" s="2" t="s">
        <v>18</v>
      </c>
      <c r="G539" s="4" t="s">
        <v>107</v>
      </c>
      <c r="H539" s="2" t="s">
        <v>632</v>
      </c>
      <c r="I539" s="2" t="s">
        <v>618</v>
      </c>
      <c r="J539" s="2" t="s">
        <v>156</v>
      </c>
      <c r="K539" s="2" t="s">
        <v>110</v>
      </c>
      <c r="L539" s="2" t="s">
        <v>47</v>
      </c>
      <c r="M539" s="2">
        <f t="shared" ref="M539:M540" si="42">8000/24</f>
        <v>333.33333333333331</v>
      </c>
      <c r="N539" s="2" t="str">
        <f>VLOOKUP(A539, zcorin_converter!A:L, 12, FALSE)</f>
        <v>Bag in Box</v>
      </c>
      <c r="O539" s="2" t="s">
        <v>623</v>
      </c>
      <c r="P539" s="2" t="s">
        <v>25</v>
      </c>
    </row>
    <row r="540" spans="1:16">
      <c r="A540" s="11" t="s">
        <v>1049</v>
      </c>
      <c r="B540" s="2" t="s">
        <v>1050</v>
      </c>
      <c r="C540" s="2">
        <v>12</v>
      </c>
      <c r="D540" s="2">
        <f t="shared" si="36"/>
        <v>7.2</v>
      </c>
      <c r="E540" s="2">
        <v>600</v>
      </c>
      <c r="F540" s="2" t="s">
        <v>18</v>
      </c>
      <c r="G540" s="2" t="s">
        <v>107</v>
      </c>
      <c r="H540" s="2" t="s">
        <v>632</v>
      </c>
      <c r="I540" s="2" t="s">
        <v>618</v>
      </c>
      <c r="J540" s="2" t="s">
        <v>156</v>
      </c>
      <c r="K540" s="2" t="s">
        <v>110</v>
      </c>
      <c r="L540" s="2" t="s">
        <v>47</v>
      </c>
      <c r="M540" s="2">
        <f t="shared" si="42"/>
        <v>333.33333333333331</v>
      </c>
      <c r="N540" s="2" t="str">
        <f>VLOOKUP(A540, zcorin_converter!A:L, 12, FALSE)</f>
        <v>Bag in Box</v>
      </c>
      <c r="O540" s="2" t="s">
        <v>623</v>
      </c>
      <c r="P540" s="2" t="s">
        <v>25</v>
      </c>
    </row>
    <row r="541" spans="1:16">
      <c r="A541" s="11" t="s">
        <v>1051</v>
      </c>
      <c r="B541" s="2" t="s">
        <v>1052</v>
      </c>
      <c r="C541" s="2">
        <v>10</v>
      </c>
      <c r="D541" s="2">
        <f t="shared" si="36"/>
        <v>9</v>
      </c>
      <c r="E541" s="2">
        <v>900</v>
      </c>
      <c r="F541" s="2" t="s">
        <v>18</v>
      </c>
      <c r="G541" s="2" t="s">
        <v>107</v>
      </c>
      <c r="H541" s="2" t="s">
        <v>632</v>
      </c>
      <c r="I541" s="2" t="s">
        <v>618</v>
      </c>
      <c r="J541" s="2" t="s">
        <v>156</v>
      </c>
      <c r="K541" s="2" t="s">
        <v>110</v>
      </c>
      <c r="L541" s="2" t="s">
        <v>47</v>
      </c>
      <c r="M541" s="2">
        <f>5500/24</f>
        <v>229.16666666666666</v>
      </c>
      <c r="N541" s="2" t="str">
        <f>VLOOKUP(A541, zcorin_converter!A:L, 12, FALSE)</f>
        <v>Bag in Box</v>
      </c>
      <c r="O541" s="2" t="s">
        <v>377</v>
      </c>
      <c r="P541" s="2" t="s">
        <v>25</v>
      </c>
    </row>
    <row r="542" spans="1:16">
      <c r="A542" s="11" t="s">
        <v>1051</v>
      </c>
      <c r="B542" s="2" t="s">
        <v>1052</v>
      </c>
      <c r="C542" s="2">
        <v>10</v>
      </c>
      <c r="D542" s="2">
        <f t="shared" si="36"/>
        <v>9</v>
      </c>
      <c r="E542" s="2">
        <v>900</v>
      </c>
      <c r="F542" s="2" t="s">
        <v>18</v>
      </c>
      <c r="G542" s="2" t="s">
        <v>107</v>
      </c>
      <c r="H542" s="2" t="s">
        <v>632</v>
      </c>
      <c r="I542" s="2" t="s">
        <v>618</v>
      </c>
      <c r="J542" s="2" t="s">
        <v>156</v>
      </c>
      <c r="K542" s="2" t="s">
        <v>110</v>
      </c>
      <c r="L542" s="2" t="s">
        <v>47</v>
      </c>
      <c r="M542" s="2">
        <f>6000/24</f>
        <v>250</v>
      </c>
      <c r="N542" s="2" t="str">
        <f>VLOOKUP(A542, zcorin_converter!A:L, 12, FALSE)</f>
        <v>Bag in Box</v>
      </c>
      <c r="O542" s="2" t="s">
        <v>216</v>
      </c>
      <c r="P542" s="2" t="s">
        <v>25</v>
      </c>
    </row>
    <row r="543" spans="1:16">
      <c r="A543" s="11" t="s">
        <v>1051</v>
      </c>
      <c r="B543" s="2" t="s">
        <v>1052</v>
      </c>
      <c r="C543" s="2">
        <v>10</v>
      </c>
      <c r="D543" s="2">
        <f t="shared" si="36"/>
        <v>9</v>
      </c>
      <c r="E543" s="2">
        <v>900</v>
      </c>
      <c r="F543" s="2" t="s">
        <v>18</v>
      </c>
      <c r="G543" s="2" t="s">
        <v>107</v>
      </c>
      <c r="H543" s="2" t="s">
        <v>632</v>
      </c>
      <c r="I543" s="2" t="s">
        <v>618</v>
      </c>
      <c r="J543" s="2" t="s">
        <v>156</v>
      </c>
      <c r="K543" s="2" t="s">
        <v>110</v>
      </c>
      <c r="L543" s="2" t="s">
        <v>47</v>
      </c>
      <c r="M543" s="2">
        <f>6200/24</f>
        <v>258.33333333333331</v>
      </c>
      <c r="N543" s="2" t="str">
        <f>VLOOKUP(A543, zcorin_converter!A:L, 12, FALSE)</f>
        <v>Bag in Box</v>
      </c>
      <c r="O543" s="2" t="s">
        <v>362</v>
      </c>
      <c r="P543" s="2" t="s">
        <v>25</v>
      </c>
    </row>
    <row r="544" spans="1:16">
      <c r="A544" s="11" t="s">
        <v>1051</v>
      </c>
      <c r="B544" s="2" t="s">
        <v>1052</v>
      </c>
      <c r="C544" s="2">
        <v>10</v>
      </c>
      <c r="D544" s="2">
        <f t="shared" si="36"/>
        <v>9</v>
      </c>
      <c r="E544" s="2">
        <v>900</v>
      </c>
      <c r="F544" s="2" t="s">
        <v>18</v>
      </c>
      <c r="G544" s="2" t="s">
        <v>107</v>
      </c>
      <c r="H544" s="2" t="s">
        <v>632</v>
      </c>
      <c r="I544" s="2" t="s">
        <v>618</v>
      </c>
      <c r="J544" s="2" t="s">
        <v>156</v>
      </c>
      <c r="K544" s="2" t="s">
        <v>110</v>
      </c>
      <c r="L544" s="2" t="s">
        <v>47</v>
      </c>
      <c r="M544" s="2">
        <f>8200/24</f>
        <v>341.66666666666669</v>
      </c>
      <c r="N544" s="2" t="str">
        <f>VLOOKUP(A544, zcorin_converter!A:L, 12, FALSE)</f>
        <v>Bag in Box</v>
      </c>
      <c r="O544" s="2" t="s">
        <v>623</v>
      </c>
      <c r="P544" s="2" t="s">
        <v>25</v>
      </c>
    </row>
    <row r="545" spans="1:16">
      <c r="A545" s="11" t="s">
        <v>1051</v>
      </c>
      <c r="B545" s="2" t="s">
        <v>1052</v>
      </c>
      <c r="C545" s="2">
        <v>10</v>
      </c>
      <c r="D545" s="2">
        <f t="shared" si="36"/>
        <v>9</v>
      </c>
      <c r="E545" s="2">
        <v>900</v>
      </c>
      <c r="F545" s="2" t="s">
        <v>18</v>
      </c>
      <c r="G545" s="2" t="s">
        <v>107</v>
      </c>
      <c r="H545" s="2" t="s">
        <v>632</v>
      </c>
      <c r="I545" s="2" t="s">
        <v>618</v>
      </c>
      <c r="J545" s="2" t="s">
        <v>156</v>
      </c>
      <c r="K545" s="2" t="s">
        <v>110</v>
      </c>
      <c r="L545" s="2" t="s">
        <v>47</v>
      </c>
      <c r="M545" s="2">
        <f>4500/24</f>
        <v>187.5</v>
      </c>
      <c r="N545" s="2" t="str">
        <f>VLOOKUP(A545, zcorin_converter!A:L, 12, FALSE)</f>
        <v>Bag in Box</v>
      </c>
      <c r="O545" s="2" t="s">
        <v>205</v>
      </c>
      <c r="P545" s="2" t="s">
        <v>25</v>
      </c>
    </row>
    <row r="546" spans="1:16">
      <c r="A546" s="11" t="s">
        <v>1051</v>
      </c>
      <c r="B546" s="2" t="s">
        <v>1052</v>
      </c>
      <c r="C546" s="2">
        <v>10</v>
      </c>
      <c r="D546" s="2">
        <f t="shared" si="36"/>
        <v>9</v>
      </c>
      <c r="E546" s="2">
        <v>900</v>
      </c>
      <c r="F546" s="2" t="s">
        <v>18</v>
      </c>
      <c r="G546" s="2" t="s">
        <v>107</v>
      </c>
      <c r="H546" s="2" t="s">
        <v>632</v>
      </c>
      <c r="I546" s="2" t="s">
        <v>618</v>
      </c>
      <c r="J546" s="2" t="s">
        <v>156</v>
      </c>
      <c r="K546" s="2" t="s">
        <v>110</v>
      </c>
      <c r="L546" s="2" t="s">
        <v>47</v>
      </c>
      <c r="M546" s="2">
        <f>4000/24</f>
        <v>166.66666666666666</v>
      </c>
      <c r="N546" s="2" t="str">
        <f>VLOOKUP(A546, zcorin_converter!A:L, 12, FALSE)</f>
        <v>Bag in Box</v>
      </c>
      <c r="O546" s="2" t="s">
        <v>665</v>
      </c>
      <c r="P546" s="2" t="s">
        <v>25</v>
      </c>
    </row>
    <row r="547" spans="1:16">
      <c r="A547" s="11" t="s">
        <v>1051</v>
      </c>
      <c r="B547" s="2" t="s">
        <v>1052</v>
      </c>
      <c r="C547" s="2">
        <v>10</v>
      </c>
      <c r="D547" s="2">
        <f t="shared" si="36"/>
        <v>9</v>
      </c>
      <c r="E547" s="2">
        <v>900</v>
      </c>
      <c r="F547" s="2" t="s">
        <v>18</v>
      </c>
      <c r="G547" s="2" t="s">
        <v>107</v>
      </c>
      <c r="H547" s="2" t="s">
        <v>632</v>
      </c>
      <c r="I547" s="2" t="s">
        <v>618</v>
      </c>
      <c r="J547" s="2" t="s">
        <v>156</v>
      </c>
      <c r="K547" s="2" t="s">
        <v>110</v>
      </c>
      <c r="L547" s="2" t="s">
        <v>47</v>
      </c>
      <c r="M547" s="2">
        <f>5500/24</f>
        <v>229.16666666666666</v>
      </c>
      <c r="N547" s="2" t="str">
        <f>VLOOKUP(A547, zcorin_converter!A:L, 12, FALSE)</f>
        <v>Bag in Box</v>
      </c>
      <c r="O547" s="2" t="s">
        <v>351</v>
      </c>
      <c r="P547" s="2" t="s">
        <v>25</v>
      </c>
    </row>
    <row r="548" spans="1:16">
      <c r="A548" s="11" t="s">
        <v>1053</v>
      </c>
      <c r="B548" s="2" t="s">
        <v>1054</v>
      </c>
      <c r="C548" s="2">
        <v>10</v>
      </c>
      <c r="D548" s="2">
        <f t="shared" si="36"/>
        <v>9</v>
      </c>
      <c r="E548" s="2">
        <v>900</v>
      </c>
      <c r="F548" s="2" t="s">
        <v>18</v>
      </c>
      <c r="G548" s="4" t="s">
        <v>107</v>
      </c>
      <c r="H548" s="2" t="s">
        <v>632</v>
      </c>
      <c r="I548" s="2" t="s">
        <v>618</v>
      </c>
      <c r="J548" s="2" t="s">
        <v>156</v>
      </c>
      <c r="K548" s="2" t="s">
        <v>110</v>
      </c>
      <c r="L548" s="2" t="s">
        <v>47</v>
      </c>
      <c r="M548" s="2">
        <f>5500/24</f>
        <v>229.16666666666666</v>
      </c>
      <c r="N548" s="2" t="str">
        <f>VLOOKUP(A548, zcorin_converter!A:L, 12, FALSE)</f>
        <v>Bag in Box</v>
      </c>
      <c r="O548" s="2" t="s">
        <v>377</v>
      </c>
      <c r="P548" s="2" t="s">
        <v>25</v>
      </c>
    </row>
    <row r="549" spans="1:16">
      <c r="A549" s="11" t="s">
        <v>1053</v>
      </c>
      <c r="B549" s="2" t="s">
        <v>1054</v>
      </c>
      <c r="C549" s="2">
        <v>10</v>
      </c>
      <c r="D549" s="2">
        <f t="shared" si="36"/>
        <v>9</v>
      </c>
      <c r="E549" s="2">
        <v>900</v>
      </c>
      <c r="F549" s="2" t="s">
        <v>18</v>
      </c>
      <c r="G549" s="4" t="s">
        <v>107</v>
      </c>
      <c r="H549" s="2" t="s">
        <v>632</v>
      </c>
      <c r="I549" s="2" t="s">
        <v>618</v>
      </c>
      <c r="J549" s="2" t="s">
        <v>156</v>
      </c>
      <c r="K549" s="2" t="s">
        <v>110</v>
      </c>
      <c r="L549" s="2" t="s">
        <v>47</v>
      </c>
      <c r="M549" s="2">
        <f>6000/24</f>
        <v>250</v>
      </c>
      <c r="N549" s="2" t="str">
        <f>VLOOKUP(A549, zcorin_converter!A:L, 12, FALSE)</f>
        <v>Bag in Box</v>
      </c>
      <c r="O549" s="2" t="s">
        <v>216</v>
      </c>
      <c r="P549" s="2" t="s">
        <v>25</v>
      </c>
    </row>
    <row r="550" spans="1:16">
      <c r="A550" s="11" t="s">
        <v>1053</v>
      </c>
      <c r="B550" s="2" t="s">
        <v>1054</v>
      </c>
      <c r="C550" s="2">
        <v>10</v>
      </c>
      <c r="D550" s="2">
        <f t="shared" si="36"/>
        <v>9</v>
      </c>
      <c r="E550" s="2">
        <v>900</v>
      </c>
      <c r="F550" s="2" t="s">
        <v>18</v>
      </c>
      <c r="G550" s="4" t="s">
        <v>107</v>
      </c>
      <c r="H550" s="2" t="s">
        <v>632</v>
      </c>
      <c r="I550" s="2" t="s">
        <v>618</v>
      </c>
      <c r="J550" s="2" t="s">
        <v>156</v>
      </c>
      <c r="K550" s="2" t="s">
        <v>110</v>
      </c>
      <c r="L550" s="2" t="s">
        <v>47</v>
      </c>
      <c r="M550" s="2">
        <f>6200/24</f>
        <v>258.33333333333331</v>
      </c>
      <c r="N550" s="2" t="str">
        <f>VLOOKUP(A550, zcorin_converter!A:L, 12, FALSE)</f>
        <v>Bag in Box</v>
      </c>
      <c r="O550" s="2" t="s">
        <v>362</v>
      </c>
      <c r="P550" s="2" t="s">
        <v>25</v>
      </c>
    </row>
    <row r="551" spans="1:16">
      <c r="A551" s="11" t="s">
        <v>1053</v>
      </c>
      <c r="B551" s="2" t="s">
        <v>1054</v>
      </c>
      <c r="C551" s="2">
        <v>10</v>
      </c>
      <c r="D551" s="2">
        <f t="shared" si="36"/>
        <v>9</v>
      </c>
      <c r="E551" s="2">
        <v>900</v>
      </c>
      <c r="F551" s="2" t="s">
        <v>18</v>
      </c>
      <c r="G551" s="4" t="s">
        <v>107</v>
      </c>
      <c r="H551" s="2" t="s">
        <v>632</v>
      </c>
      <c r="I551" s="2" t="s">
        <v>618</v>
      </c>
      <c r="J551" s="2" t="s">
        <v>156</v>
      </c>
      <c r="K551" s="2" t="s">
        <v>110</v>
      </c>
      <c r="L551" s="2" t="s">
        <v>47</v>
      </c>
      <c r="M551" s="2">
        <f>8200/24</f>
        <v>341.66666666666669</v>
      </c>
      <c r="N551" s="2" t="str">
        <f>VLOOKUP(A551, zcorin_converter!A:L, 12, FALSE)</f>
        <v>Bag in Box</v>
      </c>
      <c r="O551" s="2" t="s">
        <v>623</v>
      </c>
      <c r="P551" s="2" t="s">
        <v>25</v>
      </c>
    </row>
    <row r="552" spans="1:16">
      <c r="A552" s="11" t="s">
        <v>1053</v>
      </c>
      <c r="B552" s="2" t="s">
        <v>1054</v>
      </c>
      <c r="C552" s="2">
        <v>10</v>
      </c>
      <c r="D552" s="2">
        <f t="shared" si="36"/>
        <v>9</v>
      </c>
      <c r="E552" s="2">
        <v>900</v>
      </c>
      <c r="F552" s="2" t="s">
        <v>18</v>
      </c>
      <c r="G552" s="4" t="s">
        <v>107</v>
      </c>
      <c r="H552" s="2" t="s">
        <v>632</v>
      </c>
      <c r="I552" s="2" t="s">
        <v>618</v>
      </c>
      <c r="J552" s="2" t="s">
        <v>156</v>
      </c>
      <c r="K552" s="2" t="s">
        <v>110</v>
      </c>
      <c r="L552" s="2" t="s">
        <v>47</v>
      </c>
      <c r="M552" s="2">
        <f>4500/24</f>
        <v>187.5</v>
      </c>
      <c r="N552" s="2" t="str">
        <f>VLOOKUP(A552, zcorin_converter!A:L, 12, FALSE)</f>
        <v>Bag in Box</v>
      </c>
      <c r="O552" s="2" t="s">
        <v>205</v>
      </c>
      <c r="P552" s="2" t="s">
        <v>25</v>
      </c>
    </row>
    <row r="553" spans="1:16">
      <c r="A553" s="11" t="s">
        <v>1053</v>
      </c>
      <c r="B553" s="2" t="s">
        <v>1054</v>
      </c>
      <c r="C553" s="2">
        <v>10</v>
      </c>
      <c r="D553" s="2">
        <f t="shared" si="36"/>
        <v>9</v>
      </c>
      <c r="E553" s="2">
        <v>900</v>
      </c>
      <c r="F553" s="2" t="s">
        <v>18</v>
      </c>
      <c r="G553" s="4" t="s">
        <v>107</v>
      </c>
      <c r="H553" s="2" t="s">
        <v>632</v>
      </c>
      <c r="I553" s="2" t="s">
        <v>618</v>
      </c>
      <c r="J553" s="2" t="s">
        <v>156</v>
      </c>
      <c r="K553" s="2" t="s">
        <v>110</v>
      </c>
      <c r="L553" s="2" t="s">
        <v>47</v>
      </c>
      <c r="M553" s="2">
        <f>4000/24</f>
        <v>166.66666666666666</v>
      </c>
      <c r="N553" s="2" t="str">
        <f>VLOOKUP(A553, zcorin_converter!A:L, 12, FALSE)</f>
        <v>Bag in Box</v>
      </c>
      <c r="O553" s="2" t="s">
        <v>665</v>
      </c>
      <c r="P553" s="2" t="s">
        <v>25</v>
      </c>
    </row>
    <row r="554" spans="1:16">
      <c r="A554" s="11" t="s">
        <v>1053</v>
      </c>
      <c r="B554" s="2" t="s">
        <v>1054</v>
      </c>
      <c r="C554" s="2">
        <v>10</v>
      </c>
      <c r="D554" s="2">
        <f t="shared" si="36"/>
        <v>9</v>
      </c>
      <c r="E554" s="2">
        <v>900</v>
      </c>
      <c r="F554" s="2" t="s">
        <v>18</v>
      </c>
      <c r="G554" s="4" t="s">
        <v>107</v>
      </c>
      <c r="H554" s="2" t="s">
        <v>632</v>
      </c>
      <c r="I554" s="2" t="s">
        <v>618</v>
      </c>
      <c r="J554" s="2" t="s">
        <v>156</v>
      </c>
      <c r="K554" s="2" t="s">
        <v>110</v>
      </c>
      <c r="L554" s="2" t="s">
        <v>47</v>
      </c>
      <c r="M554" s="2">
        <f>5500/24</f>
        <v>229.16666666666666</v>
      </c>
      <c r="N554" s="2" t="str">
        <f>VLOOKUP(A554, zcorin_converter!A:L, 12, FALSE)</f>
        <v>Bag in Box</v>
      </c>
      <c r="O554" s="2" t="s">
        <v>351</v>
      </c>
      <c r="P554" s="2" t="s">
        <v>25</v>
      </c>
    </row>
    <row r="555" spans="1:16">
      <c r="A555" s="11" t="s">
        <v>1055</v>
      </c>
      <c r="B555" s="2" t="s">
        <v>1056</v>
      </c>
      <c r="C555" s="2">
        <v>10</v>
      </c>
      <c r="D555" s="2">
        <f t="shared" si="36"/>
        <v>9</v>
      </c>
      <c r="E555" s="2">
        <v>900</v>
      </c>
      <c r="F555" s="2" t="s">
        <v>18</v>
      </c>
      <c r="G555" s="4" t="s">
        <v>107</v>
      </c>
      <c r="H555" s="2" t="s">
        <v>632</v>
      </c>
      <c r="I555" s="2" t="s">
        <v>618</v>
      </c>
      <c r="J555" s="2" t="s">
        <v>156</v>
      </c>
      <c r="K555" s="2" t="s">
        <v>110</v>
      </c>
      <c r="L555" s="2" t="s">
        <v>47</v>
      </c>
      <c r="M555" s="2">
        <f>8200/24</f>
        <v>341.66666666666669</v>
      </c>
      <c r="N555" s="2" t="str">
        <f>VLOOKUP(A555, zcorin_converter!A:L, 12, FALSE)</f>
        <v>Bag in Box</v>
      </c>
      <c r="O555" s="2" t="s">
        <v>623</v>
      </c>
      <c r="P555" s="2" t="s">
        <v>25</v>
      </c>
    </row>
    <row r="556" spans="1:16">
      <c r="A556" s="11" t="s">
        <v>1057</v>
      </c>
      <c r="B556" s="2" t="s">
        <v>1058</v>
      </c>
      <c r="C556" s="2">
        <v>6</v>
      </c>
      <c r="D556" s="2">
        <f t="shared" si="36"/>
        <v>9.6</v>
      </c>
      <c r="E556" s="2">
        <f>1600</f>
        <v>1600</v>
      </c>
      <c r="F556" s="2" t="s">
        <v>18</v>
      </c>
      <c r="G556" s="2" t="s">
        <v>107</v>
      </c>
      <c r="H556" s="2" t="s">
        <v>632</v>
      </c>
      <c r="I556" s="2" t="s">
        <v>618</v>
      </c>
      <c r="J556" s="2" t="s">
        <v>156</v>
      </c>
      <c r="K556" s="2" t="s">
        <v>110</v>
      </c>
      <c r="L556" s="2" t="s">
        <v>47</v>
      </c>
      <c r="M556" s="2">
        <f t="shared" ref="M556:M557" si="43">3000/24</f>
        <v>125</v>
      </c>
      <c r="N556" s="2" t="str">
        <f>VLOOKUP(A556, zcorin_converter!A:L, 12, FALSE)</f>
        <v>Bag in Box</v>
      </c>
      <c r="O556" s="2" t="s">
        <v>216</v>
      </c>
      <c r="P556" s="2" t="s">
        <v>25</v>
      </c>
    </row>
    <row r="557" spans="1:16">
      <c r="A557" s="11" t="s">
        <v>1059</v>
      </c>
      <c r="B557" s="2" t="s">
        <v>1060</v>
      </c>
      <c r="C557" s="2">
        <v>6</v>
      </c>
      <c r="D557" s="2">
        <f t="shared" si="36"/>
        <v>9.6</v>
      </c>
      <c r="E557" s="2">
        <f>1600</f>
        <v>1600</v>
      </c>
      <c r="F557" s="2" t="s">
        <v>18</v>
      </c>
      <c r="G557" s="4" t="s">
        <v>107</v>
      </c>
      <c r="H557" s="2" t="s">
        <v>632</v>
      </c>
      <c r="I557" s="2" t="s">
        <v>618</v>
      </c>
      <c r="J557" s="2" t="s">
        <v>156</v>
      </c>
      <c r="K557" s="2" t="s">
        <v>110</v>
      </c>
      <c r="L557" s="2" t="s">
        <v>47</v>
      </c>
      <c r="M557" s="2">
        <f t="shared" si="43"/>
        <v>125</v>
      </c>
      <c r="N557" s="2" t="str">
        <f>VLOOKUP(A557, zcorin_converter!A:L, 12, FALSE)</f>
        <v>Bag in Box</v>
      </c>
      <c r="O557" s="2" t="s">
        <v>216</v>
      </c>
      <c r="P557" s="2" t="s">
        <v>25</v>
      </c>
    </row>
    <row r="558" spans="1:16">
      <c r="A558" s="11" t="s">
        <v>1061</v>
      </c>
      <c r="B558" s="2" t="s">
        <v>1062</v>
      </c>
      <c r="C558" s="2">
        <v>4</v>
      </c>
      <c r="D558" s="2">
        <f t="shared" si="36"/>
        <v>12</v>
      </c>
      <c r="E558" s="2">
        <v>3000</v>
      </c>
      <c r="F558" s="2" t="s">
        <v>18</v>
      </c>
      <c r="G558" s="4" t="s">
        <v>107</v>
      </c>
      <c r="H558" s="2" t="s">
        <v>632</v>
      </c>
      <c r="I558" s="2" t="s">
        <v>618</v>
      </c>
      <c r="J558" s="2" t="s">
        <v>156</v>
      </c>
      <c r="K558" s="2" t="s">
        <v>110</v>
      </c>
      <c r="L558" s="2" t="s">
        <v>47</v>
      </c>
      <c r="M558" s="2">
        <f t="shared" ref="M558:M559" si="44">2700/24</f>
        <v>112.5</v>
      </c>
      <c r="N558" s="2" t="str">
        <f>VLOOKUP(A558, zcorin_converter!A:L, 12, FALSE)</f>
        <v>Bag in Box</v>
      </c>
      <c r="O558" s="2" t="s">
        <v>665</v>
      </c>
      <c r="P558" s="2" t="s">
        <v>25</v>
      </c>
    </row>
    <row r="559" spans="1:16">
      <c r="A559" s="11" t="s">
        <v>1063</v>
      </c>
      <c r="B559" s="2" t="s">
        <v>1064</v>
      </c>
      <c r="C559" s="2">
        <v>4</v>
      </c>
      <c r="D559" s="2">
        <f t="shared" si="36"/>
        <v>12</v>
      </c>
      <c r="E559" s="2">
        <v>3000</v>
      </c>
      <c r="F559" s="2" t="s">
        <v>18</v>
      </c>
      <c r="G559" s="2" t="s">
        <v>107</v>
      </c>
      <c r="H559" s="2" t="s">
        <v>632</v>
      </c>
      <c r="I559" s="2" t="s">
        <v>618</v>
      </c>
      <c r="J559" s="2" t="s">
        <v>156</v>
      </c>
      <c r="K559" s="2" t="s">
        <v>110</v>
      </c>
      <c r="L559" s="2" t="s">
        <v>47</v>
      </c>
      <c r="M559" s="2">
        <f t="shared" si="44"/>
        <v>112.5</v>
      </c>
      <c r="N559" s="2" t="str">
        <f>VLOOKUP(A559, zcorin_converter!A:L, 12, FALSE)</f>
        <v>Bag in Box</v>
      </c>
      <c r="O559" s="2" t="s">
        <v>665</v>
      </c>
      <c r="P559" s="2" t="s">
        <v>25</v>
      </c>
    </row>
    <row r="560" spans="1:16">
      <c r="A560" s="11" t="s">
        <v>1065</v>
      </c>
      <c r="B560" s="2" t="s">
        <v>1066</v>
      </c>
      <c r="C560" s="2">
        <v>21</v>
      </c>
      <c r="D560" s="2">
        <f t="shared" si="36"/>
        <v>8.4</v>
      </c>
      <c r="E560" s="2">
        <v>400</v>
      </c>
      <c r="F560" s="2" t="s">
        <v>18</v>
      </c>
      <c r="G560" s="4" t="s">
        <v>107</v>
      </c>
      <c r="H560" s="2" t="s">
        <v>676</v>
      </c>
      <c r="I560" s="2" t="s">
        <v>618</v>
      </c>
      <c r="J560" s="2" t="s">
        <v>156</v>
      </c>
      <c r="K560" s="2" t="s">
        <v>110</v>
      </c>
      <c r="L560" s="2" t="s">
        <v>47</v>
      </c>
      <c r="M560" s="2">
        <f>5200/24</f>
        <v>216.66666666666666</v>
      </c>
      <c r="N560" s="2" t="str">
        <f>VLOOKUP(A560, zcorin_converter!A:L, 12, FALSE)</f>
        <v>Bag in Box</v>
      </c>
      <c r="O560" s="2" t="s">
        <v>362</v>
      </c>
      <c r="P560" s="2" t="s">
        <v>25</v>
      </c>
    </row>
    <row r="561" spans="1:16">
      <c r="A561" s="11" t="s">
        <v>1067</v>
      </c>
      <c r="B561" s="2" t="s">
        <v>1068</v>
      </c>
      <c r="C561" s="2">
        <v>12</v>
      </c>
      <c r="D561" s="2">
        <f t="shared" si="36"/>
        <v>6.9</v>
      </c>
      <c r="E561" s="2">
        <v>575</v>
      </c>
      <c r="F561" s="2" t="s">
        <v>18</v>
      </c>
      <c r="G561" s="4" t="s">
        <v>107</v>
      </c>
      <c r="H561" s="2" t="s">
        <v>676</v>
      </c>
      <c r="I561" s="2" t="s">
        <v>618</v>
      </c>
      <c r="J561" s="2" t="s">
        <v>156</v>
      </c>
      <c r="K561" s="2" t="s">
        <v>110</v>
      </c>
      <c r="L561" s="2" t="s">
        <v>47</v>
      </c>
      <c r="M561" s="2">
        <f t="shared" ref="M561:M562" si="45">8000/24</f>
        <v>333.33333333333331</v>
      </c>
      <c r="N561" s="2" t="str">
        <f>VLOOKUP(A561, zcorin_converter!A:L, 12, FALSE)</f>
        <v>Bag in Box</v>
      </c>
      <c r="O561" s="2" t="s">
        <v>623</v>
      </c>
      <c r="P561" s="2" t="s">
        <v>25</v>
      </c>
    </row>
    <row r="562" spans="1:16">
      <c r="A562" s="11" t="s">
        <v>1069</v>
      </c>
      <c r="B562" s="2" t="s">
        <v>1070</v>
      </c>
      <c r="C562" s="2">
        <v>12</v>
      </c>
      <c r="D562" s="2">
        <f t="shared" si="36"/>
        <v>6.9</v>
      </c>
      <c r="E562" s="2">
        <v>575</v>
      </c>
      <c r="F562" s="2" t="s">
        <v>18</v>
      </c>
      <c r="G562" s="4" t="s">
        <v>107</v>
      </c>
      <c r="H562" s="2" t="s">
        <v>676</v>
      </c>
      <c r="I562" s="2" t="s">
        <v>618</v>
      </c>
      <c r="J562" s="2" t="s">
        <v>156</v>
      </c>
      <c r="K562" s="2" t="s">
        <v>110</v>
      </c>
      <c r="L562" s="2" t="s">
        <v>47</v>
      </c>
      <c r="M562" s="2">
        <f t="shared" si="45"/>
        <v>333.33333333333331</v>
      </c>
      <c r="N562" s="2" t="str">
        <f>VLOOKUP(A562, zcorin_converter!A:L, 12, FALSE)</f>
        <v>Bag in Box</v>
      </c>
      <c r="O562" s="2" t="s">
        <v>623</v>
      </c>
      <c r="P562" s="2" t="s">
        <v>25</v>
      </c>
    </row>
    <row r="563" spans="1:16">
      <c r="A563" s="11" t="s">
        <v>1071</v>
      </c>
      <c r="B563" s="2" t="s">
        <v>1072</v>
      </c>
      <c r="C563" s="2">
        <v>10</v>
      </c>
      <c r="D563" s="2">
        <f t="shared" si="36"/>
        <v>9</v>
      </c>
      <c r="E563" s="2">
        <v>900</v>
      </c>
      <c r="F563" s="2" t="s">
        <v>18</v>
      </c>
      <c r="G563" s="4" t="s">
        <v>107</v>
      </c>
      <c r="H563" s="2" t="s">
        <v>676</v>
      </c>
      <c r="I563" s="2" t="s">
        <v>618</v>
      </c>
      <c r="J563" s="2" t="s">
        <v>156</v>
      </c>
      <c r="K563" s="2" t="s">
        <v>110</v>
      </c>
      <c r="L563" s="2" t="s">
        <v>47</v>
      </c>
      <c r="M563" s="2">
        <f t="shared" ref="M563:M564" si="46">8200/24</f>
        <v>341.66666666666669</v>
      </c>
      <c r="N563" s="2" t="str">
        <f>VLOOKUP(A563, zcorin_converter!A:L, 12, FALSE)</f>
        <v>Bag in Box</v>
      </c>
      <c r="O563" s="2" t="s">
        <v>623</v>
      </c>
      <c r="P563" s="2" t="s">
        <v>25</v>
      </c>
    </row>
    <row r="564" spans="1:16">
      <c r="A564" s="11" t="s">
        <v>1073</v>
      </c>
      <c r="B564" s="2" t="s">
        <v>1074</v>
      </c>
      <c r="C564" s="2">
        <v>10</v>
      </c>
      <c r="D564" s="2">
        <f t="shared" si="36"/>
        <v>9</v>
      </c>
      <c r="E564" s="2">
        <v>900</v>
      </c>
      <c r="F564" s="2" t="s">
        <v>18</v>
      </c>
      <c r="G564" s="4" t="s">
        <v>107</v>
      </c>
      <c r="H564" s="2" t="s">
        <v>676</v>
      </c>
      <c r="I564" s="2" t="s">
        <v>618</v>
      </c>
      <c r="J564" s="2" t="s">
        <v>156</v>
      </c>
      <c r="K564" s="2" t="s">
        <v>110</v>
      </c>
      <c r="L564" s="2" t="s">
        <v>47</v>
      </c>
      <c r="M564" s="2">
        <f t="shared" si="46"/>
        <v>341.66666666666669</v>
      </c>
      <c r="N564" s="2" t="str">
        <f>VLOOKUP(A564, zcorin_converter!A:L, 12, FALSE)</f>
        <v>Bag in Box</v>
      </c>
      <c r="O564" s="2" t="s">
        <v>623</v>
      </c>
      <c r="P564" s="2" t="s">
        <v>25</v>
      </c>
    </row>
    <row r="565" spans="1:16">
      <c r="A565" s="11" t="s">
        <v>1075</v>
      </c>
      <c r="B565" s="2" t="s">
        <v>1076</v>
      </c>
      <c r="C565" s="2">
        <v>10</v>
      </c>
      <c r="D565" s="2">
        <f t="shared" si="36"/>
        <v>10.5</v>
      </c>
      <c r="E565" s="2">
        <v>1050</v>
      </c>
      <c r="F565" s="2" t="s">
        <v>18</v>
      </c>
      <c r="G565" s="4" t="s">
        <v>107</v>
      </c>
      <c r="H565" s="2" t="s">
        <v>617</v>
      </c>
      <c r="I565" s="2" t="s">
        <v>618</v>
      </c>
      <c r="J565" s="2" t="s">
        <v>156</v>
      </c>
      <c r="K565" s="2" t="s">
        <v>110</v>
      </c>
      <c r="L565" s="2" t="s">
        <v>47</v>
      </c>
      <c r="M565" s="2">
        <f>6500/24</f>
        <v>270.83333333333331</v>
      </c>
      <c r="N565" s="2" t="str">
        <f>VLOOKUP(A565, zcorin_converter!A:L, 12, FALSE)</f>
        <v>Bag in Box</v>
      </c>
      <c r="O565" s="2" t="s">
        <v>623</v>
      </c>
      <c r="P565" s="2" t="s">
        <v>25</v>
      </c>
    </row>
    <row r="566" spans="1:16">
      <c r="A566" s="11" t="s">
        <v>1077</v>
      </c>
      <c r="B566" s="2" t="s">
        <v>1078</v>
      </c>
      <c r="C566" s="2">
        <v>10</v>
      </c>
      <c r="D566" s="2">
        <f t="shared" si="36"/>
        <v>10.5</v>
      </c>
      <c r="E566" s="2">
        <v>1050</v>
      </c>
      <c r="F566" s="2" t="s">
        <v>18</v>
      </c>
      <c r="G566" s="4" t="s">
        <v>107</v>
      </c>
      <c r="H566" s="2" t="s">
        <v>632</v>
      </c>
      <c r="I566" s="2" t="s">
        <v>618</v>
      </c>
      <c r="J566" s="2" t="s">
        <v>156</v>
      </c>
      <c r="K566" s="2" t="s">
        <v>110</v>
      </c>
      <c r="L566" s="2" t="s">
        <v>47</v>
      </c>
      <c r="M566" s="2">
        <f t="shared" ref="M566:M567" si="47">6500/24</f>
        <v>270.83333333333331</v>
      </c>
      <c r="N566" s="2" t="str">
        <f>VLOOKUP(A566, zcorin_converter!A:L, 12, FALSE)</f>
        <v>Bag in Box</v>
      </c>
      <c r="O566" s="2" t="s">
        <v>623</v>
      </c>
      <c r="P566" s="2" t="s">
        <v>25</v>
      </c>
    </row>
    <row r="567" spans="1:16">
      <c r="A567" s="11" t="s">
        <v>1079</v>
      </c>
      <c r="B567" s="2" t="s">
        <v>1080</v>
      </c>
      <c r="C567" s="2">
        <v>10</v>
      </c>
      <c r="D567" s="2">
        <f t="shared" si="36"/>
        <v>10.5</v>
      </c>
      <c r="E567" s="2">
        <v>1050</v>
      </c>
      <c r="F567" s="2" t="s">
        <v>18</v>
      </c>
      <c r="G567" s="2" t="s">
        <v>107</v>
      </c>
      <c r="H567" s="2" t="s">
        <v>632</v>
      </c>
      <c r="I567" s="2" t="s">
        <v>618</v>
      </c>
      <c r="J567" s="2" t="s">
        <v>156</v>
      </c>
      <c r="K567" s="2" t="s">
        <v>110</v>
      </c>
      <c r="L567" s="2" t="s">
        <v>47</v>
      </c>
      <c r="M567" s="2">
        <f t="shared" si="47"/>
        <v>270.83333333333331</v>
      </c>
      <c r="N567" s="2" t="str">
        <f>VLOOKUP(A567, zcorin_converter!A:L, 12, FALSE)</f>
        <v>Bag in Box</v>
      </c>
      <c r="O567" s="2" t="s">
        <v>623</v>
      </c>
      <c r="P567" s="2" t="s">
        <v>25</v>
      </c>
    </row>
    <row r="568" spans="1:16">
      <c r="A568" s="11" t="s">
        <v>1081</v>
      </c>
      <c r="B568" s="2" t="s">
        <v>1082</v>
      </c>
      <c r="C568" s="2">
        <v>6</v>
      </c>
      <c r="D568" s="2">
        <f t="shared" si="36"/>
        <v>9</v>
      </c>
      <c r="E568" s="2">
        <v>1500</v>
      </c>
      <c r="F568" s="2" t="s">
        <v>18</v>
      </c>
      <c r="G568" s="4" t="s">
        <v>107</v>
      </c>
      <c r="H568" s="2" t="s">
        <v>617</v>
      </c>
      <c r="I568" s="2" t="s">
        <v>618</v>
      </c>
      <c r="J568" s="2" t="s">
        <v>156</v>
      </c>
      <c r="K568" s="2" t="s">
        <v>110</v>
      </c>
      <c r="L568" s="2" t="s">
        <v>47</v>
      </c>
      <c r="M568" s="2">
        <f>3000/24</f>
        <v>125</v>
      </c>
      <c r="N568" s="2" t="str">
        <f>VLOOKUP(A568, zcorin_converter!A:L, 12, FALSE)</f>
        <v>Bag in Box</v>
      </c>
      <c r="O568" s="2" t="s">
        <v>216</v>
      </c>
      <c r="P568" s="2" t="s">
        <v>25</v>
      </c>
    </row>
    <row r="569" spans="1:16">
      <c r="A569" s="11" t="s">
        <v>1083</v>
      </c>
      <c r="B569" s="2" t="s">
        <v>1084</v>
      </c>
      <c r="C569" s="2">
        <v>6</v>
      </c>
      <c r="D569" s="2">
        <f t="shared" si="36"/>
        <v>9</v>
      </c>
      <c r="E569" s="2">
        <v>1500</v>
      </c>
      <c r="F569" s="2" t="s">
        <v>18</v>
      </c>
      <c r="G569" s="4" t="s">
        <v>107</v>
      </c>
      <c r="H569" s="2" t="s">
        <v>632</v>
      </c>
      <c r="I569" s="2" t="s">
        <v>618</v>
      </c>
      <c r="J569" s="2" t="s">
        <v>156</v>
      </c>
      <c r="K569" s="2" t="s">
        <v>110</v>
      </c>
      <c r="L569" s="2" t="s">
        <v>47</v>
      </c>
      <c r="M569" s="2">
        <f t="shared" ref="M569:M570" si="48">3000/24</f>
        <v>125</v>
      </c>
      <c r="N569" s="2" t="str">
        <f>VLOOKUP(A569, zcorin_converter!A:L, 12, FALSE)</f>
        <v>Bag in Box</v>
      </c>
      <c r="O569" s="2" t="s">
        <v>216</v>
      </c>
      <c r="P569" s="2" t="s">
        <v>25</v>
      </c>
    </row>
    <row r="570" spans="1:16">
      <c r="A570" s="11" t="s">
        <v>1085</v>
      </c>
      <c r="B570" s="2" t="s">
        <v>1086</v>
      </c>
      <c r="C570" s="2">
        <v>6</v>
      </c>
      <c r="D570" s="2">
        <f t="shared" si="36"/>
        <v>9</v>
      </c>
      <c r="E570" s="2">
        <v>1500</v>
      </c>
      <c r="F570" s="2" t="s">
        <v>18</v>
      </c>
      <c r="G570" s="2" t="s">
        <v>107</v>
      </c>
      <c r="H570" s="2" t="s">
        <v>632</v>
      </c>
      <c r="I570" s="2" t="s">
        <v>618</v>
      </c>
      <c r="J570" s="2" t="s">
        <v>156</v>
      </c>
      <c r="K570" s="2" t="s">
        <v>110</v>
      </c>
      <c r="L570" s="2" t="s">
        <v>47</v>
      </c>
      <c r="M570" s="2">
        <f t="shared" si="48"/>
        <v>125</v>
      </c>
      <c r="N570" s="2" t="str">
        <f>VLOOKUP(A570, zcorin_converter!A:L, 12, FALSE)</f>
        <v>Bag in Box</v>
      </c>
      <c r="O570" s="2" t="s">
        <v>216</v>
      </c>
      <c r="P570" s="2" t="s">
        <v>25</v>
      </c>
    </row>
    <row r="571" spans="1:16">
      <c r="A571" s="11" t="s">
        <v>1087</v>
      </c>
      <c r="B571" s="2" t="s">
        <v>1088</v>
      </c>
      <c r="C571" s="2">
        <v>10</v>
      </c>
      <c r="D571" s="2">
        <f t="shared" si="36"/>
        <v>10.5</v>
      </c>
      <c r="E571" s="2">
        <v>1050</v>
      </c>
      <c r="F571" s="2" t="s">
        <v>18</v>
      </c>
      <c r="G571" s="4" t="s">
        <v>107</v>
      </c>
      <c r="H571" s="2" t="s">
        <v>617</v>
      </c>
      <c r="I571" s="2" t="s">
        <v>618</v>
      </c>
      <c r="J571" s="2" t="s">
        <v>156</v>
      </c>
      <c r="K571" s="2" t="s">
        <v>110</v>
      </c>
      <c r="L571" s="2" t="s">
        <v>47</v>
      </c>
      <c r="M571" s="2">
        <f>6500/24</f>
        <v>270.83333333333331</v>
      </c>
      <c r="N571" s="2" t="str">
        <f>VLOOKUP(A571, zcorin_converter!A:L, 12, FALSE)</f>
        <v>Bag in Box</v>
      </c>
      <c r="O571" s="2" t="s">
        <v>623</v>
      </c>
      <c r="P571" s="2" t="s">
        <v>25</v>
      </c>
    </row>
    <row r="572" spans="1:16">
      <c r="A572" s="11" t="s">
        <v>1089</v>
      </c>
      <c r="B572" s="2" t="s">
        <v>1090</v>
      </c>
      <c r="C572" s="2">
        <v>6</v>
      </c>
      <c r="D572" s="2">
        <f t="shared" si="36"/>
        <v>9</v>
      </c>
      <c r="E572" s="2">
        <v>1500</v>
      </c>
      <c r="F572" s="2" t="s">
        <v>18</v>
      </c>
      <c r="G572" s="4" t="s">
        <v>107</v>
      </c>
      <c r="H572" s="2" t="s">
        <v>617</v>
      </c>
      <c r="I572" s="2" t="s">
        <v>618</v>
      </c>
      <c r="J572" s="2" t="s">
        <v>156</v>
      </c>
      <c r="K572" s="2" t="s">
        <v>110</v>
      </c>
      <c r="L572" s="2" t="s">
        <v>47</v>
      </c>
      <c r="M572" s="2">
        <f>3000/24</f>
        <v>125</v>
      </c>
      <c r="N572" s="2" t="str">
        <f>VLOOKUP(A572, zcorin_converter!A:L, 12, FALSE)</f>
        <v>Bag in Box</v>
      </c>
      <c r="O572" s="2" t="s">
        <v>216</v>
      </c>
      <c r="P572" s="2" t="s">
        <v>25</v>
      </c>
    </row>
    <row r="573" spans="1:16">
      <c r="A573" s="11" t="s">
        <v>719</v>
      </c>
      <c r="B573" s="2" t="s">
        <v>720</v>
      </c>
      <c r="C573" s="4">
        <v>40</v>
      </c>
      <c r="D573" s="4">
        <f>(C573*E573/1000)*1.04</f>
        <v>4.3680000000000003</v>
      </c>
      <c r="E573" s="4">
        <v>105</v>
      </c>
      <c r="F573" s="4" t="s">
        <v>18</v>
      </c>
      <c r="G573" s="2" t="s">
        <v>721</v>
      </c>
      <c r="H573" s="4" t="s">
        <v>722</v>
      </c>
      <c r="I573" s="4" t="s">
        <v>722</v>
      </c>
      <c r="J573" s="2" t="s">
        <v>723</v>
      </c>
      <c r="K573" s="4" t="s">
        <v>83</v>
      </c>
      <c r="L573" s="2" t="s">
        <v>724</v>
      </c>
      <c r="M573" s="3">
        <f>48000*85%/2/C573</f>
        <v>510</v>
      </c>
      <c r="N573" s="2" t="str">
        <f>VLOOKUP(A573, zcorin_converter!A:L, 12, FALSE)</f>
        <v>RTD</v>
      </c>
      <c r="O573" s="3" t="s">
        <v>1091</v>
      </c>
      <c r="P573" s="2" t="s">
        <v>726</v>
      </c>
    </row>
    <row r="574" spans="1:16">
      <c r="A574" s="11" t="s">
        <v>727</v>
      </c>
      <c r="B574" s="2" t="s">
        <v>728</v>
      </c>
      <c r="C574" s="4">
        <v>40</v>
      </c>
      <c r="D574" s="4">
        <f>(C574*E574/1000)*1.04</f>
        <v>4.3680000000000003</v>
      </c>
      <c r="E574" s="4">
        <v>105</v>
      </c>
      <c r="F574" s="4" t="s">
        <v>18</v>
      </c>
      <c r="G574" s="4" t="s">
        <v>721</v>
      </c>
      <c r="H574" s="4" t="s">
        <v>722</v>
      </c>
      <c r="I574" s="4" t="s">
        <v>722</v>
      </c>
      <c r="J574" s="2" t="s">
        <v>723</v>
      </c>
      <c r="K574" s="4" t="s">
        <v>83</v>
      </c>
      <c r="L574" s="2" t="s">
        <v>724</v>
      </c>
      <c r="M574" s="3">
        <f t="shared" ref="M574:M587" si="49">48000*85%/2/C574</f>
        <v>510</v>
      </c>
      <c r="N574" s="2" t="str">
        <f>VLOOKUP(A574, zcorin_converter!A:L, 12, FALSE)</f>
        <v>RTD</v>
      </c>
      <c r="O574" s="3" t="s">
        <v>1091</v>
      </c>
      <c r="P574" s="2" t="s">
        <v>726</v>
      </c>
    </row>
    <row r="575" spans="1:16">
      <c r="A575" s="11" t="s">
        <v>729</v>
      </c>
      <c r="B575" s="2" t="s">
        <v>730</v>
      </c>
      <c r="C575" s="4">
        <v>24</v>
      </c>
      <c r="D575" s="4">
        <f>(C575*E575/1000)*1.04</f>
        <v>4.1184000000000003</v>
      </c>
      <c r="E575" s="4">
        <v>165</v>
      </c>
      <c r="F575" s="4" t="s">
        <v>18</v>
      </c>
      <c r="G575" s="2" t="s">
        <v>721</v>
      </c>
      <c r="H575" s="4" t="s">
        <v>722</v>
      </c>
      <c r="I575" s="4" t="s">
        <v>722</v>
      </c>
      <c r="J575" s="2" t="s">
        <v>723</v>
      </c>
      <c r="K575" s="4" t="s">
        <v>83</v>
      </c>
      <c r="L575" s="2" t="s">
        <v>724</v>
      </c>
      <c r="M575" s="3">
        <f t="shared" si="49"/>
        <v>850</v>
      </c>
      <c r="N575" s="2" t="str">
        <f>VLOOKUP(A575, zcorin_converter!A:L, 12, FALSE)</f>
        <v>RTD</v>
      </c>
      <c r="O575" s="3" t="s">
        <v>1091</v>
      </c>
      <c r="P575" s="2" t="s">
        <v>726</v>
      </c>
    </row>
    <row r="576" spans="1:16">
      <c r="A576" s="11" t="s">
        <v>731</v>
      </c>
      <c r="B576" s="2" t="s">
        <v>732</v>
      </c>
      <c r="C576" s="4">
        <v>24</v>
      </c>
      <c r="D576" s="4">
        <f>(C576*E576/1000)*1.04</f>
        <v>4.1184000000000003</v>
      </c>
      <c r="E576" s="4">
        <v>165</v>
      </c>
      <c r="F576" s="4" t="s">
        <v>18</v>
      </c>
      <c r="G576" s="4" t="s">
        <v>721</v>
      </c>
      <c r="H576" s="4" t="s">
        <v>722</v>
      </c>
      <c r="I576" s="4" t="s">
        <v>722</v>
      </c>
      <c r="J576" s="2" t="s">
        <v>723</v>
      </c>
      <c r="K576" s="4" t="s">
        <v>83</v>
      </c>
      <c r="L576" s="2" t="s">
        <v>724</v>
      </c>
      <c r="M576" s="3">
        <f t="shared" si="49"/>
        <v>850</v>
      </c>
      <c r="N576" s="2" t="str">
        <f>VLOOKUP(A576, zcorin_converter!A:L, 12, FALSE)</f>
        <v>RTD</v>
      </c>
      <c r="O576" s="3" t="s">
        <v>1091</v>
      </c>
      <c r="P576" s="2" t="s">
        <v>726</v>
      </c>
    </row>
    <row r="577" spans="1:16">
      <c r="A577" s="11" t="s">
        <v>837</v>
      </c>
      <c r="B577" s="2" t="s">
        <v>838</v>
      </c>
      <c r="C577" s="4">
        <v>24</v>
      </c>
      <c r="D577" s="4">
        <f>(C577*E577/1000)*1.04</f>
        <v>4.1184000000000003</v>
      </c>
      <c r="E577" s="4">
        <v>165</v>
      </c>
      <c r="F577" s="4" t="s">
        <v>18</v>
      </c>
      <c r="G577" s="4" t="s">
        <v>721</v>
      </c>
      <c r="H577" s="4" t="s">
        <v>722</v>
      </c>
      <c r="I577" s="4" t="s">
        <v>722</v>
      </c>
      <c r="J577" s="2" t="s">
        <v>723</v>
      </c>
      <c r="K577" s="4" t="s">
        <v>83</v>
      </c>
      <c r="L577" s="2" t="s">
        <v>724</v>
      </c>
      <c r="M577" s="3">
        <f t="shared" si="49"/>
        <v>850</v>
      </c>
      <c r="N577" s="2" t="str">
        <f>VLOOKUP(A577, zcorin_converter!A:L, 12, FALSE)</f>
        <v>RTD</v>
      </c>
      <c r="O577" s="3" t="s">
        <v>1091</v>
      </c>
      <c r="P577" s="2" t="s">
        <v>726</v>
      </c>
    </row>
    <row r="578" spans="1:16">
      <c r="A578" s="11" t="s">
        <v>839</v>
      </c>
      <c r="B578" s="2" t="s">
        <v>840</v>
      </c>
      <c r="C578" s="4">
        <v>24</v>
      </c>
      <c r="D578" s="4">
        <f>(C578*E578/1000)*1.04</f>
        <v>4.1184000000000003</v>
      </c>
      <c r="E578" s="4">
        <v>165</v>
      </c>
      <c r="F578" s="4" t="s">
        <v>18</v>
      </c>
      <c r="G578" s="2" t="s">
        <v>721</v>
      </c>
      <c r="H578" s="4" t="s">
        <v>722</v>
      </c>
      <c r="I578" s="4" t="s">
        <v>722</v>
      </c>
      <c r="J578" s="2" t="s">
        <v>723</v>
      </c>
      <c r="K578" s="4" t="s">
        <v>83</v>
      </c>
      <c r="L578" s="2" t="s">
        <v>724</v>
      </c>
      <c r="M578" s="3">
        <f t="shared" si="49"/>
        <v>850</v>
      </c>
      <c r="N578" s="2" t="str">
        <f>VLOOKUP(A578, zcorin_converter!A:L, 12, FALSE)</f>
        <v>RTD</v>
      </c>
      <c r="O578" s="3" t="s">
        <v>1091</v>
      </c>
      <c r="P578" s="2" t="s">
        <v>726</v>
      </c>
    </row>
    <row r="579" spans="1:16">
      <c r="A579" s="11" t="s">
        <v>841</v>
      </c>
      <c r="B579" s="2" t="s">
        <v>842</v>
      </c>
      <c r="C579" s="4">
        <v>40</v>
      </c>
      <c r="D579" s="4">
        <f>(C579*E579/1000)*1.04</f>
        <v>4.3680000000000003</v>
      </c>
      <c r="E579" s="4">
        <v>105</v>
      </c>
      <c r="F579" s="4" t="s">
        <v>18</v>
      </c>
      <c r="G579" s="4" t="s">
        <v>721</v>
      </c>
      <c r="H579" s="4" t="s">
        <v>722</v>
      </c>
      <c r="I579" s="4" t="s">
        <v>722</v>
      </c>
      <c r="J579" s="2" t="s">
        <v>723</v>
      </c>
      <c r="K579" s="4" t="s">
        <v>83</v>
      </c>
      <c r="L579" s="2" t="s">
        <v>724</v>
      </c>
      <c r="M579" s="3">
        <f t="shared" si="49"/>
        <v>510</v>
      </c>
      <c r="N579" s="2" t="str">
        <f>VLOOKUP(A579, zcorin_converter!A:L, 12, FALSE)</f>
        <v>RTD</v>
      </c>
      <c r="O579" s="3" t="s">
        <v>1091</v>
      </c>
      <c r="P579" s="2" t="s">
        <v>726</v>
      </c>
    </row>
    <row r="580" spans="1:16">
      <c r="A580" s="11" t="s">
        <v>843</v>
      </c>
      <c r="B580" s="2" t="s">
        <v>844</v>
      </c>
      <c r="C580" s="4">
        <v>40</v>
      </c>
      <c r="D580" s="4">
        <f>(C580*E580/1000)*1.04</f>
        <v>4.3680000000000003</v>
      </c>
      <c r="E580" s="4">
        <v>105</v>
      </c>
      <c r="F580" s="4" t="s">
        <v>18</v>
      </c>
      <c r="G580" s="2" t="s">
        <v>721</v>
      </c>
      <c r="H580" s="4" t="s">
        <v>722</v>
      </c>
      <c r="I580" s="4" t="s">
        <v>722</v>
      </c>
      <c r="J580" s="2" t="s">
        <v>723</v>
      </c>
      <c r="K580" s="4" t="s">
        <v>83</v>
      </c>
      <c r="L580" s="2" t="s">
        <v>724</v>
      </c>
      <c r="M580" s="3">
        <f t="shared" si="49"/>
        <v>510</v>
      </c>
      <c r="N580" s="2" t="str">
        <f>VLOOKUP(A580, zcorin_converter!A:L, 12, FALSE)</f>
        <v>RTD</v>
      </c>
      <c r="O580" s="3" t="s">
        <v>1091</v>
      </c>
      <c r="P580" s="2" t="s">
        <v>726</v>
      </c>
    </row>
    <row r="581" spans="1:16">
      <c r="A581" s="11" t="s">
        <v>938</v>
      </c>
      <c r="B581" s="2" t="s">
        <v>939</v>
      </c>
      <c r="C581" s="4">
        <v>40</v>
      </c>
      <c r="D581" s="4">
        <f>(C581*E581/1000)*1.04</f>
        <v>4.3680000000000003</v>
      </c>
      <c r="E581" s="4">
        <v>105</v>
      </c>
      <c r="F581" s="4" t="s">
        <v>18</v>
      </c>
      <c r="G581" s="2" t="s">
        <v>721</v>
      </c>
      <c r="H581" s="4" t="s">
        <v>722</v>
      </c>
      <c r="I581" s="4" t="s">
        <v>722</v>
      </c>
      <c r="J581" s="2" t="s">
        <v>723</v>
      </c>
      <c r="K581" s="4" t="s">
        <v>83</v>
      </c>
      <c r="L581" s="2" t="s">
        <v>724</v>
      </c>
      <c r="M581" s="3">
        <f t="shared" si="49"/>
        <v>510</v>
      </c>
      <c r="N581" s="2" t="str">
        <f>VLOOKUP(A581, zcorin_converter!A:L, 12, FALSE)</f>
        <v>RTD</v>
      </c>
      <c r="O581" s="3" t="s">
        <v>1091</v>
      </c>
      <c r="P581" s="2" t="s">
        <v>726</v>
      </c>
    </row>
    <row r="582" spans="1:16">
      <c r="A582" s="11" t="s">
        <v>940</v>
      </c>
      <c r="B582" s="2" t="s">
        <v>941</v>
      </c>
      <c r="C582" s="4">
        <v>24</v>
      </c>
      <c r="D582" s="4">
        <f>(C582*E582/1000)*1.04</f>
        <v>4.1184000000000003</v>
      </c>
      <c r="E582" s="4">
        <v>165</v>
      </c>
      <c r="F582" s="4" t="s">
        <v>18</v>
      </c>
      <c r="G582" s="4" t="s">
        <v>721</v>
      </c>
      <c r="H582" s="4" t="s">
        <v>722</v>
      </c>
      <c r="I582" s="4" t="s">
        <v>722</v>
      </c>
      <c r="J582" s="2" t="s">
        <v>723</v>
      </c>
      <c r="K582" s="4" t="s">
        <v>83</v>
      </c>
      <c r="L582" s="2" t="s">
        <v>724</v>
      </c>
      <c r="M582" s="3">
        <f t="shared" si="49"/>
        <v>850</v>
      </c>
      <c r="N582" s="2" t="str">
        <f>VLOOKUP(A582, zcorin_converter!A:L, 12, FALSE)</f>
        <v>RTD</v>
      </c>
      <c r="O582" s="3" t="s">
        <v>1091</v>
      </c>
      <c r="P582" s="2" t="s">
        <v>726</v>
      </c>
    </row>
    <row r="583" spans="1:16">
      <c r="A583" s="11" t="s">
        <v>942</v>
      </c>
      <c r="B583" s="2" t="s">
        <v>943</v>
      </c>
      <c r="C583" s="4">
        <v>40</v>
      </c>
      <c r="D583" s="4">
        <f>(C583*E583/1000)*1.04</f>
        <v>4.3680000000000003</v>
      </c>
      <c r="E583" s="4">
        <v>105</v>
      </c>
      <c r="F583" s="4" t="s">
        <v>18</v>
      </c>
      <c r="G583" s="2" t="s">
        <v>721</v>
      </c>
      <c r="H583" s="4" t="s">
        <v>722</v>
      </c>
      <c r="I583" s="4" t="s">
        <v>722</v>
      </c>
      <c r="J583" s="2" t="s">
        <v>723</v>
      </c>
      <c r="K583" s="4" t="s">
        <v>83</v>
      </c>
      <c r="L583" s="2" t="s">
        <v>724</v>
      </c>
      <c r="M583" s="3">
        <f t="shared" si="49"/>
        <v>510</v>
      </c>
      <c r="N583" s="2" t="str">
        <f>VLOOKUP(A583, zcorin_converter!A:L, 12, FALSE)</f>
        <v>RTD</v>
      </c>
      <c r="O583" s="3" t="s">
        <v>1091</v>
      </c>
      <c r="P583" s="2" t="s">
        <v>726</v>
      </c>
    </row>
    <row r="584" spans="1:16">
      <c r="A584" s="11" t="s">
        <v>944</v>
      </c>
      <c r="B584" s="2" t="s">
        <v>945</v>
      </c>
      <c r="C584" s="4">
        <v>24</v>
      </c>
      <c r="D584" s="4">
        <f>(C584*E584/1000)*1.04</f>
        <v>4.1184000000000003</v>
      </c>
      <c r="E584" s="4">
        <v>165</v>
      </c>
      <c r="F584" s="4" t="s">
        <v>18</v>
      </c>
      <c r="G584" s="4" t="s">
        <v>721</v>
      </c>
      <c r="H584" s="4" t="s">
        <v>722</v>
      </c>
      <c r="I584" s="4" t="s">
        <v>722</v>
      </c>
      <c r="J584" s="2" t="s">
        <v>723</v>
      </c>
      <c r="K584" s="4" t="s">
        <v>83</v>
      </c>
      <c r="L584" s="2" t="s">
        <v>724</v>
      </c>
      <c r="M584" s="3">
        <f t="shared" si="49"/>
        <v>850</v>
      </c>
      <c r="N584" s="2" t="str">
        <f>VLOOKUP(A584, zcorin_converter!A:L, 12, FALSE)</f>
        <v>RTD</v>
      </c>
      <c r="O584" s="3" t="s">
        <v>1091</v>
      </c>
      <c r="P584" s="2" t="s">
        <v>726</v>
      </c>
    </row>
    <row r="585" spans="1:16">
      <c r="A585" s="11" t="s">
        <v>991</v>
      </c>
      <c r="B585" s="2" t="s">
        <v>992</v>
      </c>
      <c r="C585" s="4">
        <v>24</v>
      </c>
      <c r="D585" s="4">
        <f>(C585*E585/1000)*1.04</f>
        <v>4.1184000000000003</v>
      </c>
      <c r="E585" s="4">
        <v>165</v>
      </c>
      <c r="F585" s="4" t="s">
        <v>28</v>
      </c>
      <c r="G585" s="4" t="s">
        <v>29</v>
      </c>
      <c r="H585" s="2" t="s">
        <v>29</v>
      </c>
      <c r="I585" s="4" t="s">
        <v>723</v>
      </c>
      <c r="J585" s="2" t="s">
        <v>723</v>
      </c>
      <c r="K585" s="4" t="s">
        <v>29</v>
      </c>
      <c r="L585" s="2" t="s">
        <v>724</v>
      </c>
      <c r="M585" s="3">
        <f t="shared" si="49"/>
        <v>850</v>
      </c>
      <c r="N585" s="2" t="str">
        <f>VLOOKUP(A585, zcorin_converter!A:L, 12, FALSE)</f>
        <v>RTD</v>
      </c>
      <c r="O585" s="3" t="s">
        <v>1091</v>
      </c>
      <c r="P585" s="2" t="s">
        <v>726</v>
      </c>
    </row>
    <row r="586" spans="1:16">
      <c r="A586" s="14">
        <v>213541</v>
      </c>
      <c r="B586" s="15" t="s">
        <v>993</v>
      </c>
      <c r="C586" s="4">
        <v>24</v>
      </c>
      <c r="D586" s="4">
        <f>(C586*E586/1000)*1.04</f>
        <v>4.1184000000000003</v>
      </c>
      <c r="E586" s="4">
        <v>165</v>
      </c>
      <c r="F586" s="2" t="s">
        <v>147</v>
      </c>
      <c r="G586" s="4" t="s">
        <v>29</v>
      </c>
      <c r="H586" s="4" t="s">
        <v>29</v>
      </c>
      <c r="I586" s="4" t="s">
        <v>723</v>
      </c>
      <c r="J586" s="2" t="s">
        <v>723</v>
      </c>
      <c r="K586" s="4" t="s">
        <v>29</v>
      </c>
      <c r="L586" s="2" t="s">
        <v>724</v>
      </c>
      <c r="M586" s="3">
        <f t="shared" si="49"/>
        <v>850</v>
      </c>
      <c r="N586" s="2" t="s">
        <v>723</v>
      </c>
      <c r="O586" s="3" t="s">
        <v>1091</v>
      </c>
      <c r="P586" s="2" t="s">
        <v>726</v>
      </c>
    </row>
    <row r="587" spans="1:16">
      <c r="A587" s="14">
        <v>213540</v>
      </c>
      <c r="B587" s="15" t="s">
        <v>994</v>
      </c>
      <c r="C587" s="4">
        <v>24</v>
      </c>
      <c r="D587" s="4">
        <f>(C587*E587/1000)*1.04</f>
        <v>4.1184000000000003</v>
      </c>
      <c r="E587" s="4">
        <v>165</v>
      </c>
      <c r="F587" s="4" t="s">
        <v>28</v>
      </c>
      <c r="G587" s="4" t="s">
        <v>29</v>
      </c>
      <c r="H587" s="4" t="s">
        <v>29</v>
      </c>
      <c r="I587" s="4" t="s">
        <v>723</v>
      </c>
      <c r="J587" s="2" t="s">
        <v>723</v>
      </c>
      <c r="K587" s="4" t="s">
        <v>29</v>
      </c>
      <c r="L587" s="2" t="s">
        <v>724</v>
      </c>
      <c r="M587" s="3">
        <f t="shared" si="49"/>
        <v>850</v>
      </c>
      <c r="N587" s="2" t="s">
        <v>723</v>
      </c>
      <c r="O587" s="3" t="s">
        <v>1091</v>
      </c>
      <c r="P587" s="2" t="s">
        <v>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FC6D-AADB-4F55-895B-A7892C3DD93A}">
  <dimension ref="A1:Q655"/>
  <sheetViews>
    <sheetView zoomScale="55" zoomScaleNormal="55" workbookViewId="0">
      <pane ySplit="1" topLeftCell="A565" activePane="bottomLeft" state="frozen"/>
      <selection pane="bottomLeft" activeCell="A601" sqref="A601"/>
    </sheetView>
  </sheetViews>
  <sheetFormatPr defaultColWidth="12.59765625" defaultRowHeight="18"/>
  <cols>
    <col min="1" max="1" width="13" style="10" bestFit="1" customWidth="1"/>
    <col min="2" max="2" width="50" bestFit="1" customWidth="1"/>
    <col min="3" max="3" width="12" bestFit="1" customWidth="1"/>
    <col min="4" max="4" width="11" bestFit="1" customWidth="1"/>
    <col min="5" max="5" width="19" bestFit="1" customWidth="1"/>
    <col min="6" max="6" width="13" bestFit="1" customWidth="1"/>
    <col min="7" max="7" width="18" bestFit="1" customWidth="1"/>
    <col min="8" max="8" width="10" bestFit="1" customWidth="1"/>
    <col min="9" max="9" width="9" bestFit="1" customWidth="1"/>
    <col min="10" max="10" width="11" bestFit="1" customWidth="1"/>
    <col min="11" max="11" width="10" bestFit="1" customWidth="1"/>
    <col min="12" max="13" width="17" bestFit="1" customWidth="1"/>
    <col min="14" max="14" width="28" bestFit="1" customWidth="1"/>
    <col min="15" max="15" width="14" bestFit="1" customWidth="1"/>
    <col min="16" max="17" width="34" bestFit="1" customWidth="1"/>
  </cols>
  <sheetData>
    <row r="1" spans="1:17" ht="18.399999999999999" thickBot="1">
      <c r="A1" s="9" t="s">
        <v>1092</v>
      </c>
      <c r="B1" s="9" t="s">
        <v>1093</v>
      </c>
      <c r="C1" s="9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9" t="s">
        <v>4</v>
      </c>
      <c r="J1" s="9" t="s">
        <v>2</v>
      </c>
      <c r="K1" s="9" t="s">
        <v>3</v>
      </c>
      <c r="L1" s="9" t="s">
        <v>13</v>
      </c>
      <c r="M1" s="9" t="s">
        <v>1094</v>
      </c>
      <c r="N1" s="9" t="s">
        <v>1095</v>
      </c>
      <c r="O1" s="9" t="s">
        <v>1096</v>
      </c>
      <c r="P1" s="9" t="s">
        <v>1097</v>
      </c>
      <c r="Q1" s="9" t="s">
        <v>1098</v>
      </c>
    </row>
    <row r="2" spans="1:17">
      <c r="A2" s="10" t="s">
        <v>1089</v>
      </c>
      <c r="B2" s="10" t="s">
        <v>1099</v>
      </c>
      <c r="C2" s="10" t="s">
        <v>18</v>
      </c>
      <c r="D2" s="10" t="s">
        <v>107</v>
      </c>
      <c r="E2" s="10" t="s">
        <v>617</v>
      </c>
      <c r="F2" s="10" t="s">
        <v>618</v>
      </c>
      <c r="G2" s="10" t="s">
        <v>156</v>
      </c>
      <c r="H2" s="10"/>
      <c r="I2" s="10" t="s">
        <v>1100</v>
      </c>
      <c r="J2" s="10" t="s">
        <v>1101</v>
      </c>
      <c r="K2" s="10" t="s">
        <v>1102</v>
      </c>
      <c r="L2" s="10" t="s">
        <v>947</v>
      </c>
      <c r="M2" s="10" t="s">
        <v>1103</v>
      </c>
      <c r="N2" s="10" t="s">
        <v>1104</v>
      </c>
      <c r="O2" s="10" t="s">
        <v>216</v>
      </c>
      <c r="P2" s="10" t="s">
        <v>1105</v>
      </c>
      <c r="Q2" s="10" t="s">
        <v>1105</v>
      </c>
    </row>
    <row r="3" spans="1:17">
      <c r="A3" s="10" t="s">
        <v>1087</v>
      </c>
      <c r="B3" s="10" t="s">
        <v>1088</v>
      </c>
      <c r="C3" s="10" t="s">
        <v>18</v>
      </c>
      <c r="D3" s="10" t="s">
        <v>107</v>
      </c>
      <c r="E3" s="10" t="s">
        <v>617</v>
      </c>
      <c r="F3" s="10" t="s">
        <v>618</v>
      </c>
      <c r="G3" s="10" t="s">
        <v>156</v>
      </c>
      <c r="H3" s="10"/>
      <c r="I3" s="10" t="s">
        <v>1106</v>
      </c>
      <c r="J3" s="10" t="s">
        <v>1101</v>
      </c>
      <c r="K3" s="10" t="s">
        <v>1107</v>
      </c>
      <c r="L3" s="10" t="s">
        <v>947</v>
      </c>
      <c r="M3" s="10" t="s">
        <v>1103</v>
      </c>
      <c r="N3" s="10" t="s">
        <v>1104</v>
      </c>
      <c r="O3" s="10" t="s">
        <v>623</v>
      </c>
      <c r="P3" s="10" t="s">
        <v>1105</v>
      </c>
      <c r="Q3" s="10" t="s">
        <v>1105</v>
      </c>
    </row>
    <row r="4" spans="1:17">
      <c r="A4" s="10" t="s">
        <v>1085</v>
      </c>
      <c r="B4" s="10" t="s">
        <v>1108</v>
      </c>
      <c r="C4" s="10" t="s">
        <v>18</v>
      </c>
      <c r="D4" s="10" t="s">
        <v>107</v>
      </c>
      <c r="E4" s="10" t="s">
        <v>632</v>
      </c>
      <c r="F4" s="10" t="s">
        <v>618</v>
      </c>
      <c r="G4" s="10" t="s">
        <v>156</v>
      </c>
      <c r="H4" s="10"/>
      <c r="I4" s="10" t="s">
        <v>1100</v>
      </c>
      <c r="J4" s="10" t="s">
        <v>1101</v>
      </c>
      <c r="K4" s="10" t="s">
        <v>1102</v>
      </c>
      <c r="L4" s="10" t="s">
        <v>947</v>
      </c>
      <c r="M4" s="10" t="s">
        <v>1103</v>
      </c>
      <c r="N4" s="10" t="s">
        <v>1104</v>
      </c>
      <c r="O4" s="10" t="s">
        <v>216</v>
      </c>
      <c r="P4" s="10" t="s">
        <v>1105</v>
      </c>
      <c r="Q4" s="10" t="s">
        <v>1105</v>
      </c>
    </row>
    <row r="5" spans="1:17">
      <c r="A5" s="10" t="s">
        <v>1083</v>
      </c>
      <c r="B5" s="10" t="s">
        <v>1109</v>
      </c>
      <c r="C5" s="10" t="s">
        <v>18</v>
      </c>
      <c r="D5" s="10" t="s">
        <v>107</v>
      </c>
      <c r="E5" s="10" t="s">
        <v>632</v>
      </c>
      <c r="F5" s="10" t="s">
        <v>618</v>
      </c>
      <c r="G5" s="10" t="s">
        <v>156</v>
      </c>
      <c r="H5" s="10"/>
      <c r="I5" s="10" t="s">
        <v>1100</v>
      </c>
      <c r="J5" s="10" t="s">
        <v>1101</v>
      </c>
      <c r="K5" s="10" t="s">
        <v>1102</v>
      </c>
      <c r="L5" s="10" t="s">
        <v>947</v>
      </c>
      <c r="M5" s="10" t="s">
        <v>1103</v>
      </c>
      <c r="N5" s="10" t="s">
        <v>1104</v>
      </c>
      <c r="O5" s="10" t="s">
        <v>216</v>
      </c>
      <c r="P5" s="10" t="s">
        <v>1105</v>
      </c>
      <c r="Q5" s="10" t="s">
        <v>1105</v>
      </c>
    </row>
    <row r="6" spans="1:17">
      <c r="A6" s="10" t="s">
        <v>1081</v>
      </c>
      <c r="B6" s="10" t="s">
        <v>1110</v>
      </c>
      <c r="C6" s="10" t="s">
        <v>18</v>
      </c>
      <c r="D6" s="10" t="s">
        <v>107</v>
      </c>
      <c r="E6" s="10" t="s">
        <v>617</v>
      </c>
      <c r="F6" s="10" t="s">
        <v>618</v>
      </c>
      <c r="G6" s="10" t="s">
        <v>156</v>
      </c>
      <c r="H6" s="10"/>
      <c r="I6" s="10" t="s">
        <v>1100</v>
      </c>
      <c r="J6" s="10" t="s">
        <v>1101</v>
      </c>
      <c r="K6" s="10" t="s">
        <v>1102</v>
      </c>
      <c r="L6" s="10" t="s">
        <v>947</v>
      </c>
      <c r="M6" s="10" t="s">
        <v>1103</v>
      </c>
      <c r="N6" s="10" t="s">
        <v>1104</v>
      </c>
      <c r="O6" s="10" t="s">
        <v>216</v>
      </c>
      <c r="P6" s="10" t="s">
        <v>1105</v>
      </c>
      <c r="Q6" s="10" t="s">
        <v>1105</v>
      </c>
    </row>
    <row r="7" spans="1:17">
      <c r="A7" s="10" t="s">
        <v>1079</v>
      </c>
      <c r="B7" s="10" t="s">
        <v>1080</v>
      </c>
      <c r="C7" s="10" t="s">
        <v>18</v>
      </c>
      <c r="D7" s="10" t="s">
        <v>107</v>
      </c>
      <c r="E7" s="10" t="s">
        <v>632</v>
      </c>
      <c r="F7" s="10" t="s">
        <v>618</v>
      </c>
      <c r="G7" s="10" t="s">
        <v>156</v>
      </c>
      <c r="H7" s="10"/>
      <c r="I7" s="10" t="s">
        <v>1106</v>
      </c>
      <c r="J7" s="10" t="s">
        <v>1101</v>
      </c>
      <c r="K7" s="10" t="s">
        <v>1107</v>
      </c>
      <c r="L7" s="10" t="s">
        <v>947</v>
      </c>
      <c r="M7" s="10" t="s">
        <v>1103</v>
      </c>
      <c r="N7" s="10" t="s">
        <v>1104</v>
      </c>
      <c r="O7" s="10" t="s">
        <v>623</v>
      </c>
      <c r="P7" s="10" t="s">
        <v>1105</v>
      </c>
      <c r="Q7" s="10" t="s">
        <v>1105</v>
      </c>
    </row>
    <row r="8" spans="1:17">
      <c r="A8" s="10" t="s">
        <v>1077</v>
      </c>
      <c r="B8" s="10" t="s">
        <v>1078</v>
      </c>
      <c r="C8" s="10" t="s">
        <v>18</v>
      </c>
      <c r="D8" s="10" t="s">
        <v>107</v>
      </c>
      <c r="E8" s="10" t="s">
        <v>632</v>
      </c>
      <c r="F8" s="10" t="s">
        <v>618</v>
      </c>
      <c r="G8" s="10" t="s">
        <v>156</v>
      </c>
      <c r="H8" s="10"/>
      <c r="I8" s="10" t="s">
        <v>1106</v>
      </c>
      <c r="J8" s="10" t="s">
        <v>1101</v>
      </c>
      <c r="K8" s="10" t="s">
        <v>1107</v>
      </c>
      <c r="L8" s="10" t="s">
        <v>947</v>
      </c>
      <c r="M8" s="10" t="s">
        <v>1103</v>
      </c>
      <c r="N8" s="10" t="s">
        <v>1104</v>
      </c>
      <c r="O8" s="10" t="s">
        <v>623</v>
      </c>
      <c r="P8" s="10" t="s">
        <v>1105</v>
      </c>
      <c r="Q8" s="10" t="s">
        <v>1105</v>
      </c>
    </row>
    <row r="9" spans="1:17">
      <c r="A9" s="10" t="s">
        <v>1075</v>
      </c>
      <c r="B9" s="10" t="s">
        <v>1076</v>
      </c>
      <c r="C9" s="10" t="s">
        <v>18</v>
      </c>
      <c r="D9" s="10" t="s">
        <v>107</v>
      </c>
      <c r="E9" s="10" t="s">
        <v>617</v>
      </c>
      <c r="F9" s="10" t="s">
        <v>618</v>
      </c>
      <c r="G9" s="10" t="s">
        <v>156</v>
      </c>
      <c r="H9" s="10"/>
      <c r="I9" s="10" t="s">
        <v>1106</v>
      </c>
      <c r="J9" s="10" t="s">
        <v>1101</v>
      </c>
      <c r="K9" s="10" t="s">
        <v>1107</v>
      </c>
      <c r="L9" s="10" t="s">
        <v>947</v>
      </c>
      <c r="M9" s="10" t="s">
        <v>1103</v>
      </c>
      <c r="N9" s="10" t="s">
        <v>1104</v>
      </c>
      <c r="O9" s="10" t="s">
        <v>623</v>
      </c>
      <c r="P9" s="10" t="s">
        <v>1105</v>
      </c>
      <c r="Q9" s="10" t="s">
        <v>1105</v>
      </c>
    </row>
    <row r="10" spans="1:17">
      <c r="A10" s="10" t="s">
        <v>1073</v>
      </c>
      <c r="B10" s="10" t="s">
        <v>1074</v>
      </c>
      <c r="C10" s="10" t="s">
        <v>18</v>
      </c>
      <c r="D10" s="10" t="s">
        <v>107</v>
      </c>
      <c r="E10" s="10" t="s">
        <v>676</v>
      </c>
      <c r="F10" s="10" t="s">
        <v>618</v>
      </c>
      <c r="G10" s="10" t="s">
        <v>156</v>
      </c>
      <c r="H10" s="10"/>
      <c r="I10" s="10" t="s">
        <v>1111</v>
      </c>
      <c r="J10" s="10" t="s">
        <v>1101</v>
      </c>
      <c r="K10" s="10" t="s">
        <v>1112</v>
      </c>
      <c r="L10" s="10" t="s">
        <v>947</v>
      </c>
      <c r="M10" s="10" t="s">
        <v>1103</v>
      </c>
      <c r="N10" s="10" t="s">
        <v>1104</v>
      </c>
      <c r="O10" s="10" t="s">
        <v>216</v>
      </c>
      <c r="P10" s="10" t="s">
        <v>1105</v>
      </c>
      <c r="Q10" s="10" t="s">
        <v>1105</v>
      </c>
    </row>
    <row r="11" spans="1:17">
      <c r="A11" s="10" t="s">
        <v>1071</v>
      </c>
      <c r="B11" s="10" t="s">
        <v>1072</v>
      </c>
      <c r="C11" s="10" t="s">
        <v>18</v>
      </c>
      <c r="D11" s="10" t="s">
        <v>107</v>
      </c>
      <c r="E11" s="10" t="s">
        <v>676</v>
      </c>
      <c r="F11" s="10" t="s">
        <v>618</v>
      </c>
      <c r="G11" s="10" t="s">
        <v>156</v>
      </c>
      <c r="H11" s="10"/>
      <c r="I11" s="10" t="s">
        <v>1111</v>
      </c>
      <c r="J11" s="10" t="s">
        <v>1101</v>
      </c>
      <c r="K11" s="10" t="s">
        <v>1112</v>
      </c>
      <c r="L11" s="10" t="s">
        <v>947</v>
      </c>
      <c r="M11" s="10" t="s">
        <v>1103</v>
      </c>
      <c r="N11" s="10" t="s">
        <v>1104</v>
      </c>
      <c r="O11" s="10" t="s">
        <v>216</v>
      </c>
      <c r="P11" s="10" t="s">
        <v>1105</v>
      </c>
      <c r="Q11" s="10" t="s">
        <v>1105</v>
      </c>
    </row>
    <row r="12" spans="1:17">
      <c r="A12" s="10" t="s">
        <v>1069</v>
      </c>
      <c r="B12" s="10" t="s">
        <v>1070</v>
      </c>
      <c r="C12" s="10" t="s">
        <v>18</v>
      </c>
      <c r="D12" s="10" t="s">
        <v>107</v>
      </c>
      <c r="E12" s="10" t="s">
        <v>676</v>
      </c>
      <c r="F12" s="10" t="s">
        <v>618</v>
      </c>
      <c r="G12" s="10" t="s">
        <v>156</v>
      </c>
      <c r="H12" s="10"/>
      <c r="I12" s="10" t="s">
        <v>1113</v>
      </c>
      <c r="J12" s="10" t="s">
        <v>1114</v>
      </c>
      <c r="K12" s="10" t="s">
        <v>1115</v>
      </c>
      <c r="L12" s="10" t="s">
        <v>947</v>
      </c>
      <c r="M12" s="10" t="s">
        <v>1103</v>
      </c>
      <c r="N12" s="10" t="s">
        <v>1104</v>
      </c>
      <c r="O12" s="10" t="s">
        <v>623</v>
      </c>
      <c r="P12" s="10" t="s">
        <v>1105</v>
      </c>
      <c r="Q12" s="10" t="s">
        <v>1105</v>
      </c>
    </row>
    <row r="13" spans="1:17">
      <c r="A13" s="10" t="s">
        <v>1067</v>
      </c>
      <c r="B13" s="10" t="s">
        <v>1068</v>
      </c>
      <c r="C13" s="10" t="s">
        <v>18</v>
      </c>
      <c r="D13" s="10" t="s">
        <v>107</v>
      </c>
      <c r="E13" s="10" t="s">
        <v>676</v>
      </c>
      <c r="F13" s="10" t="s">
        <v>618</v>
      </c>
      <c r="G13" s="10" t="s">
        <v>156</v>
      </c>
      <c r="H13" s="10"/>
      <c r="I13" s="10" t="s">
        <v>1113</v>
      </c>
      <c r="J13" s="10" t="s">
        <v>1114</v>
      </c>
      <c r="K13" s="10" t="s">
        <v>1115</v>
      </c>
      <c r="L13" s="10" t="s">
        <v>947</v>
      </c>
      <c r="M13" s="10" t="s">
        <v>1103</v>
      </c>
      <c r="N13" s="10" t="s">
        <v>1104</v>
      </c>
      <c r="O13" s="10" t="s">
        <v>623</v>
      </c>
      <c r="P13" s="10" t="s">
        <v>1105</v>
      </c>
      <c r="Q13" s="10" t="s">
        <v>1105</v>
      </c>
    </row>
    <row r="14" spans="1:17">
      <c r="A14" s="10" t="s">
        <v>1065</v>
      </c>
      <c r="B14" s="10" t="s">
        <v>1066</v>
      </c>
      <c r="C14" s="10" t="s">
        <v>18</v>
      </c>
      <c r="D14" s="10" t="s">
        <v>107</v>
      </c>
      <c r="E14" s="10" t="s">
        <v>676</v>
      </c>
      <c r="F14" s="10" t="s">
        <v>618</v>
      </c>
      <c r="G14" s="10" t="s">
        <v>156</v>
      </c>
      <c r="H14" s="10"/>
      <c r="I14" s="10" t="s">
        <v>1116</v>
      </c>
      <c r="J14" s="10" t="s">
        <v>1117</v>
      </c>
      <c r="K14" s="10" t="s">
        <v>1118</v>
      </c>
      <c r="L14" s="10" t="s">
        <v>947</v>
      </c>
      <c r="M14" s="10" t="s">
        <v>1119</v>
      </c>
      <c r="N14" s="10" t="s">
        <v>1104</v>
      </c>
      <c r="O14" s="10" t="s">
        <v>362</v>
      </c>
      <c r="P14" s="10" t="s">
        <v>1105</v>
      </c>
      <c r="Q14" s="10" t="s">
        <v>1105</v>
      </c>
    </row>
    <row r="15" spans="1:17">
      <c r="A15" s="10" t="s">
        <v>1063</v>
      </c>
      <c r="B15" s="10" t="s">
        <v>1064</v>
      </c>
      <c r="C15" s="10" t="s">
        <v>18</v>
      </c>
      <c r="D15" s="10" t="s">
        <v>107</v>
      </c>
      <c r="E15" s="10" t="s">
        <v>632</v>
      </c>
      <c r="F15" s="10" t="s">
        <v>618</v>
      </c>
      <c r="G15" s="10" t="s">
        <v>156</v>
      </c>
      <c r="H15" s="10"/>
      <c r="I15" s="10" t="s">
        <v>1120</v>
      </c>
      <c r="J15" s="10" t="s">
        <v>1121</v>
      </c>
      <c r="K15" s="10" t="s">
        <v>1114</v>
      </c>
      <c r="L15" s="10" t="s">
        <v>947</v>
      </c>
      <c r="M15" s="10" t="s">
        <v>1103</v>
      </c>
      <c r="N15" s="10" t="s">
        <v>1104</v>
      </c>
      <c r="O15" s="10" t="s">
        <v>665</v>
      </c>
      <c r="P15" s="10" t="s">
        <v>1105</v>
      </c>
      <c r="Q15" s="10" t="s">
        <v>1105</v>
      </c>
    </row>
    <row r="16" spans="1:17">
      <c r="A16" s="10" t="s">
        <v>1061</v>
      </c>
      <c r="B16" s="10" t="s">
        <v>1062</v>
      </c>
      <c r="C16" s="10" t="s">
        <v>18</v>
      </c>
      <c r="D16" s="10" t="s">
        <v>107</v>
      </c>
      <c r="E16" s="10" t="s">
        <v>632</v>
      </c>
      <c r="F16" s="10" t="s">
        <v>618</v>
      </c>
      <c r="G16" s="10" t="s">
        <v>156</v>
      </c>
      <c r="H16" s="10"/>
      <c r="I16" s="10" t="s">
        <v>1120</v>
      </c>
      <c r="J16" s="10" t="s">
        <v>1121</v>
      </c>
      <c r="K16" s="10" t="s">
        <v>1114</v>
      </c>
      <c r="L16" s="10" t="s">
        <v>947</v>
      </c>
      <c r="M16" s="10" t="s">
        <v>1103</v>
      </c>
      <c r="N16" s="10" t="s">
        <v>1104</v>
      </c>
      <c r="O16" s="10" t="s">
        <v>665</v>
      </c>
      <c r="P16" s="10" t="s">
        <v>1105</v>
      </c>
      <c r="Q16" s="10" t="s">
        <v>1105</v>
      </c>
    </row>
    <row r="17" spans="1:17">
      <c r="A17" s="10" t="s">
        <v>1059</v>
      </c>
      <c r="B17" s="10" t="s">
        <v>1060</v>
      </c>
      <c r="C17" s="10" t="s">
        <v>18</v>
      </c>
      <c r="D17" s="10" t="s">
        <v>107</v>
      </c>
      <c r="E17" s="10" t="s">
        <v>632</v>
      </c>
      <c r="F17" s="10" t="s">
        <v>618</v>
      </c>
      <c r="G17" s="10" t="s">
        <v>156</v>
      </c>
      <c r="H17" s="10"/>
      <c r="I17" s="10" t="s">
        <v>1122</v>
      </c>
      <c r="J17" s="10" t="s">
        <v>1123</v>
      </c>
      <c r="K17" s="10" t="s">
        <v>1124</v>
      </c>
      <c r="L17" s="10" t="s">
        <v>947</v>
      </c>
      <c r="M17" s="10" t="s">
        <v>1103</v>
      </c>
      <c r="N17" s="10" t="s">
        <v>1104</v>
      </c>
      <c r="O17" s="10" t="s">
        <v>665</v>
      </c>
      <c r="P17" s="10" t="s">
        <v>1105</v>
      </c>
      <c r="Q17" s="10" t="s">
        <v>1105</v>
      </c>
    </row>
    <row r="18" spans="1:17">
      <c r="A18" s="10" t="s">
        <v>1057</v>
      </c>
      <c r="B18" s="10" t="s">
        <v>1058</v>
      </c>
      <c r="C18" s="10" t="s">
        <v>18</v>
      </c>
      <c r="D18" s="10" t="s">
        <v>107</v>
      </c>
      <c r="E18" s="10" t="s">
        <v>632</v>
      </c>
      <c r="F18" s="10" t="s">
        <v>618</v>
      </c>
      <c r="G18" s="10" t="s">
        <v>156</v>
      </c>
      <c r="H18" s="10"/>
      <c r="I18" s="10" t="s">
        <v>1122</v>
      </c>
      <c r="J18" s="10" t="s">
        <v>1123</v>
      </c>
      <c r="K18" s="10" t="s">
        <v>1124</v>
      </c>
      <c r="L18" s="10" t="s">
        <v>947</v>
      </c>
      <c r="M18" s="10" t="s">
        <v>1103</v>
      </c>
      <c r="N18" s="10" t="s">
        <v>1104</v>
      </c>
      <c r="O18" s="10" t="s">
        <v>665</v>
      </c>
      <c r="P18" s="10" t="s">
        <v>1105</v>
      </c>
      <c r="Q18" s="10" t="s">
        <v>1105</v>
      </c>
    </row>
    <row r="19" spans="1:17">
      <c r="A19" s="10" t="s">
        <v>1055</v>
      </c>
      <c r="B19" s="10" t="s">
        <v>1056</v>
      </c>
      <c r="C19" s="10" t="s">
        <v>18</v>
      </c>
      <c r="D19" s="10" t="s">
        <v>107</v>
      </c>
      <c r="E19" s="10" t="s">
        <v>632</v>
      </c>
      <c r="F19" s="10" t="s">
        <v>618</v>
      </c>
      <c r="G19" s="10" t="s">
        <v>156</v>
      </c>
      <c r="H19" s="10"/>
      <c r="I19" s="10" t="s">
        <v>1111</v>
      </c>
      <c r="J19" s="10" t="s">
        <v>1101</v>
      </c>
      <c r="K19" s="10" t="s">
        <v>1112</v>
      </c>
      <c r="L19" s="10" t="s">
        <v>947</v>
      </c>
      <c r="M19" s="10" t="s">
        <v>1103</v>
      </c>
      <c r="N19" s="10" t="s">
        <v>1104</v>
      </c>
      <c r="O19" s="10" t="s">
        <v>216</v>
      </c>
      <c r="P19" s="10" t="s">
        <v>1105</v>
      </c>
      <c r="Q19" s="10" t="s">
        <v>1105</v>
      </c>
    </row>
    <row r="20" spans="1:17">
      <c r="A20" s="10" t="s">
        <v>1053</v>
      </c>
      <c r="B20" s="10" t="s">
        <v>1054</v>
      </c>
      <c r="C20" s="10" t="s">
        <v>18</v>
      </c>
      <c r="D20" s="10" t="s">
        <v>107</v>
      </c>
      <c r="E20" s="10" t="s">
        <v>632</v>
      </c>
      <c r="F20" s="10" t="s">
        <v>618</v>
      </c>
      <c r="G20" s="10" t="s">
        <v>156</v>
      </c>
      <c r="H20" s="10"/>
      <c r="I20" s="10" t="s">
        <v>1111</v>
      </c>
      <c r="J20" s="10" t="s">
        <v>1101</v>
      </c>
      <c r="K20" s="10" t="s">
        <v>1112</v>
      </c>
      <c r="L20" s="10" t="s">
        <v>947</v>
      </c>
      <c r="M20" s="10" t="s">
        <v>1103</v>
      </c>
      <c r="N20" s="10" t="s">
        <v>1104</v>
      </c>
      <c r="O20" s="10" t="s">
        <v>216</v>
      </c>
      <c r="P20" s="10" t="s">
        <v>1105</v>
      </c>
      <c r="Q20" s="10" t="s">
        <v>1105</v>
      </c>
    </row>
    <row r="21" spans="1:17">
      <c r="A21" s="10" t="s">
        <v>1051</v>
      </c>
      <c r="B21" s="10" t="s">
        <v>1052</v>
      </c>
      <c r="C21" s="10" t="s">
        <v>18</v>
      </c>
      <c r="D21" s="10" t="s">
        <v>107</v>
      </c>
      <c r="E21" s="10" t="s">
        <v>632</v>
      </c>
      <c r="F21" s="10" t="s">
        <v>618</v>
      </c>
      <c r="G21" s="10" t="s">
        <v>156</v>
      </c>
      <c r="H21" s="10"/>
      <c r="I21" s="10" t="s">
        <v>1111</v>
      </c>
      <c r="J21" s="10" t="s">
        <v>1101</v>
      </c>
      <c r="K21" s="10" t="s">
        <v>1112</v>
      </c>
      <c r="L21" s="10" t="s">
        <v>947</v>
      </c>
      <c r="M21" s="10" t="s">
        <v>1103</v>
      </c>
      <c r="N21" s="10" t="s">
        <v>1104</v>
      </c>
      <c r="O21" s="10" t="s">
        <v>216</v>
      </c>
      <c r="P21" s="10" t="s">
        <v>1105</v>
      </c>
      <c r="Q21" s="10" t="s">
        <v>1105</v>
      </c>
    </row>
    <row r="22" spans="1:17">
      <c r="A22" s="10" t="s">
        <v>1049</v>
      </c>
      <c r="B22" s="10" t="s">
        <v>1050</v>
      </c>
      <c r="C22" s="10" t="s">
        <v>18</v>
      </c>
      <c r="D22" s="10" t="s">
        <v>107</v>
      </c>
      <c r="E22" s="10" t="s">
        <v>632</v>
      </c>
      <c r="F22" s="10" t="s">
        <v>618</v>
      </c>
      <c r="G22" s="10" t="s">
        <v>156</v>
      </c>
      <c r="H22" s="10"/>
      <c r="I22" s="10" t="s">
        <v>1125</v>
      </c>
      <c r="J22" s="10" t="s">
        <v>1114</v>
      </c>
      <c r="K22" s="10" t="s">
        <v>1126</v>
      </c>
      <c r="L22" s="10" t="s">
        <v>947</v>
      </c>
      <c r="M22" s="10" t="s">
        <v>1119</v>
      </c>
      <c r="N22" s="10" t="s">
        <v>1104</v>
      </c>
      <c r="O22" s="10" t="s">
        <v>623</v>
      </c>
      <c r="P22" s="10" t="s">
        <v>1105</v>
      </c>
      <c r="Q22" s="10" t="s">
        <v>1105</v>
      </c>
    </row>
    <row r="23" spans="1:17">
      <c r="A23" s="10" t="s">
        <v>1047</v>
      </c>
      <c r="B23" s="10" t="s">
        <v>1048</v>
      </c>
      <c r="C23" s="10" t="s">
        <v>18</v>
      </c>
      <c r="D23" s="10" t="s">
        <v>107</v>
      </c>
      <c r="E23" s="10" t="s">
        <v>632</v>
      </c>
      <c r="F23" s="10" t="s">
        <v>618</v>
      </c>
      <c r="G23" s="10" t="s">
        <v>156</v>
      </c>
      <c r="H23" s="10"/>
      <c r="I23" s="10" t="s">
        <v>1125</v>
      </c>
      <c r="J23" s="10" t="s">
        <v>1114</v>
      </c>
      <c r="K23" s="10" t="s">
        <v>1126</v>
      </c>
      <c r="L23" s="10" t="s">
        <v>947</v>
      </c>
      <c r="M23" s="10" t="s">
        <v>1119</v>
      </c>
      <c r="N23" s="10" t="s">
        <v>1104</v>
      </c>
      <c r="O23" s="10" t="s">
        <v>623</v>
      </c>
      <c r="P23" s="10" t="s">
        <v>1105</v>
      </c>
      <c r="Q23" s="10" t="s">
        <v>1105</v>
      </c>
    </row>
    <row r="24" spans="1:17">
      <c r="A24" s="10" t="s">
        <v>1045</v>
      </c>
      <c r="B24" s="10" t="s">
        <v>1046</v>
      </c>
      <c r="C24" s="10" t="s">
        <v>18</v>
      </c>
      <c r="D24" s="10" t="s">
        <v>107</v>
      </c>
      <c r="E24" s="10" t="s">
        <v>632</v>
      </c>
      <c r="F24" s="10" t="s">
        <v>618</v>
      </c>
      <c r="G24" s="10" t="s">
        <v>156</v>
      </c>
      <c r="H24" s="10"/>
      <c r="I24" s="10" t="s">
        <v>1116</v>
      </c>
      <c r="J24" s="10" t="s">
        <v>1117</v>
      </c>
      <c r="K24" s="10" t="s">
        <v>1118</v>
      </c>
      <c r="L24" s="10" t="s">
        <v>947</v>
      </c>
      <c r="M24" s="10" t="s">
        <v>1119</v>
      </c>
      <c r="N24" s="10" t="s">
        <v>1104</v>
      </c>
      <c r="O24" s="10" t="s">
        <v>362</v>
      </c>
      <c r="P24" s="10" t="s">
        <v>1105</v>
      </c>
      <c r="Q24" s="10" t="s">
        <v>1105</v>
      </c>
    </row>
    <row r="25" spans="1:17">
      <c r="A25" s="10" t="s">
        <v>1043</v>
      </c>
      <c r="B25" s="10" t="s">
        <v>1044</v>
      </c>
      <c r="C25" s="10" t="s">
        <v>18</v>
      </c>
      <c r="D25" s="10" t="s">
        <v>107</v>
      </c>
      <c r="E25" s="10" t="s">
        <v>632</v>
      </c>
      <c r="F25" s="10" t="s">
        <v>618</v>
      </c>
      <c r="G25" s="10" t="s">
        <v>156</v>
      </c>
      <c r="H25" s="10"/>
      <c r="I25" s="10" t="s">
        <v>1116</v>
      </c>
      <c r="J25" s="10" t="s">
        <v>1117</v>
      </c>
      <c r="K25" s="10" t="s">
        <v>1118</v>
      </c>
      <c r="L25" s="10" t="s">
        <v>947</v>
      </c>
      <c r="M25" s="10" t="s">
        <v>1119</v>
      </c>
      <c r="N25" s="10" t="s">
        <v>1104</v>
      </c>
      <c r="O25" s="10" t="s">
        <v>362</v>
      </c>
      <c r="P25" s="10" t="s">
        <v>1105</v>
      </c>
      <c r="Q25" s="10" t="s">
        <v>1105</v>
      </c>
    </row>
    <row r="26" spans="1:17">
      <c r="A26" s="10" t="s">
        <v>1041</v>
      </c>
      <c r="B26" s="10" t="s">
        <v>1042</v>
      </c>
      <c r="C26" s="10" t="s">
        <v>18</v>
      </c>
      <c r="D26" s="10" t="s">
        <v>107</v>
      </c>
      <c r="E26" s="10" t="s">
        <v>632</v>
      </c>
      <c r="F26" s="10" t="s">
        <v>618</v>
      </c>
      <c r="G26" s="10" t="s">
        <v>156</v>
      </c>
      <c r="H26" s="10"/>
      <c r="I26" s="10" t="s">
        <v>1116</v>
      </c>
      <c r="J26" s="10" t="s">
        <v>1117</v>
      </c>
      <c r="K26" s="10" t="s">
        <v>1118</v>
      </c>
      <c r="L26" s="10" t="s">
        <v>947</v>
      </c>
      <c r="M26" s="10" t="s">
        <v>1119</v>
      </c>
      <c r="N26" s="10" t="s">
        <v>1104</v>
      </c>
      <c r="O26" s="10" t="s">
        <v>362</v>
      </c>
      <c r="P26" s="10" t="s">
        <v>1105</v>
      </c>
      <c r="Q26" s="10" t="s">
        <v>1105</v>
      </c>
    </row>
    <row r="27" spans="1:17">
      <c r="A27" s="10" t="s">
        <v>1039</v>
      </c>
      <c r="B27" s="10" t="s">
        <v>1040</v>
      </c>
      <c r="C27" s="10" t="s">
        <v>18</v>
      </c>
      <c r="D27" s="10" t="s">
        <v>107</v>
      </c>
      <c r="E27" s="10" t="s">
        <v>632</v>
      </c>
      <c r="F27" s="10" t="s">
        <v>618</v>
      </c>
      <c r="G27" s="10" t="s">
        <v>156</v>
      </c>
      <c r="H27" s="10"/>
      <c r="I27" s="10" t="s">
        <v>1127</v>
      </c>
      <c r="J27" s="10" t="s">
        <v>1128</v>
      </c>
      <c r="K27" s="10" t="s">
        <v>1126</v>
      </c>
      <c r="L27" s="10" t="s">
        <v>947</v>
      </c>
      <c r="M27" s="10" t="s">
        <v>1129</v>
      </c>
      <c r="N27" s="10" t="s">
        <v>1104</v>
      </c>
      <c r="O27" s="10" t="s">
        <v>377</v>
      </c>
      <c r="P27" s="10" t="s">
        <v>1105</v>
      </c>
      <c r="Q27" s="10" t="s">
        <v>1105</v>
      </c>
    </row>
    <row r="28" spans="1:17">
      <c r="A28" s="10" t="s">
        <v>1037</v>
      </c>
      <c r="B28" s="10" t="s">
        <v>1038</v>
      </c>
      <c r="C28" s="10" t="s">
        <v>18</v>
      </c>
      <c r="D28" s="10" t="s">
        <v>107</v>
      </c>
      <c r="E28" s="10" t="s">
        <v>617</v>
      </c>
      <c r="F28" s="10" t="s">
        <v>618</v>
      </c>
      <c r="G28" s="10" t="s">
        <v>156</v>
      </c>
      <c r="H28" s="10"/>
      <c r="I28" s="10" t="s">
        <v>1120</v>
      </c>
      <c r="J28" s="10" t="s">
        <v>1121</v>
      </c>
      <c r="K28" s="10" t="s">
        <v>1114</v>
      </c>
      <c r="L28" s="10" t="s">
        <v>947</v>
      </c>
      <c r="M28" s="10" t="s">
        <v>1103</v>
      </c>
      <c r="N28" s="10" t="s">
        <v>1104</v>
      </c>
      <c r="O28" s="10" t="s">
        <v>665</v>
      </c>
      <c r="P28" s="10" t="s">
        <v>1105</v>
      </c>
      <c r="Q28" s="10" t="s">
        <v>1105</v>
      </c>
    </row>
    <row r="29" spans="1:17">
      <c r="A29" s="10" t="s">
        <v>1035</v>
      </c>
      <c r="B29" s="10" t="s">
        <v>1036</v>
      </c>
      <c r="C29" s="10" t="s">
        <v>18</v>
      </c>
      <c r="D29" s="10" t="s">
        <v>107</v>
      </c>
      <c r="E29" s="10" t="s">
        <v>617</v>
      </c>
      <c r="F29" s="10" t="s">
        <v>618</v>
      </c>
      <c r="G29" s="10" t="s">
        <v>156</v>
      </c>
      <c r="H29" s="10"/>
      <c r="I29" s="10" t="s">
        <v>1120</v>
      </c>
      <c r="J29" s="10" t="s">
        <v>1121</v>
      </c>
      <c r="K29" s="10" t="s">
        <v>1114</v>
      </c>
      <c r="L29" s="10" t="s">
        <v>947</v>
      </c>
      <c r="M29" s="10" t="s">
        <v>1103</v>
      </c>
      <c r="N29" s="10" t="s">
        <v>1104</v>
      </c>
      <c r="O29" s="10" t="s">
        <v>665</v>
      </c>
      <c r="P29" s="10" t="s">
        <v>1105</v>
      </c>
      <c r="Q29" s="10" t="s">
        <v>1105</v>
      </c>
    </row>
    <row r="30" spans="1:17">
      <c r="A30" s="10" t="s">
        <v>1033</v>
      </c>
      <c r="B30" s="10" t="s">
        <v>1034</v>
      </c>
      <c r="C30" s="10" t="s">
        <v>18</v>
      </c>
      <c r="D30" s="10" t="s">
        <v>107</v>
      </c>
      <c r="E30" s="10" t="s">
        <v>617</v>
      </c>
      <c r="F30" s="10" t="s">
        <v>618</v>
      </c>
      <c r="G30" s="10" t="s">
        <v>156</v>
      </c>
      <c r="H30" s="10"/>
      <c r="I30" s="10" t="s">
        <v>1122</v>
      </c>
      <c r="J30" s="10" t="s">
        <v>1123</v>
      </c>
      <c r="K30" s="10" t="s">
        <v>1124</v>
      </c>
      <c r="L30" s="10" t="s">
        <v>947</v>
      </c>
      <c r="M30" s="10" t="s">
        <v>1103</v>
      </c>
      <c r="N30" s="10" t="s">
        <v>1104</v>
      </c>
      <c r="O30" s="10" t="s">
        <v>665</v>
      </c>
      <c r="P30" s="10" t="s">
        <v>1105</v>
      </c>
      <c r="Q30" s="10" t="s">
        <v>1105</v>
      </c>
    </row>
    <row r="31" spans="1:17">
      <c r="A31" s="10" t="s">
        <v>1031</v>
      </c>
      <c r="B31" s="10" t="s">
        <v>1032</v>
      </c>
      <c r="C31" s="10" t="s">
        <v>18</v>
      </c>
      <c r="D31" s="10" t="s">
        <v>107</v>
      </c>
      <c r="E31" s="10" t="s">
        <v>617</v>
      </c>
      <c r="F31" s="10" t="s">
        <v>618</v>
      </c>
      <c r="G31" s="10" t="s">
        <v>156</v>
      </c>
      <c r="H31" s="10"/>
      <c r="I31" s="10" t="s">
        <v>1122</v>
      </c>
      <c r="J31" s="10" t="s">
        <v>1123</v>
      </c>
      <c r="K31" s="10" t="s">
        <v>1124</v>
      </c>
      <c r="L31" s="10" t="s">
        <v>947</v>
      </c>
      <c r="M31" s="10" t="s">
        <v>1103</v>
      </c>
      <c r="N31" s="10" t="s">
        <v>1104</v>
      </c>
      <c r="O31" s="10" t="s">
        <v>665</v>
      </c>
      <c r="P31" s="10" t="s">
        <v>1105</v>
      </c>
      <c r="Q31" s="10" t="s">
        <v>1105</v>
      </c>
    </row>
    <row r="32" spans="1:17">
      <c r="A32" s="10" t="s">
        <v>1029</v>
      </c>
      <c r="B32" s="10" t="s">
        <v>1030</v>
      </c>
      <c r="C32" s="10" t="s">
        <v>18</v>
      </c>
      <c r="D32" s="10" t="s">
        <v>107</v>
      </c>
      <c r="E32" s="10" t="s">
        <v>617</v>
      </c>
      <c r="F32" s="10" t="s">
        <v>618</v>
      </c>
      <c r="G32" s="10" t="s">
        <v>156</v>
      </c>
      <c r="H32" s="10"/>
      <c r="I32" s="10" t="s">
        <v>1111</v>
      </c>
      <c r="J32" s="10" t="s">
        <v>1101</v>
      </c>
      <c r="K32" s="10" t="s">
        <v>1112</v>
      </c>
      <c r="L32" s="10" t="s">
        <v>947</v>
      </c>
      <c r="M32" s="10" t="s">
        <v>1103</v>
      </c>
      <c r="N32" s="10" t="s">
        <v>1104</v>
      </c>
      <c r="O32" s="10" t="s">
        <v>216</v>
      </c>
      <c r="P32" s="10" t="s">
        <v>1105</v>
      </c>
      <c r="Q32" s="10" t="s">
        <v>1105</v>
      </c>
    </row>
    <row r="33" spans="1:17">
      <c r="A33" s="10" t="s">
        <v>1027</v>
      </c>
      <c r="B33" s="10" t="s">
        <v>1028</v>
      </c>
      <c r="C33" s="10" t="s">
        <v>18</v>
      </c>
      <c r="D33" s="10" t="s">
        <v>107</v>
      </c>
      <c r="E33" s="10" t="s">
        <v>617</v>
      </c>
      <c r="F33" s="10" t="s">
        <v>618</v>
      </c>
      <c r="G33" s="10" t="s">
        <v>156</v>
      </c>
      <c r="H33" s="10"/>
      <c r="I33" s="10" t="s">
        <v>1111</v>
      </c>
      <c r="J33" s="10" t="s">
        <v>1101</v>
      </c>
      <c r="K33" s="10" t="s">
        <v>1112</v>
      </c>
      <c r="L33" s="10" t="s">
        <v>947</v>
      </c>
      <c r="M33" s="10" t="s">
        <v>1103</v>
      </c>
      <c r="N33" s="10" t="s">
        <v>1104</v>
      </c>
      <c r="O33" s="10" t="s">
        <v>216</v>
      </c>
      <c r="P33" s="10" t="s">
        <v>1105</v>
      </c>
      <c r="Q33" s="10" t="s">
        <v>1105</v>
      </c>
    </row>
    <row r="34" spans="1:17">
      <c r="A34" s="10" t="s">
        <v>1025</v>
      </c>
      <c r="B34" s="10" t="s">
        <v>1026</v>
      </c>
      <c r="C34" s="10" t="s">
        <v>18</v>
      </c>
      <c r="D34" s="10" t="s">
        <v>107</v>
      </c>
      <c r="E34" s="10" t="s">
        <v>617</v>
      </c>
      <c r="F34" s="10" t="s">
        <v>618</v>
      </c>
      <c r="G34" s="10" t="s">
        <v>156</v>
      </c>
      <c r="H34" s="10"/>
      <c r="I34" s="10" t="s">
        <v>1125</v>
      </c>
      <c r="J34" s="10" t="s">
        <v>1114</v>
      </c>
      <c r="K34" s="10" t="s">
        <v>1126</v>
      </c>
      <c r="L34" s="10" t="s">
        <v>947</v>
      </c>
      <c r="M34" s="10" t="s">
        <v>1119</v>
      </c>
      <c r="N34" s="10" t="s">
        <v>1104</v>
      </c>
      <c r="O34" s="10" t="s">
        <v>623</v>
      </c>
      <c r="P34" s="10" t="s">
        <v>1105</v>
      </c>
      <c r="Q34" s="10" t="s">
        <v>1105</v>
      </c>
    </row>
    <row r="35" spans="1:17">
      <c r="A35" s="10" t="s">
        <v>1023</v>
      </c>
      <c r="B35" s="10" t="s">
        <v>1024</v>
      </c>
      <c r="C35" s="10" t="s">
        <v>18</v>
      </c>
      <c r="D35" s="10" t="s">
        <v>107</v>
      </c>
      <c r="E35" s="10" t="s">
        <v>617</v>
      </c>
      <c r="F35" s="10" t="s">
        <v>618</v>
      </c>
      <c r="G35" s="10" t="s">
        <v>156</v>
      </c>
      <c r="H35" s="10"/>
      <c r="I35" s="10" t="s">
        <v>1125</v>
      </c>
      <c r="J35" s="10" t="s">
        <v>1114</v>
      </c>
      <c r="K35" s="10" t="s">
        <v>1126</v>
      </c>
      <c r="L35" s="10" t="s">
        <v>947</v>
      </c>
      <c r="M35" s="10" t="s">
        <v>1119</v>
      </c>
      <c r="N35" s="10" t="s">
        <v>1104</v>
      </c>
      <c r="O35" s="10" t="s">
        <v>623</v>
      </c>
      <c r="P35" s="10" t="s">
        <v>1105</v>
      </c>
      <c r="Q35" s="10" t="s">
        <v>1105</v>
      </c>
    </row>
    <row r="36" spans="1:17">
      <c r="A36" s="10" t="s">
        <v>1021</v>
      </c>
      <c r="B36" s="10" t="s">
        <v>1022</v>
      </c>
      <c r="C36" s="10" t="s">
        <v>18</v>
      </c>
      <c r="D36" s="10" t="s">
        <v>107</v>
      </c>
      <c r="E36" s="10" t="s">
        <v>617</v>
      </c>
      <c r="F36" s="10" t="s">
        <v>618</v>
      </c>
      <c r="G36" s="10" t="s">
        <v>156</v>
      </c>
      <c r="H36" s="10"/>
      <c r="I36" s="10" t="s">
        <v>1116</v>
      </c>
      <c r="J36" s="10" t="s">
        <v>1117</v>
      </c>
      <c r="K36" s="10" t="s">
        <v>1118</v>
      </c>
      <c r="L36" s="10" t="s">
        <v>947</v>
      </c>
      <c r="M36" s="10" t="s">
        <v>1119</v>
      </c>
      <c r="N36" s="10" t="s">
        <v>1104</v>
      </c>
      <c r="O36" s="10" t="s">
        <v>362</v>
      </c>
      <c r="P36" s="10" t="s">
        <v>1105</v>
      </c>
      <c r="Q36" s="10" t="s">
        <v>1105</v>
      </c>
    </row>
    <row r="37" spans="1:17">
      <c r="A37" s="10" t="s">
        <v>1019</v>
      </c>
      <c r="B37" s="10" t="s">
        <v>1020</v>
      </c>
      <c r="C37" s="10" t="s">
        <v>18</v>
      </c>
      <c r="D37" s="10" t="s">
        <v>107</v>
      </c>
      <c r="E37" s="10" t="s">
        <v>617</v>
      </c>
      <c r="F37" s="10" t="s">
        <v>618</v>
      </c>
      <c r="G37" s="10" t="s">
        <v>156</v>
      </c>
      <c r="H37" s="10"/>
      <c r="I37" s="10" t="s">
        <v>1116</v>
      </c>
      <c r="J37" s="10" t="s">
        <v>1117</v>
      </c>
      <c r="K37" s="10" t="s">
        <v>1118</v>
      </c>
      <c r="L37" s="10" t="s">
        <v>947</v>
      </c>
      <c r="M37" s="10" t="s">
        <v>1119</v>
      </c>
      <c r="N37" s="10" t="s">
        <v>1104</v>
      </c>
      <c r="O37" s="10" t="s">
        <v>362</v>
      </c>
      <c r="P37" s="10" t="s">
        <v>1105</v>
      </c>
      <c r="Q37" s="10" t="s">
        <v>1105</v>
      </c>
    </row>
    <row r="38" spans="1:17">
      <c r="A38" s="10" t="s">
        <v>1017</v>
      </c>
      <c r="B38" s="10" t="s">
        <v>1018</v>
      </c>
      <c r="C38" s="10" t="s">
        <v>18</v>
      </c>
      <c r="D38" s="10" t="s">
        <v>107</v>
      </c>
      <c r="E38" s="10" t="s">
        <v>617</v>
      </c>
      <c r="F38" s="10" t="s">
        <v>618</v>
      </c>
      <c r="G38" s="10" t="s">
        <v>156</v>
      </c>
      <c r="H38" s="10"/>
      <c r="I38" s="10" t="s">
        <v>1127</v>
      </c>
      <c r="J38" s="10" t="s">
        <v>1128</v>
      </c>
      <c r="K38" s="10" t="s">
        <v>1126</v>
      </c>
      <c r="L38" s="10" t="s">
        <v>947</v>
      </c>
      <c r="M38" s="10" t="s">
        <v>1129</v>
      </c>
      <c r="N38" s="10" t="s">
        <v>1104</v>
      </c>
      <c r="O38" s="10" t="s">
        <v>377</v>
      </c>
      <c r="P38" s="10" t="s">
        <v>1105</v>
      </c>
      <c r="Q38" s="10" t="s">
        <v>1105</v>
      </c>
    </row>
    <row r="39" spans="1:17">
      <c r="A39" s="10" t="s">
        <v>1015</v>
      </c>
      <c r="B39" s="10" t="s">
        <v>1016</v>
      </c>
      <c r="C39" s="10" t="s">
        <v>18</v>
      </c>
      <c r="D39" s="10" t="s">
        <v>107</v>
      </c>
      <c r="E39" s="10" t="s">
        <v>617</v>
      </c>
      <c r="F39" s="10" t="s">
        <v>618</v>
      </c>
      <c r="G39" s="10" t="s">
        <v>156</v>
      </c>
      <c r="H39" s="10"/>
      <c r="I39" s="10" t="s">
        <v>1127</v>
      </c>
      <c r="J39" s="10" t="s">
        <v>1128</v>
      </c>
      <c r="K39" s="10" t="s">
        <v>1126</v>
      </c>
      <c r="L39" s="10" t="s">
        <v>947</v>
      </c>
      <c r="M39" s="10" t="s">
        <v>1129</v>
      </c>
      <c r="N39" s="10" t="s">
        <v>1104</v>
      </c>
      <c r="O39" s="10" t="s">
        <v>377</v>
      </c>
      <c r="P39" s="10" t="s">
        <v>1105</v>
      </c>
      <c r="Q39" s="10" t="s">
        <v>1105</v>
      </c>
    </row>
    <row r="40" spans="1:17">
      <c r="A40" s="10" t="s">
        <v>1013</v>
      </c>
      <c r="B40" s="10" t="s">
        <v>1014</v>
      </c>
      <c r="C40" s="10" t="s">
        <v>18</v>
      </c>
      <c r="D40" s="10" t="s">
        <v>107</v>
      </c>
      <c r="E40" s="10" t="s">
        <v>531</v>
      </c>
      <c r="F40" s="10" t="s">
        <v>532</v>
      </c>
      <c r="G40" s="10" t="s">
        <v>42</v>
      </c>
      <c r="H40" s="10" t="s">
        <v>110</v>
      </c>
      <c r="I40" s="10" t="s">
        <v>1130</v>
      </c>
      <c r="J40" s="10" t="s">
        <v>1101</v>
      </c>
      <c r="K40" s="10" t="s">
        <v>1101</v>
      </c>
      <c r="L40" s="10" t="s">
        <v>947</v>
      </c>
      <c r="M40" s="10" t="s">
        <v>1103</v>
      </c>
      <c r="N40" s="10" t="s">
        <v>1104</v>
      </c>
      <c r="O40" s="10" t="s">
        <v>1131</v>
      </c>
      <c r="P40" s="10" t="s">
        <v>1105</v>
      </c>
      <c r="Q40" s="10" t="s">
        <v>1105</v>
      </c>
    </row>
    <row r="41" spans="1:17">
      <c r="A41" s="10" t="s">
        <v>1011</v>
      </c>
      <c r="B41" s="10" t="s">
        <v>1012</v>
      </c>
      <c r="C41" s="10" t="s">
        <v>18</v>
      </c>
      <c r="D41" s="10" t="s">
        <v>107</v>
      </c>
      <c r="E41" s="10" t="s">
        <v>531</v>
      </c>
      <c r="F41" s="10" t="s">
        <v>532</v>
      </c>
      <c r="G41" s="10" t="s">
        <v>42</v>
      </c>
      <c r="H41" s="10" t="s">
        <v>110</v>
      </c>
      <c r="I41" s="10" t="s">
        <v>1132</v>
      </c>
      <c r="J41" s="10" t="s">
        <v>1114</v>
      </c>
      <c r="K41" s="10" t="s">
        <v>1133</v>
      </c>
      <c r="L41" s="10" t="s">
        <v>947</v>
      </c>
      <c r="M41" s="10" t="s">
        <v>1119</v>
      </c>
      <c r="N41" s="10" t="s">
        <v>1104</v>
      </c>
      <c r="O41" s="10" t="s">
        <v>1134</v>
      </c>
      <c r="P41" s="10" t="s">
        <v>1105</v>
      </c>
      <c r="Q41" s="10" t="s">
        <v>1105</v>
      </c>
    </row>
    <row r="42" spans="1:17">
      <c r="A42" s="10" t="s">
        <v>1009</v>
      </c>
      <c r="B42" s="10" t="s">
        <v>1010</v>
      </c>
      <c r="C42" s="10" t="s">
        <v>18</v>
      </c>
      <c r="D42" s="10" t="s">
        <v>107</v>
      </c>
      <c r="E42" s="10" t="s">
        <v>531</v>
      </c>
      <c r="F42" s="10" t="s">
        <v>532</v>
      </c>
      <c r="G42" s="10" t="s">
        <v>42</v>
      </c>
      <c r="H42" s="10" t="s">
        <v>110</v>
      </c>
      <c r="I42" s="10" t="s">
        <v>1116</v>
      </c>
      <c r="J42" s="10" t="s">
        <v>1135</v>
      </c>
      <c r="K42" s="10" t="s">
        <v>1124</v>
      </c>
      <c r="L42" s="10" t="s">
        <v>947</v>
      </c>
      <c r="M42" s="10" t="s">
        <v>1119</v>
      </c>
      <c r="N42" s="10" t="s">
        <v>1104</v>
      </c>
      <c r="O42" s="10" t="s">
        <v>1134</v>
      </c>
      <c r="P42" s="10" t="s">
        <v>1105</v>
      </c>
      <c r="Q42" s="10" t="s">
        <v>1105</v>
      </c>
    </row>
    <row r="43" spans="1:17">
      <c r="A43" s="10" t="s">
        <v>1007</v>
      </c>
      <c r="B43" s="10" t="s">
        <v>1008</v>
      </c>
      <c r="C43" s="10" t="s">
        <v>18</v>
      </c>
      <c r="D43" s="10" t="s">
        <v>107</v>
      </c>
      <c r="E43" s="10" t="s">
        <v>531</v>
      </c>
      <c r="F43" s="10" t="s">
        <v>532</v>
      </c>
      <c r="G43" s="10" t="s">
        <v>42</v>
      </c>
      <c r="H43" s="10" t="s">
        <v>110</v>
      </c>
      <c r="I43" s="10" t="s">
        <v>1127</v>
      </c>
      <c r="J43" s="10" t="s">
        <v>1128</v>
      </c>
      <c r="K43" s="10" t="s">
        <v>1126</v>
      </c>
      <c r="L43" s="10" t="s">
        <v>947</v>
      </c>
      <c r="M43" s="10" t="s">
        <v>1129</v>
      </c>
      <c r="N43" s="10" t="s">
        <v>1104</v>
      </c>
      <c r="O43" s="10" t="s">
        <v>1136</v>
      </c>
      <c r="P43" s="10" t="s">
        <v>1105</v>
      </c>
      <c r="Q43" s="10" t="s">
        <v>1105</v>
      </c>
    </row>
    <row r="44" spans="1:17">
      <c r="A44" s="10" t="s">
        <v>1005</v>
      </c>
      <c r="B44" s="10" t="s">
        <v>1006</v>
      </c>
      <c r="C44" s="10" t="s">
        <v>18</v>
      </c>
      <c r="D44" s="10" t="s">
        <v>107</v>
      </c>
      <c r="E44" s="10" t="s">
        <v>531</v>
      </c>
      <c r="F44" s="10" t="s">
        <v>532</v>
      </c>
      <c r="G44" s="10" t="s">
        <v>42</v>
      </c>
      <c r="H44" s="10" t="s">
        <v>110</v>
      </c>
      <c r="I44" s="10" t="s">
        <v>1137</v>
      </c>
      <c r="J44" s="10" t="s">
        <v>1128</v>
      </c>
      <c r="K44" s="10" t="s">
        <v>1138</v>
      </c>
      <c r="L44" s="10" t="s">
        <v>947</v>
      </c>
      <c r="M44" s="10" t="s">
        <v>1129</v>
      </c>
      <c r="N44" s="10" t="s">
        <v>1104</v>
      </c>
      <c r="O44" s="10" t="s">
        <v>1136</v>
      </c>
      <c r="P44" s="10" t="s">
        <v>1105</v>
      </c>
      <c r="Q44" s="10" t="s">
        <v>1105</v>
      </c>
    </row>
    <row r="45" spans="1:17">
      <c r="A45" s="10" t="s">
        <v>1003</v>
      </c>
      <c r="B45" s="10" t="s">
        <v>1004</v>
      </c>
      <c r="C45" s="10" t="s">
        <v>18</v>
      </c>
      <c r="D45" s="10" t="s">
        <v>107</v>
      </c>
      <c r="E45" s="10" t="s">
        <v>365</v>
      </c>
      <c r="F45" s="10" t="s">
        <v>366</v>
      </c>
      <c r="G45" s="10" t="s">
        <v>38</v>
      </c>
      <c r="H45" s="10" t="s">
        <v>110</v>
      </c>
      <c r="I45" s="10" t="s">
        <v>1130</v>
      </c>
      <c r="J45" s="10" t="s">
        <v>1101</v>
      </c>
      <c r="K45" s="10" t="s">
        <v>1101</v>
      </c>
      <c r="L45" s="10" t="s">
        <v>947</v>
      </c>
      <c r="M45" s="10" t="s">
        <v>1103</v>
      </c>
      <c r="N45" s="10" t="s">
        <v>1104</v>
      </c>
      <c r="O45" s="10" t="s">
        <v>1131</v>
      </c>
      <c r="P45" s="10" t="s">
        <v>1105</v>
      </c>
      <c r="Q45" s="10" t="s">
        <v>1105</v>
      </c>
    </row>
    <row r="46" spans="1:17">
      <c r="A46" s="10" t="s">
        <v>1001</v>
      </c>
      <c r="B46" s="10" t="s">
        <v>1002</v>
      </c>
      <c r="C46" s="10" t="s">
        <v>18</v>
      </c>
      <c r="D46" s="10" t="s">
        <v>107</v>
      </c>
      <c r="E46" s="10" t="s">
        <v>365</v>
      </c>
      <c r="F46" s="10" t="s">
        <v>366</v>
      </c>
      <c r="G46" s="10" t="s">
        <v>38</v>
      </c>
      <c r="H46" s="10" t="s">
        <v>110</v>
      </c>
      <c r="I46" s="10" t="s">
        <v>1132</v>
      </c>
      <c r="J46" s="10" t="s">
        <v>1114</v>
      </c>
      <c r="K46" s="10" t="s">
        <v>1133</v>
      </c>
      <c r="L46" s="10" t="s">
        <v>947</v>
      </c>
      <c r="M46" s="10" t="s">
        <v>1119</v>
      </c>
      <c r="N46" s="10" t="s">
        <v>1104</v>
      </c>
      <c r="O46" s="10" t="s">
        <v>1131</v>
      </c>
      <c r="P46" s="10" t="s">
        <v>1105</v>
      </c>
      <c r="Q46" s="10" t="s">
        <v>1105</v>
      </c>
    </row>
    <row r="47" spans="1:17">
      <c r="A47" s="10" t="s">
        <v>999</v>
      </c>
      <c r="B47" s="10" t="s">
        <v>1000</v>
      </c>
      <c r="C47" s="10" t="s">
        <v>18</v>
      </c>
      <c r="D47" s="10" t="s">
        <v>107</v>
      </c>
      <c r="E47" s="10" t="s">
        <v>365</v>
      </c>
      <c r="F47" s="10" t="s">
        <v>366</v>
      </c>
      <c r="G47" s="10" t="s">
        <v>38</v>
      </c>
      <c r="H47" s="10" t="s">
        <v>110</v>
      </c>
      <c r="I47" s="10" t="s">
        <v>1116</v>
      </c>
      <c r="J47" s="10" t="s">
        <v>1135</v>
      </c>
      <c r="K47" s="10" t="s">
        <v>1124</v>
      </c>
      <c r="L47" s="10" t="s">
        <v>947</v>
      </c>
      <c r="M47" s="10" t="s">
        <v>1119</v>
      </c>
      <c r="N47" s="10" t="s">
        <v>1104</v>
      </c>
      <c r="O47" s="10" t="s">
        <v>1134</v>
      </c>
      <c r="P47" s="10" t="s">
        <v>1105</v>
      </c>
      <c r="Q47" s="10" t="s">
        <v>1105</v>
      </c>
    </row>
    <row r="48" spans="1:17">
      <c r="A48" s="10" t="s">
        <v>997</v>
      </c>
      <c r="B48" s="10" t="s">
        <v>998</v>
      </c>
      <c r="C48" s="10" t="s">
        <v>18</v>
      </c>
      <c r="D48" s="10" t="s">
        <v>107</v>
      </c>
      <c r="E48" s="10" t="s">
        <v>365</v>
      </c>
      <c r="F48" s="10" t="s">
        <v>366</v>
      </c>
      <c r="G48" s="10" t="s">
        <v>38</v>
      </c>
      <c r="H48" s="10" t="s">
        <v>110</v>
      </c>
      <c r="I48" s="10" t="s">
        <v>1127</v>
      </c>
      <c r="J48" s="10" t="s">
        <v>1128</v>
      </c>
      <c r="K48" s="10" t="s">
        <v>1126</v>
      </c>
      <c r="L48" s="10" t="s">
        <v>947</v>
      </c>
      <c r="M48" s="10" t="s">
        <v>1129</v>
      </c>
      <c r="N48" s="10" t="s">
        <v>1104</v>
      </c>
      <c r="O48" s="10" t="s">
        <v>1136</v>
      </c>
      <c r="P48" s="10" t="s">
        <v>1105</v>
      </c>
      <c r="Q48" s="10" t="s">
        <v>1105</v>
      </c>
    </row>
    <row r="49" spans="1:17">
      <c r="A49" s="10" t="s">
        <v>995</v>
      </c>
      <c r="B49" s="10" t="s">
        <v>996</v>
      </c>
      <c r="C49" s="10" t="s">
        <v>18</v>
      </c>
      <c r="D49" s="10" t="s">
        <v>107</v>
      </c>
      <c r="E49" s="10" t="s">
        <v>365</v>
      </c>
      <c r="F49" s="10" t="s">
        <v>366</v>
      </c>
      <c r="G49" s="10" t="s">
        <v>38</v>
      </c>
      <c r="H49" s="10" t="s">
        <v>110</v>
      </c>
      <c r="I49" s="10" t="s">
        <v>1137</v>
      </c>
      <c r="J49" s="10" t="s">
        <v>1128</v>
      </c>
      <c r="K49" s="10" t="s">
        <v>1138</v>
      </c>
      <c r="L49" s="10" t="s">
        <v>947</v>
      </c>
      <c r="M49" s="10" t="s">
        <v>1129</v>
      </c>
      <c r="N49" s="10" t="s">
        <v>1104</v>
      </c>
      <c r="O49" s="10" t="s">
        <v>1136</v>
      </c>
      <c r="P49" s="10" t="s">
        <v>1105</v>
      </c>
      <c r="Q49" s="10" t="s">
        <v>1105</v>
      </c>
    </row>
    <row r="50" spans="1:17">
      <c r="A50" s="10" t="s">
        <v>1139</v>
      </c>
      <c r="B50" s="10" t="s">
        <v>994</v>
      </c>
      <c r="C50" s="10" t="s">
        <v>28</v>
      </c>
      <c r="D50" s="10" t="s">
        <v>29</v>
      </c>
      <c r="E50" s="10" t="s">
        <v>29</v>
      </c>
      <c r="F50" s="10" t="s">
        <v>723</v>
      </c>
      <c r="G50" s="10" t="s">
        <v>723</v>
      </c>
      <c r="H50" s="10" t="s">
        <v>29</v>
      </c>
      <c r="I50" s="10" t="s">
        <v>1140</v>
      </c>
      <c r="J50" s="10" t="s">
        <v>1135</v>
      </c>
      <c r="K50" s="10" t="s">
        <v>1141</v>
      </c>
      <c r="L50" s="10" t="s">
        <v>723</v>
      </c>
      <c r="M50" s="10" t="s">
        <v>1129</v>
      </c>
      <c r="N50" s="10" t="s">
        <v>1142</v>
      </c>
      <c r="O50" s="10" t="s">
        <v>1143</v>
      </c>
      <c r="P50" s="10" t="s">
        <v>1105</v>
      </c>
      <c r="Q50" s="10" t="s">
        <v>1105</v>
      </c>
    </row>
    <row r="51" spans="1:17">
      <c r="A51" s="10" t="s">
        <v>1144</v>
      </c>
      <c r="B51" s="10" t="s">
        <v>993</v>
      </c>
      <c r="C51" s="10" t="s">
        <v>147</v>
      </c>
      <c r="D51" s="10" t="s">
        <v>29</v>
      </c>
      <c r="E51" s="10" t="s">
        <v>29</v>
      </c>
      <c r="F51" s="10" t="s">
        <v>723</v>
      </c>
      <c r="G51" s="10" t="s">
        <v>723</v>
      </c>
      <c r="H51" s="10" t="s">
        <v>29</v>
      </c>
      <c r="I51" s="10" t="s">
        <v>1140</v>
      </c>
      <c r="J51" s="10" t="s">
        <v>1135</v>
      </c>
      <c r="K51" s="10" t="s">
        <v>1141</v>
      </c>
      <c r="L51" s="10" t="s">
        <v>723</v>
      </c>
      <c r="M51" s="10" t="s">
        <v>1129</v>
      </c>
      <c r="N51" s="10" t="s">
        <v>1142</v>
      </c>
      <c r="O51" s="10" t="s">
        <v>1143</v>
      </c>
      <c r="P51" s="10" t="s">
        <v>1105</v>
      </c>
      <c r="Q51" s="10" t="s">
        <v>1105</v>
      </c>
    </row>
    <row r="52" spans="1:17">
      <c r="A52" s="10" t="s">
        <v>991</v>
      </c>
      <c r="B52" s="10" t="s">
        <v>992</v>
      </c>
      <c r="C52" s="10" t="s">
        <v>28</v>
      </c>
      <c r="D52" s="10" t="s">
        <v>29</v>
      </c>
      <c r="E52" s="10" t="s">
        <v>29</v>
      </c>
      <c r="F52" s="10" t="s">
        <v>723</v>
      </c>
      <c r="G52" s="10" t="s">
        <v>723</v>
      </c>
      <c r="H52" s="10" t="s">
        <v>29</v>
      </c>
      <c r="I52" s="10" t="s">
        <v>1140</v>
      </c>
      <c r="J52" s="10" t="s">
        <v>1135</v>
      </c>
      <c r="K52" s="10" t="s">
        <v>1141</v>
      </c>
      <c r="L52" s="10" t="s">
        <v>723</v>
      </c>
      <c r="M52" s="10" t="s">
        <v>1129</v>
      </c>
      <c r="N52" s="10" t="s">
        <v>1142</v>
      </c>
      <c r="O52" s="10" t="s">
        <v>1143</v>
      </c>
      <c r="P52" s="10" t="s">
        <v>1105</v>
      </c>
      <c r="Q52" s="10" t="s">
        <v>1105</v>
      </c>
    </row>
    <row r="53" spans="1:17">
      <c r="A53" s="10" t="s">
        <v>1145</v>
      </c>
      <c r="B53" s="10" t="s">
        <v>990</v>
      </c>
      <c r="C53" s="10" t="s">
        <v>18</v>
      </c>
      <c r="D53" s="10" t="s">
        <v>19</v>
      </c>
      <c r="E53" s="10" t="s">
        <v>20</v>
      </c>
      <c r="F53" s="10" t="s">
        <v>156</v>
      </c>
      <c r="G53" s="10" t="s">
        <v>156</v>
      </c>
      <c r="H53" s="10" t="s">
        <v>23</v>
      </c>
      <c r="I53" s="10" t="s">
        <v>1116</v>
      </c>
      <c r="J53" s="10" t="s">
        <v>1135</v>
      </c>
      <c r="K53" s="10" t="s">
        <v>1124</v>
      </c>
      <c r="L53" s="10" t="s">
        <v>947</v>
      </c>
      <c r="M53" s="10" t="s">
        <v>1119</v>
      </c>
      <c r="N53" s="10" t="s">
        <v>1104</v>
      </c>
      <c r="O53" s="10" t="s">
        <v>1146</v>
      </c>
      <c r="P53" s="10" t="s">
        <v>1105</v>
      </c>
      <c r="Q53" s="10" t="s">
        <v>1105</v>
      </c>
    </row>
    <row r="54" spans="1:17">
      <c r="A54" s="10" t="s">
        <v>1147</v>
      </c>
      <c r="B54" s="10" t="s">
        <v>989</v>
      </c>
      <c r="C54" s="10" t="s">
        <v>18</v>
      </c>
      <c r="D54" s="10" t="s">
        <v>19</v>
      </c>
      <c r="E54" s="10" t="s">
        <v>20</v>
      </c>
      <c r="F54" s="10" t="s">
        <v>156</v>
      </c>
      <c r="G54" s="10" t="s">
        <v>156</v>
      </c>
      <c r="H54" s="10" t="s">
        <v>23</v>
      </c>
      <c r="I54" s="10" t="s">
        <v>1148</v>
      </c>
      <c r="J54" s="10" t="s">
        <v>1114</v>
      </c>
      <c r="K54" s="10" t="s">
        <v>1124</v>
      </c>
      <c r="L54" s="10" t="s">
        <v>954</v>
      </c>
      <c r="M54" s="10" t="s">
        <v>954</v>
      </c>
      <c r="N54" s="10" t="s">
        <v>1104</v>
      </c>
      <c r="O54" s="10" t="s">
        <v>1149</v>
      </c>
      <c r="P54" s="10" t="s">
        <v>1105</v>
      </c>
      <c r="Q54" s="10" t="s">
        <v>1105</v>
      </c>
    </row>
    <row r="55" spans="1:17">
      <c r="A55" s="10" t="s">
        <v>1150</v>
      </c>
      <c r="B55" s="10" t="s">
        <v>988</v>
      </c>
      <c r="C55" s="10" t="s">
        <v>18</v>
      </c>
      <c r="D55" s="10" t="s">
        <v>19</v>
      </c>
      <c r="E55" s="10" t="s">
        <v>20</v>
      </c>
      <c r="F55" s="10" t="s">
        <v>38</v>
      </c>
      <c r="G55" s="10" t="s">
        <v>38</v>
      </c>
      <c r="H55" s="10" t="s">
        <v>23</v>
      </c>
      <c r="I55" s="10" t="s">
        <v>1148</v>
      </c>
      <c r="J55" s="10" t="s">
        <v>1101</v>
      </c>
      <c r="K55" s="10" t="s">
        <v>1151</v>
      </c>
      <c r="L55" s="10" t="s">
        <v>947</v>
      </c>
      <c r="M55" s="10" t="s">
        <v>1103</v>
      </c>
      <c r="N55" s="10" t="s">
        <v>1104</v>
      </c>
      <c r="O55" s="10" t="s">
        <v>1146</v>
      </c>
      <c r="P55" s="10" t="s">
        <v>1105</v>
      </c>
      <c r="Q55" s="10" t="s">
        <v>1105</v>
      </c>
    </row>
    <row r="56" spans="1:17">
      <c r="A56" s="10" t="s">
        <v>1152</v>
      </c>
      <c r="B56" s="10" t="s">
        <v>987</v>
      </c>
      <c r="C56" s="10" t="s">
        <v>18</v>
      </c>
      <c r="D56" s="10" t="s">
        <v>19</v>
      </c>
      <c r="E56" s="10" t="s">
        <v>20</v>
      </c>
      <c r="F56" s="10" t="s">
        <v>38</v>
      </c>
      <c r="G56" s="10" t="s">
        <v>38</v>
      </c>
      <c r="H56" s="10" t="s">
        <v>23</v>
      </c>
      <c r="I56" s="10" t="s">
        <v>1116</v>
      </c>
      <c r="J56" s="10" t="s">
        <v>1135</v>
      </c>
      <c r="K56" s="10" t="s">
        <v>1124</v>
      </c>
      <c r="L56" s="10" t="s">
        <v>947</v>
      </c>
      <c r="M56" s="10" t="s">
        <v>1119</v>
      </c>
      <c r="N56" s="10" t="s">
        <v>1104</v>
      </c>
      <c r="O56" s="10" t="s">
        <v>1146</v>
      </c>
      <c r="P56" s="10" t="s">
        <v>1105</v>
      </c>
      <c r="Q56" s="10" t="s">
        <v>1105</v>
      </c>
    </row>
    <row r="57" spans="1:17">
      <c r="A57" s="10" t="s">
        <v>1153</v>
      </c>
      <c r="B57" s="10" t="s">
        <v>986</v>
      </c>
      <c r="C57" s="10" t="s">
        <v>18</v>
      </c>
      <c r="D57" s="10" t="s">
        <v>19</v>
      </c>
      <c r="E57" s="10" t="s">
        <v>170</v>
      </c>
      <c r="F57" s="10" t="s">
        <v>156</v>
      </c>
      <c r="G57" s="10" t="s">
        <v>156</v>
      </c>
      <c r="H57" s="10" t="s">
        <v>23</v>
      </c>
      <c r="I57" s="10" t="s">
        <v>1154</v>
      </c>
      <c r="J57" s="10" t="s">
        <v>1123</v>
      </c>
      <c r="K57" s="10" t="s">
        <v>1155</v>
      </c>
      <c r="L57" s="10" t="s">
        <v>947</v>
      </c>
      <c r="M57" s="10" t="s">
        <v>1103</v>
      </c>
      <c r="N57" s="10" t="s">
        <v>1104</v>
      </c>
      <c r="O57" s="10" t="s">
        <v>1146</v>
      </c>
      <c r="P57" s="10" t="s">
        <v>1105</v>
      </c>
      <c r="Q57" s="10" t="s">
        <v>1105</v>
      </c>
    </row>
    <row r="58" spans="1:17">
      <c r="A58" s="10" t="s">
        <v>1156</v>
      </c>
      <c r="B58" s="10" t="s">
        <v>985</v>
      </c>
      <c r="C58" s="10" t="s">
        <v>18</v>
      </c>
      <c r="D58" s="10" t="s">
        <v>19</v>
      </c>
      <c r="E58" s="10" t="s">
        <v>170</v>
      </c>
      <c r="F58" s="10" t="s">
        <v>156</v>
      </c>
      <c r="G58" s="10" t="s">
        <v>156</v>
      </c>
      <c r="H58" s="10" t="s">
        <v>23</v>
      </c>
      <c r="I58" s="10" t="s">
        <v>1116</v>
      </c>
      <c r="J58" s="10" t="s">
        <v>1135</v>
      </c>
      <c r="K58" s="10" t="s">
        <v>1124</v>
      </c>
      <c r="L58" s="10" t="s">
        <v>947</v>
      </c>
      <c r="M58" s="10" t="s">
        <v>1119</v>
      </c>
      <c r="N58" s="10" t="s">
        <v>1104</v>
      </c>
      <c r="O58" s="10" t="s">
        <v>1146</v>
      </c>
      <c r="P58" s="10" t="s">
        <v>1105</v>
      </c>
      <c r="Q58" s="10" t="s">
        <v>1105</v>
      </c>
    </row>
    <row r="59" spans="1:17">
      <c r="A59" s="10" t="s">
        <v>1157</v>
      </c>
      <c r="B59" s="10" t="s">
        <v>984</v>
      </c>
      <c r="C59" s="10" t="s">
        <v>18</v>
      </c>
      <c r="D59" s="10" t="s">
        <v>19</v>
      </c>
      <c r="E59" s="10" t="s">
        <v>170</v>
      </c>
      <c r="F59" s="10" t="s">
        <v>156</v>
      </c>
      <c r="G59" s="10" t="s">
        <v>156</v>
      </c>
      <c r="H59" s="10" t="s">
        <v>23</v>
      </c>
      <c r="I59" s="10" t="s">
        <v>1148</v>
      </c>
      <c r="J59" s="10" t="s">
        <v>1114</v>
      </c>
      <c r="K59" s="10" t="s">
        <v>1124</v>
      </c>
      <c r="L59" s="10" t="s">
        <v>954</v>
      </c>
      <c r="M59" s="10" t="s">
        <v>954</v>
      </c>
      <c r="N59" s="10" t="s">
        <v>1104</v>
      </c>
      <c r="O59" s="10" t="s">
        <v>1149</v>
      </c>
      <c r="P59" s="10" t="s">
        <v>1105</v>
      </c>
      <c r="Q59" s="10" t="s">
        <v>1105</v>
      </c>
    </row>
    <row r="60" spans="1:17">
      <c r="A60" s="10" t="s">
        <v>1158</v>
      </c>
      <c r="B60" s="10" t="s">
        <v>983</v>
      </c>
      <c r="C60" s="10" t="s">
        <v>18</v>
      </c>
      <c r="D60" s="10" t="s">
        <v>19</v>
      </c>
      <c r="E60" s="10" t="s">
        <v>170</v>
      </c>
      <c r="F60" s="10" t="s">
        <v>156</v>
      </c>
      <c r="G60" s="10" t="s">
        <v>156</v>
      </c>
      <c r="H60" s="10" t="s">
        <v>23</v>
      </c>
      <c r="I60" s="10" t="s">
        <v>1148</v>
      </c>
      <c r="J60" s="10" t="s">
        <v>1114</v>
      </c>
      <c r="K60" s="10" t="s">
        <v>1124</v>
      </c>
      <c r="L60" s="10" t="s">
        <v>954</v>
      </c>
      <c r="M60" s="10" t="s">
        <v>954</v>
      </c>
      <c r="N60" s="10" t="s">
        <v>1104</v>
      </c>
      <c r="O60" s="10" t="s">
        <v>1149</v>
      </c>
      <c r="P60" s="10" t="s">
        <v>1105</v>
      </c>
      <c r="Q60" s="10" t="s">
        <v>1105</v>
      </c>
    </row>
    <row r="61" spans="1:17">
      <c r="A61" s="10" t="s">
        <v>1159</v>
      </c>
      <c r="B61" s="10" t="s">
        <v>982</v>
      </c>
      <c r="C61" s="10" t="s">
        <v>18</v>
      </c>
      <c r="D61" s="10" t="s">
        <v>19</v>
      </c>
      <c r="E61" s="10" t="s">
        <v>167</v>
      </c>
      <c r="F61" s="10" t="s">
        <v>156</v>
      </c>
      <c r="G61" s="10" t="s">
        <v>156</v>
      </c>
      <c r="H61" s="10" t="s">
        <v>23</v>
      </c>
      <c r="I61" s="10" t="s">
        <v>1154</v>
      </c>
      <c r="J61" s="10" t="s">
        <v>1123</v>
      </c>
      <c r="K61" s="10" t="s">
        <v>1155</v>
      </c>
      <c r="L61" s="10" t="s">
        <v>947</v>
      </c>
      <c r="M61" s="10" t="s">
        <v>1103</v>
      </c>
      <c r="N61" s="10" t="s">
        <v>1104</v>
      </c>
      <c r="O61" s="10" t="s">
        <v>1146</v>
      </c>
      <c r="P61" s="10" t="s">
        <v>1105</v>
      </c>
      <c r="Q61" s="10" t="s">
        <v>1105</v>
      </c>
    </row>
    <row r="62" spans="1:17">
      <c r="A62" s="10" t="s">
        <v>1160</v>
      </c>
      <c r="B62" s="10" t="s">
        <v>981</v>
      </c>
      <c r="C62" s="10" t="s">
        <v>18</v>
      </c>
      <c r="D62" s="10" t="s">
        <v>19</v>
      </c>
      <c r="E62" s="10" t="s">
        <v>167</v>
      </c>
      <c r="F62" s="10" t="s">
        <v>156</v>
      </c>
      <c r="G62" s="10" t="s">
        <v>156</v>
      </c>
      <c r="H62" s="10" t="s">
        <v>23</v>
      </c>
      <c r="I62" s="10" t="s">
        <v>1116</v>
      </c>
      <c r="J62" s="10" t="s">
        <v>1135</v>
      </c>
      <c r="K62" s="10" t="s">
        <v>1124</v>
      </c>
      <c r="L62" s="10" t="s">
        <v>947</v>
      </c>
      <c r="M62" s="10" t="s">
        <v>1119</v>
      </c>
      <c r="N62" s="10" t="s">
        <v>1104</v>
      </c>
      <c r="O62" s="10" t="s">
        <v>1146</v>
      </c>
      <c r="P62" s="10" t="s">
        <v>1105</v>
      </c>
      <c r="Q62" s="10" t="s">
        <v>1105</v>
      </c>
    </row>
    <row r="63" spans="1:17">
      <c r="A63" s="10" t="s">
        <v>1161</v>
      </c>
      <c r="B63" s="10" t="s">
        <v>980</v>
      </c>
      <c r="C63" s="10" t="s">
        <v>18</v>
      </c>
      <c r="D63" s="10" t="s">
        <v>19</v>
      </c>
      <c r="E63" s="10" t="s">
        <v>167</v>
      </c>
      <c r="F63" s="10" t="s">
        <v>156</v>
      </c>
      <c r="G63" s="10" t="s">
        <v>156</v>
      </c>
      <c r="H63" s="10" t="s">
        <v>23</v>
      </c>
      <c r="I63" s="10" t="s">
        <v>1148</v>
      </c>
      <c r="J63" s="10" t="s">
        <v>1114</v>
      </c>
      <c r="K63" s="10" t="s">
        <v>1124</v>
      </c>
      <c r="L63" s="10" t="s">
        <v>954</v>
      </c>
      <c r="M63" s="10" t="s">
        <v>954</v>
      </c>
      <c r="N63" s="10" t="s">
        <v>1104</v>
      </c>
      <c r="O63" s="10" t="s">
        <v>1149</v>
      </c>
      <c r="P63" s="10" t="s">
        <v>1105</v>
      </c>
      <c r="Q63" s="10" t="s">
        <v>1105</v>
      </c>
    </row>
    <row r="64" spans="1:17">
      <c r="A64" s="10" t="s">
        <v>1162</v>
      </c>
      <c r="B64" s="10" t="s">
        <v>979</v>
      </c>
      <c r="C64" s="10" t="s">
        <v>18</v>
      </c>
      <c r="D64" s="10" t="s">
        <v>19</v>
      </c>
      <c r="E64" s="10" t="s">
        <v>167</v>
      </c>
      <c r="F64" s="10" t="s">
        <v>156</v>
      </c>
      <c r="G64" s="10" t="s">
        <v>156</v>
      </c>
      <c r="H64" s="10" t="s">
        <v>23</v>
      </c>
      <c r="I64" s="10" t="s">
        <v>1154</v>
      </c>
      <c r="J64" s="10" t="s">
        <v>1123</v>
      </c>
      <c r="K64" s="10" t="s">
        <v>1155</v>
      </c>
      <c r="L64" s="10" t="s">
        <v>947</v>
      </c>
      <c r="M64" s="10" t="s">
        <v>1103</v>
      </c>
      <c r="N64" s="10" t="s">
        <v>1104</v>
      </c>
      <c r="O64" s="10" t="s">
        <v>1146</v>
      </c>
      <c r="P64" s="10" t="s">
        <v>1105</v>
      </c>
      <c r="Q64" s="10" t="s">
        <v>1105</v>
      </c>
    </row>
    <row r="65" spans="1:17">
      <c r="A65" s="10" t="s">
        <v>1163</v>
      </c>
      <c r="B65" s="10" t="s">
        <v>978</v>
      </c>
      <c r="C65" s="10" t="s">
        <v>18</v>
      </c>
      <c r="D65" s="10" t="s">
        <v>19</v>
      </c>
      <c r="E65" s="10" t="s">
        <v>167</v>
      </c>
      <c r="F65" s="10" t="s">
        <v>156</v>
      </c>
      <c r="G65" s="10" t="s">
        <v>156</v>
      </c>
      <c r="H65" s="10" t="s">
        <v>23</v>
      </c>
      <c r="I65" s="10" t="s">
        <v>1116</v>
      </c>
      <c r="J65" s="10" t="s">
        <v>1135</v>
      </c>
      <c r="K65" s="10" t="s">
        <v>1124</v>
      </c>
      <c r="L65" s="10" t="s">
        <v>947</v>
      </c>
      <c r="M65" s="10" t="s">
        <v>1119</v>
      </c>
      <c r="N65" s="10" t="s">
        <v>1104</v>
      </c>
      <c r="O65" s="10" t="s">
        <v>1146</v>
      </c>
      <c r="P65" s="10" t="s">
        <v>1105</v>
      </c>
      <c r="Q65" s="10" t="s">
        <v>1105</v>
      </c>
    </row>
    <row r="66" spans="1:17">
      <c r="A66" s="10" t="s">
        <v>1164</v>
      </c>
      <c r="B66" s="10" t="s">
        <v>977</v>
      </c>
      <c r="C66" s="10" t="s">
        <v>18</v>
      </c>
      <c r="D66" s="10" t="s">
        <v>19</v>
      </c>
      <c r="E66" s="10" t="s">
        <v>167</v>
      </c>
      <c r="F66" s="10" t="s">
        <v>156</v>
      </c>
      <c r="G66" s="10" t="s">
        <v>156</v>
      </c>
      <c r="H66" s="10" t="s">
        <v>23</v>
      </c>
      <c r="I66" s="10" t="s">
        <v>1148</v>
      </c>
      <c r="J66" s="10" t="s">
        <v>1114</v>
      </c>
      <c r="K66" s="10" t="s">
        <v>1124</v>
      </c>
      <c r="L66" s="10" t="s">
        <v>954</v>
      </c>
      <c r="M66" s="10" t="s">
        <v>954</v>
      </c>
      <c r="N66" s="10" t="s">
        <v>1104</v>
      </c>
      <c r="O66" s="10" t="s">
        <v>1149</v>
      </c>
      <c r="P66" s="10" t="s">
        <v>1105</v>
      </c>
      <c r="Q66" s="10" t="s">
        <v>1105</v>
      </c>
    </row>
    <row r="67" spans="1:17">
      <c r="A67" s="10" t="s">
        <v>1165</v>
      </c>
      <c r="B67" s="10" t="s">
        <v>976</v>
      </c>
      <c r="C67" s="10" t="s">
        <v>18</v>
      </c>
      <c r="D67" s="10" t="s">
        <v>19</v>
      </c>
      <c r="E67" s="10" t="s">
        <v>41</v>
      </c>
      <c r="F67" s="10" t="s">
        <v>42</v>
      </c>
      <c r="G67" s="10" t="s">
        <v>42</v>
      </c>
      <c r="H67" s="10" t="s">
        <v>23</v>
      </c>
      <c r="I67" s="10" t="s">
        <v>1148</v>
      </c>
      <c r="J67" s="10" t="s">
        <v>1101</v>
      </c>
      <c r="K67" s="10" t="s">
        <v>1151</v>
      </c>
      <c r="L67" s="10" t="s">
        <v>947</v>
      </c>
      <c r="M67" s="10" t="s">
        <v>1103</v>
      </c>
      <c r="N67" s="10" t="s">
        <v>1104</v>
      </c>
      <c r="O67" s="10" t="s">
        <v>1146</v>
      </c>
      <c r="P67" s="10" t="s">
        <v>1105</v>
      </c>
      <c r="Q67" s="10" t="s">
        <v>1105</v>
      </c>
    </row>
    <row r="68" spans="1:17">
      <c r="A68" s="10" t="s">
        <v>1166</v>
      </c>
      <c r="B68" s="10" t="s">
        <v>975</v>
      </c>
      <c r="C68" s="10" t="s">
        <v>18</v>
      </c>
      <c r="D68" s="10" t="s">
        <v>19</v>
      </c>
      <c r="E68" s="10" t="s">
        <v>36</v>
      </c>
      <c r="F68" s="10" t="s">
        <v>37</v>
      </c>
      <c r="G68" s="10" t="s">
        <v>38</v>
      </c>
      <c r="H68" s="10" t="s">
        <v>23</v>
      </c>
      <c r="I68" s="10" t="s">
        <v>1148</v>
      </c>
      <c r="J68" s="10" t="s">
        <v>1101</v>
      </c>
      <c r="K68" s="10" t="s">
        <v>1151</v>
      </c>
      <c r="L68" s="10" t="s">
        <v>947</v>
      </c>
      <c r="M68" s="10" t="s">
        <v>1103</v>
      </c>
      <c r="N68" s="10" t="s">
        <v>1104</v>
      </c>
      <c r="O68" s="10" t="s">
        <v>1146</v>
      </c>
      <c r="P68" s="10" t="s">
        <v>1105</v>
      </c>
      <c r="Q68" s="10" t="s">
        <v>1105</v>
      </c>
    </row>
    <row r="69" spans="1:17">
      <c r="A69" s="10" t="s">
        <v>1167</v>
      </c>
      <c r="B69" s="10" t="s">
        <v>974</v>
      </c>
      <c r="C69" s="10" t="s">
        <v>18</v>
      </c>
      <c r="D69" s="10" t="s">
        <v>19</v>
      </c>
      <c r="E69" s="10" t="s">
        <v>41</v>
      </c>
      <c r="F69" s="10" t="s">
        <v>42</v>
      </c>
      <c r="G69" s="10" t="s">
        <v>42</v>
      </c>
      <c r="H69" s="10" t="s">
        <v>23</v>
      </c>
      <c r="I69" s="10" t="s">
        <v>1116</v>
      </c>
      <c r="J69" s="10" t="s">
        <v>1135</v>
      </c>
      <c r="K69" s="10" t="s">
        <v>1124</v>
      </c>
      <c r="L69" s="10" t="s">
        <v>947</v>
      </c>
      <c r="M69" s="10" t="s">
        <v>1119</v>
      </c>
      <c r="N69" s="10" t="s">
        <v>1104</v>
      </c>
      <c r="O69" s="10" t="s">
        <v>1146</v>
      </c>
      <c r="P69" s="10" t="s">
        <v>1105</v>
      </c>
      <c r="Q69" s="10" t="s">
        <v>1105</v>
      </c>
    </row>
    <row r="70" spans="1:17">
      <c r="A70" s="10" t="s">
        <v>1168</v>
      </c>
      <c r="B70" s="10" t="s">
        <v>973</v>
      </c>
      <c r="C70" s="10" t="s">
        <v>18</v>
      </c>
      <c r="D70" s="10" t="s">
        <v>19</v>
      </c>
      <c r="E70" s="10" t="s">
        <v>36</v>
      </c>
      <c r="F70" s="10" t="s">
        <v>37</v>
      </c>
      <c r="G70" s="10" t="s">
        <v>38</v>
      </c>
      <c r="H70" s="10" t="s">
        <v>23</v>
      </c>
      <c r="I70" s="10" t="s">
        <v>1116</v>
      </c>
      <c r="J70" s="10" t="s">
        <v>1135</v>
      </c>
      <c r="K70" s="10" t="s">
        <v>1124</v>
      </c>
      <c r="L70" s="10" t="s">
        <v>947</v>
      </c>
      <c r="M70" s="10" t="s">
        <v>1119</v>
      </c>
      <c r="N70" s="10" t="s">
        <v>1104</v>
      </c>
      <c r="O70" s="10" t="s">
        <v>1146</v>
      </c>
      <c r="P70" s="10" t="s">
        <v>1105</v>
      </c>
      <c r="Q70" s="10" t="s">
        <v>1105</v>
      </c>
    </row>
    <row r="71" spans="1:17">
      <c r="A71" s="10" t="s">
        <v>1169</v>
      </c>
      <c r="B71" s="10" t="s">
        <v>972</v>
      </c>
      <c r="C71" s="10" t="s">
        <v>18</v>
      </c>
      <c r="D71" s="10" t="s">
        <v>80</v>
      </c>
      <c r="E71" s="10" t="s">
        <v>556</v>
      </c>
      <c r="F71" s="10" t="s">
        <v>238</v>
      </c>
      <c r="G71" s="10" t="s">
        <v>156</v>
      </c>
      <c r="H71" s="10" t="s">
        <v>83</v>
      </c>
      <c r="I71" s="10" t="s">
        <v>1170</v>
      </c>
      <c r="J71" s="10" t="s">
        <v>1101</v>
      </c>
      <c r="K71" s="10" t="s">
        <v>1171</v>
      </c>
      <c r="L71" s="10" t="s">
        <v>947</v>
      </c>
      <c r="M71" s="10" t="s">
        <v>1103</v>
      </c>
      <c r="N71" s="10" t="s">
        <v>1104</v>
      </c>
      <c r="O71" s="10" t="s">
        <v>216</v>
      </c>
      <c r="P71" s="10" t="s">
        <v>1105</v>
      </c>
      <c r="Q71" s="10" t="s">
        <v>1105</v>
      </c>
    </row>
    <row r="72" spans="1:17">
      <c r="A72" s="10" t="s">
        <v>1172</v>
      </c>
      <c r="B72" s="10" t="s">
        <v>971</v>
      </c>
      <c r="C72" s="10" t="s">
        <v>18</v>
      </c>
      <c r="D72" s="10" t="s">
        <v>80</v>
      </c>
      <c r="E72" s="10" t="s">
        <v>556</v>
      </c>
      <c r="F72" s="10" t="s">
        <v>238</v>
      </c>
      <c r="G72" s="10" t="s">
        <v>156</v>
      </c>
      <c r="H72" s="10" t="s">
        <v>83</v>
      </c>
      <c r="I72" s="10" t="s">
        <v>1170</v>
      </c>
      <c r="J72" s="10" t="s">
        <v>1101</v>
      </c>
      <c r="K72" s="10" t="s">
        <v>1171</v>
      </c>
      <c r="L72" s="10" t="s">
        <v>947</v>
      </c>
      <c r="M72" s="10" t="s">
        <v>1103</v>
      </c>
      <c r="N72" s="10" t="s">
        <v>1104</v>
      </c>
      <c r="O72" s="10" t="s">
        <v>216</v>
      </c>
      <c r="P72" s="10" t="s">
        <v>1105</v>
      </c>
      <c r="Q72" s="10" t="s">
        <v>1105</v>
      </c>
    </row>
    <row r="73" spans="1:17">
      <c r="A73" s="10" t="s">
        <v>1173</v>
      </c>
      <c r="B73" s="10" t="s">
        <v>970</v>
      </c>
      <c r="C73" s="10" t="s">
        <v>18</v>
      </c>
      <c r="D73" s="10" t="s">
        <v>80</v>
      </c>
      <c r="E73" s="10" t="s">
        <v>551</v>
      </c>
      <c r="F73" s="10" t="s">
        <v>238</v>
      </c>
      <c r="G73" s="10" t="s">
        <v>156</v>
      </c>
      <c r="H73" s="10" t="s">
        <v>83</v>
      </c>
      <c r="I73" s="10" t="s">
        <v>1170</v>
      </c>
      <c r="J73" s="10" t="s">
        <v>1101</v>
      </c>
      <c r="K73" s="10" t="s">
        <v>1171</v>
      </c>
      <c r="L73" s="10" t="s">
        <v>947</v>
      </c>
      <c r="M73" s="10" t="s">
        <v>1103</v>
      </c>
      <c r="N73" s="10" t="s">
        <v>1104</v>
      </c>
      <c r="O73" s="10" t="s">
        <v>216</v>
      </c>
      <c r="P73" s="10" t="s">
        <v>1105</v>
      </c>
      <c r="Q73" s="10" t="s">
        <v>1105</v>
      </c>
    </row>
    <row r="74" spans="1:17">
      <c r="A74" s="10" t="s">
        <v>1174</v>
      </c>
      <c r="B74" s="10" t="s">
        <v>969</v>
      </c>
      <c r="C74" s="10" t="s">
        <v>18</v>
      </c>
      <c r="D74" s="10" t="s">
        <v>80</v>
      </c>
      <c r="E74" s="10" t="s">
        <v>551</v>
      </c>
      <c r="F74" s="10" t="s">
        <v>238</v>
      </c>
      <c r="G74" s="10" t="s">
        <v>156</v>
      </c>
      <c r="H74" s="10" t="s">
        <v>83</v>
      </c>
      <c r="I74" s="10" t="s">
        <v>1170</v>
      </c>
      <c r="J74" s="10" t="s">
        <v>1101</v>
      </c>
      <c r="K74" s="10" t="s">
        <v>1171</v>
      </c>
      <c r="L74" s="10" t="s">
        <v>947</v>
      </c>
      <c r="M74" s="10" t="s">
        <v>1103</v>
      </c>
      <c r="N74" s="10" t="s">
        <v>1104</v>
      </c>
      <c r="O74" s="10" t="s">
        <v>216</v>
      </c>
      <c r="P74" s="10" t="s">
        <v>1105</v>
      </c>
      <c r="Q74" s="10" t="s">
        <v>1105</v>
      </c>
    </row>
    <row r="75" spans="1:17">
      <c r="A75" s="10" t="s">
        <v>1175</v>
      </c>
      <c r="B75" s="10" t="s">
        <v>1176</v>
      </c>
      <c r="C75" s="10" t="s">
        <v>18</v>
      </c>
      <c r="D75" s="10" t="s">
        <v>80</v>
      </c>
      <c r="E75" s="10" t="s">
        <v>92</v>
      </c>
      <c r="F75" s="10" t="s">
        <v>93</v>
      </c>
      <c r="G75" s="10" t="s">
        <v>42</v>
      </c>
      <c r="H75" s="10" t="s">
        <v>83</v>
      </c>
      <c r="I75" s="10" t="s">
        <v>1170</v>
      </c>
      <c r="J75" s="10" t="s">
        <v>1101</v>
      </c>
      <c r="K75" s="10" t="s">
        <v>1171</v>
      </c>
      <c r="L75" s="10" t="s">
        <v>947</v>
      </c>
      <c r="M75" s="10" t="s">
        <v>1103</v>
      </c>
      <c r="N75" s="10" t="s">
        <v>1104</v>
      </c>
      <c r="O75" s="10" t="s">
        <v>1131</v>
      </c>
      <c r="P75" s="10" t="s">
        <v>1105</v>
      </c>
      <c r="Q75" s="10" t="s">
        <v>1105</v>
      </c>
    </row>
    <row r="76" spans="1:17">
      <c r="A76" s="10" t="s">
        <v>1177</v>
      </c>
      <c r="B76" s="10" t="s">
        <v>1178</v>
      </c>
      <c r="C76" s="10" t="s">
        <v>18</v>
      </c>
      <c r="D76" s="10" t="s">
        <v>80</v>
      </c>
      <c r="E76" s="10" t="s">
        <v>92</v>
      </c>
      <c r="F76" s="10" t="s">
        <v>93</v>
      </c>
      <c r="G76" s="10" t="s">
        <v>42</v>
      </c>
      <c r="H76" s="10" t="s">
        <v>83</v>
      </c>
      <c r="I76" s="10" t="s">
        <v>1125</v>
      </c>
      <c r="J76" s="10" t="s">
        <v>1114</v>
      </c>
      <c r="K76" s="10" t="s">
        <v>1126</v>
      </c>
      <c r="L76" s="10" t="s">
        <v>947</v>
      </c>
      <c r="M76" s="10" t="s">
        <v>1119</v>
      </c>
      <c r="N76" s="10" t="s">
        <v>1104</v>
      </c>
      <c r="O76" s="10" t="s">
        <v>1131</v>
      </c>
      <c r="P76" s="10" t="s">
        <v>1105</v>
      </c>
      <c r="Q76" s="10" t="s">
        <v>1105</v>
      </c>
    </row>
    <row r="77" spans="1:17">
      <c r="A77" s="10" t="s">
        <v>1179</v>
      </c>
      <c r="B77" s="10" t="s">
        <v>1180</v>
      </c>
      <c r="C77" s="10" t="s">
        <v>18</v>
      </c>
      <c r="D77" s="10" t="s">
        <v>80</v>
      </c>
      <c r="E77" s="10" t="s">
        <v>81</v>
      </c>
      <c r="F77" s="10" t="s">
        <v>82</v>
      </c>
      <c r="G77" s="10" t="s">
        <v>38</v>
      </c>
      <c r="H77" s="10" t="s">
        <v>83</v>
      </c>
      <c r="I77" s="10" t="s">
        <v>1170</v>
      </c>
      <c r="J77" s="10" t="s">
        <v>1101</v>
      </c>
      <c r="K77" s="10" t="s">
        <v>1171</v>
      </c>
      <c r="L77" s="10" t="s">
        <v>947</v>
      </c>
      <c r="M77" s="10" t="s">
        <v>1103</v>
      </c>
      <c r="N77" s="10" t="s">
        <v>1104</v>
      </c>
      <c r="O77" s="10" t="s">
        <v>1131</v>
      </c>
      <c r="P77" s="10" t="s">
        <v>1105</v>
      </c>
      <c r="Q77" s="10" t="s">
        <v>1105</v>
      </c>
    </row>
    <row r="78" spans="1:17">
      <c r="A78" s="10" t="s">
        <v>1181</v>
      </c>
      <c r="B78" s="10" t="s">
        <v>1182</v>
      </c>
      <c r="C78" s="10" t="s">
        <v>18</v>
      </c>
      <c r="D78" s="10" t="s">
        <v>80</v>
      </c>
      <c r="E78" s="10" t="s">
        <v>81</v>
      </c>
      <c r="F78" s="10" t="s">
        <v>82</v>
      </c>
      <c r="G78" s="10" t="s">
        <v>38</v>
      </c>
      <c r="H78" s="10" t="s">
        <v>83</v>
      </c>
      <c r="I78" s="10" t="s">
        <v>1125</v>
      </c>
      <c r="J78" s="10" t="s">
        <v>1114</v>
      </c>
      <c r="K78" s="10" t="s">
        <v>1126</v>
      </c>
      <c r="L78" s="10" t="s">
        <v>947</v>
      </c>
      <c r="M78" s="10" t="s">
        <v>1119</v>
      </c>
      <c r="N78" s="10" t="s">
        <v>1104</v>
      </c>
      <c r="O78" s="10" t="s">
        <v>1131</v>
      </c>
      <c r="P78" s="10" t="s">
        <v>1105</v>
      </c>
      <c r="Q78" s="10" t="s">
        <v>1105</v>
      </c>
    </row>
    <row r="79" spans="1:17">
      <c r="A79" s="10" t="s">
        <v>1183</v>
      </c>
      <c r="B79" s="10" t="s">
        <v>964</v>
      </c>
      <c r="C79" s="10" t="s">
        <v>18</v>
      </c>
      <c r="D79" s="10" t="s">
        <v>19</v>
      </c>
      <c r="E79" s="10" t="s">
        <v>20</v>
      </c>
      <c r="F79" s="10" t="s">
        <v>30</v>
      </c>
      <c r="G79" s="10" t="s">
        <v>22</v>
      </c>
      <c r="H79" s="10" t="s">
        <v>23</v>
      </c>
      <c r="I79" s="10" t="s">
        <v>1116</v>
      </c>
      <c r="J79" s="10" t="s">
        <v>1135</v>
      </c>
      <c r="K79" s="10" t="s">
        <v>1124</v>
      </c>
      <c r="L79" s="10" t="s">
        <v>954</v>
      </c>
      <c r="M79" s="10" t="s">
        <v>954</v>
      </c>
      <c r="N79" s="10" t="s">
        <v>1104</v>
      </c>
      <c r="O79" s="10" t="s">
        <v>1149</v>
      </c>
      <c r="P79" s="10" t="s">
        <v>1105</v>
      </c>
      <c r="Q79" s="10" t="s">
        <v>1105</v>
      </c>
    </row>
    <row r="80" spans="1:17">
      <c r="A80" s="10" t="s">
        <v>1184</v>
      </c>
      <c r="B80" s="10" t="s">
        <v>963</v>
      </c>
      <c r="C80" s="10" t="s">
        <v>147</v>
      </c>
      <c r="D80" s="10" t="s">
        <v>29</v>
      </c>
      <c r="E80" s="10" t="s">
        <v>29</v>
      </c>
      <c r="F80" s="10" t="s">
        <v>156</v>
      </c>
      <c r="G80" s="10" t="s">
        <v>156</v>
      </c>
      <c r="H80" s="10" t="s">
        <v>29</v>
      </c>
      <c r="I80" s="10" t="s">
        <v>1148</v>
      </c>
      <c r="J80" s="10" t="s">
        <v>1114</v>
      </c>
      <c r="K80" s="10" t="s">
        <v>1124</v>
      </c>
      <c r="L80" s="10" t="s">
        <v>954</v>
      </c>
      <c r="M80" s="10" t="s">
        <v>954</v>
      </c>
      <c r="N80" s="10" t="s">
        <v>1104</v>
      </c>
      <c r="O80" s="10" t="s">
        <v>1149</v>
      </c>
      <c r="P80" s="10" t="s">
        <v>1105</v>
      </c>
      <c r="Q80" s="10" t="s">
        <v>1105</v>
      </c>
    </row>
    <row r="81" spans="1:17">
      <c r="A81" s="10" t="s">
        <v>1185</v>
      </c>
      <c r="B81" s="10" t="s">
        <v>962</v>
      </c>
      <c r="C81" s="10" t="s">
        <v>147</v>
      </c>
      <c r="D81" s="10" t="s">
        <v>29</v>
      </c>
      <c r="E81" s="10" t="s">
        <v>29</v>
      </c>
      <c r="F81" s="10" t="s">
        <v>156</v>
      </c>
      <c r="G81" s="10" t="s">
        <v>156</v>
      </c>
      <c r="H81" s="10" t="s">
        <v>29</v>
      </c>
      <c r="I81" s="10" t="s">
        <v>1148</v>
      </c>
      <c r="J81" s="10" t="s">
        <v>1114</v>
      </c>
      <c r="K81" s="10" t="s">
        <v>1124</v>
      </c>
      <c r="L81" s="10" t="s">
        <v>954</v>
      </c>
      <c r="M81" s="10" t="s">
        <v>954</v>
      </c>
      <c r="N81" s="10" t="s">
        <v>1104</v>
      </c>
      <c r="O81" s="10" t="s">
        <v>1149</v>
      </c>
      <c r="P81" s="10" t="s">
        <v>1105</v>
      </c>
      <c r="Q81" s="10" t="s">
        <v>1105</v>
      </c>
    </row>
    <row r="82" spans="1:17">
      <c r="A82" s="10" t="s">
        <v>1186</v>
      </c>
      <c r="B82" s="10" t="s">
        <v>961</v>
      </c>
      <c r="C82" s="10" t="s">
        <v>50</v>
      </c>
      <c r="D82" s="10" t="s">
        <v>29</v>
      </c>
      <c r="E82" s="10" t="s">
        <v>29</v>
      </c>
      <c r="F82" s="10" t="s">
        <v>42</v>
      </c>
      <c r="G82" s="10" t="s">
        <v>42</v>
      </c>
      <c r="H82" s="10" t="s">
        <v>29</v>
      </c>
      <c r="I82" s="10" t="s">
        <v>1148</v>
      </c>
      <c r="J82" s="10" t="s">
        <v>1114</v>
      </c>
      <c r="K82" s="10" t="s">
        <v>1124</v>
      </c>
      <c r="L82" s="10" t="s">
        <v>954</v>
      </c>
      <c r="M82" s="10" t="s">
        <v>954</v>
      </c>
      <c r="N82" s="10" t="s">
        <v>1104</v>
      </c>
      <c r="O82" s="10" t="s">
        <v>1149</v>
      </c>
      <c r="P82" s="10" t="s">
        <v>1105</v>
      </c>
      <c r="Q82" s="10" t="s">
        <v>1105</v>
      </c>
    </row>
    <row r="83" spans="1:17">
      <c r="A83" s="10" t="s">
        <v>1187</v>
      </c>
      <c r="B83" s="10" t="s">
        <v>960</v>
      </c>
      <c r="C83" s="10" t="s">
        <v>50</v>
      </c>
      <c r="D83" s="10" t="s">
        <v>29</v>
      </c>
      <c r="E83" s="10" t="s">
        <v>29</v>
      </c>
      <c r="F83" s="10" t="s">
        <v>38</v>
      </c>
      <c r="G83" s="10" t="s">
        <v>38</v>
      </c>
      <c r="H83" s="10" t="s">
        <v>29</v>
      </c>
      <c r="I83" s="10" t="s">
        <v>1148</v>
      </c>
      <c r="J83" s="10" t="s">
        <v>1114</v>
      </c>
      <c r="K83" s="10" t="s">
        <v>1124</v>
      </c>
      <c r="L83" s="10" t="s">
        <v>954</v>
      </c>
      <c r="M83" s="10" t="s">
        <v>954</v>
      </c>
      <c r="N83" s="10" t="s">
        <v>1104</v>
      </c>
      <c r="O83" s="10" t="s">
        <v>1149</v>
      </c>
      <c r="P83" s="10" t="s">
        <v>1105</v>
      </c>
      <c r="Q83" s="10" t="s">
        <v>1105</v>
      </c>
    </row>
    <row r="84" spans="1:17">
      <c r="A84" s="10" t="s">
        <v>1188</v>
      </c>
      <c r="B84" s="10" t="s">
        <v>959</v>
      </c>
      <c r="C84" s="10" t="s">
        <v>147</v>
      </c>
      <c r="D84" s="10" t="s">
        <v>29</v>
      </c>
      <c r="E84" s="10" t="s">
        <v>29</v>
      </c>
      <c r="F84" s="10" t="s">
        <v>38</v>
      </c>
      <c r="G84" s="10" t="s">
        <v>42</v>
      </c>
      <c r="H84" s="10" t="s">
        <v>29</v>
      </c>
      <c r="I84" s="10" t="s">
        <v>1148</v>
      </c>
      <c r="J84" s="10" t="s">
        <v>1114</v>
      </c>
      <c r="K84" s="10" t="s">
        <v>1124</v>
      </c>
      <c r="L84" s="10" t="s">
        <v>954</v>
      </c>
      <c r="M84" s="10" t="s">
        <v>954</v>
      </c>
      <c r="N84" s="10" t="s">
        <v>1104</v>
      </c>
      <c r="O84" s="10" t="s">
        <v>1149</v>
      </c>
      <c r="P84" s="10" t="s">
        <v>1105</v>
      </c>
      <c r="Q84" s="10" t="s">
        <v>1105</v>
      </c>
    </row>
    <row r="85" spans="1:17">
      <c r="A85" s="10" t="s">
        <v>1189</v>
      </c>
      <c r="B85" s="10" t="s">
        <v>958</v>
      </c>
      <c r="C85" s="10" t="s">
        <v>147</v>
      </c>
      <c r="D85" s="10" t="s">
        <v>29</v>
      </c>
      <c r="E85" s="10" t="s">
        <v>29</v>
      </c>
      <c r="F85" s="10" t="s">
        <v>38</v>
      </c>
      <c r="G85" s="10" t="s">
        <v>38</v>
      </c>
      <c r="H85" s="10" t="s">
        <v>29</v>
      </c>
      <c r="I85" s="10" t="s">
        <v>1148</v>
      </c>
      <c r="J85" s="10" t="s">
        <v>1114</v>
      </c>
      <c r="K85" s="10" t="s">
        <v>1124</v>
      </c>
      <c r="L85" s="10" t="s">
        <v>954</v>
      </c>
      <c r="M85" s="10" t="s">
        <v>954</v>
      </c>
      <c r="N85" s="10" t="s">
        <v>1104</v>
      </c>
      <c r="O85" s="10" t="s">
        <v>1149</v>
      </c>
      <c r="P85" s="10" t="s">
        <v>1105</v>
      </c>
      <c r="Q85" s="10" t="s">
        <v>1105</v>
      </c>
    </row>
    <row r="86" spans="1:17">
      <c r="A86" s="10" t="s">
        <v>1190</v>
      </c>
      <c r="B86" s="10" t="s">
        <v>957</v>
      </c>
      <c r="C86" s="10" t="s">
        <v>147</v>
      </c>
      <c r="D86" s="10" t="s">
        <v>29</v>
      </c>
      <c r="E86" s="10" t="s">
        <v>29</v>
      </c>
      <c r="F86" s="10" t="s">
        <v>42</v>
      </c>
      <c r="G86" s="10" t="s">
        <v>42</v>
      </c>
      <c r="H86" s="10" t="s">
        <v>29</v>
      </c>
      <c r="I86" s="10" t="s">
        <v>1148</v>
      </c>
      <c r="J86" s="10" t="s">
        <v>1114</v>
      </c>
      <c r="K86" s="10" t="s">
        <v>1124</v>
      </c>
      <c r="L86" s="10" t="s">
        <v>954</v>
      </c>
      <c r="M86" s="10" t="s">
        <v>954</v>
      </c>
      <c r="N86" s="10" t="s">
        <v>1104</v>
      </c>
      <c r="O86" s="10" t="s">
        <v>1149</v>
      </c>
      <c r="P86" s="10" t="s">
        <v>1105</v>
      </c>
      <c r="Q86" s="10" t="s">
        <v>1105</v>
      </c>
    </row>
    <row r="87" spans="1:17">
      <c r="A87" s="10" t="s">
        <v>1191</v>
      </c>
      <c r="B87" s="10" t="s">
        <v>956</v>
      </c>
      <c r="C87" s="10" t="s">
        <v>147</v>
      </c>
      <c r="D87" s="10" t="s">
        <v>29</v>
      </c>
      <c r="E87" s="10" t="s">
        <v>29</v>
      </c>
      <c r="F87" s="10" t="s">
        <v>38</v>
      </c>
      <c r="G87" s="10" t="s">
        <v>38</v>
      </c>
      <c r="H87" s="10" t="s">
        <v>29</v>
      </c>
      <c r="I87" s="10" t="s">
        <v>1148</v>
      </c>
      <c r="J87" s="10" t="s">
        <v>1114</v>
      </c>
      <c r="K87" s="10" t="s">
        <v>1124</v>
      </c>
      <c r="L87" s="10" t="s">
        <v>954</v>
      </c>
      <c r="M87" s="10" t="s">
        <v>954</v>
      </c>
      <c r="N87" s="10" t="s">
        <v>1104</v>
      </c>
      <c r="O87" s="10" t="s">
        <v>1149</v>
      </c>
      <c r="P87" s="10" t="s">
        <v>1105</v>
      </c>
      <c r="Q87" s="10" t="s">
        <v>1105</v>
      </c>
    </row>
    <row r="88" spans="1:17">
      <c r="A88" s="10" t="s">
        <v>1192</v>
      </c>
      <c r="B88" s="10" t="s">
        <v>955</v>
      </c>
      <c r="C88" s="10" t="s">
        <v>18</v>
      </c>
      <c r="D88" s="10" t="s">
        <v>535</v>
      </c>
      <c r="E88" s="10" t="s">
        <v>698</v>
      </c>
      <c r="F88" s="10" t="s">
        <v>535</v>
      </c>
      <c r="G88" s="10" t="s">
        <v>22</v>
      </c>
      <c r="H88" s="10" t="s">
        <v>535</v>
      </c>
      <c r="I88" s="10" t="s">
        <v>1148</v>
      </c>
      <c r="J88" s="10" t="s">
        <v>1114</v>
      </c>
      <c r="K88" s="10" t="s">
        <v>1124</v>
      </c>
      <c r="L88" s="10" t="s">
        <v>954</v>
      </c>
      <c r="M88" s="10" t="s">
        <v>1103</v>
      </c>
      <c r="N88" s="10" t="s">
        <v>1104</v>
      </c>
      <c r="O88" s="10" t="s">
        <v>1149</v>
      </c>
      <c r="P88" s="10" t="s">
        <v>1105</v>
      </c>
      <c r="Q88" s="10" t="s">
        <v>1105</v>
      </c>
    </row>
    <row r="89" spans="1:17">
      <c r="A89" s="10" t="s">
        <v>1193</v>
      </c>
      <c r="B89" s="10" t="s">
        <v>953</v>
      </c>
      <c r="C89" s="10" t="s">
        <v>18</v>
      </c>
      <c r="D89" s="10" t="s">
        <v>535</v>
      </c>
      <c r="E89" s="10" t="s">
        <v>698</v>
      </c>
      <c r="F89" s="10" t="s">
        <v>535</v>
      </c>
      <c r="G89" s="10" t="s">
        <v>22</v>
      </c>
      <c r="H89" s="10" t="s">
        <v>535</v>
      </c>
      <c r="I89" s="10" t="s">
        <v>1116</v>
      </c>
      <c r="J89" s="10" t="s">
        <v>1135</v>
      </c>
      <c r="K89" s="10" t="s">
        <v>1124</v>
      </c>
      <c r="L89" s="10" t="s">
        <v>954</v>
      </c>
      <c r="M89" s="10" t="s">
        <v>1119</v>
      </c>
      <c r="N89" s="10" t="s">
        <v>1104</v>
      </c>
      <c r="O89" s="10" t="s">
        <v>1149</v>
      </c>
      <c r="P89" s="10" t="s">
        <v>1105</v>
      </c>
      <c r="Q89" s="10" t="s">
        <v>1105</v>
      </c>
    </row>
    <row r="90" spans="1:17">
      <c r="A90" s="10" t="s">
        <v>1194</v>
      </c>
      <c r="B90" s="10" t="s">
        <v>952</v>
      </c>
      <c r="C90" s="10" t="s">
        <v>18</v>
      </c>
      <c r="D90" s="10" t="s">
        <v>19</v>
      </c>
      <c r="E90" s="10" t="s">
        <v>41</v>
      </c>
      <c r="F90" s="10" t="s">
        <v>42</v>
      </c>
      <c r="G90" s="10" t="s">
        <v>42</v>
      </c>
      <c r="H90" s="10" t="s">
        <v>23</v>
      </c>
      <c r="I90" s="10" t="s">
        <v>1116</v>
      </c>
      <c r="J90" s="10" t="s">
        <v>1135</v>
      </c>
      <c r="K90" s="10" t="s">
        <v>1124</v>
      </c>
      <c r="L90" s="10" t="s">
        <v>947</v>
      </c>
      <c r="M90" s="10" t="s">
        <v>1119</v>
      </c>
      <c r="N90" s="10" t="s">
        <v>1104</v>
      </c>
      <c r="O90" s="10" t="s">
        <v>1146</v>
      </c>
      <c r="P90" s="10" t="s">
        <v>1105</v>
      </c>
      <c r="Q90" s="10" t="s">
        <v>1105</v>
      </c>
    </row>
    <row r="91" spans="1:17">
      <c r="A91" s="10" t="s">
        <v>1195</v>
      </c>
      <c r="B91" s="10" t="s">
        <v>951</v>
      </c>
      <c r="C91" s="10" t="s">
        <v>18</v>
      </c>
      <c r="D91" s="10" t="s">
        <v>19</v>
      </c>
      <c r="E91" s="10" t="s">
        <v>36</v>
      </c>
      <c r="F91" s="10" t="s">
        <v>37</v>
      </c>
      <c r="G91" s="10" t="s">
        <v>38</v>
      </c>
      <c r="H91" s="10" t="s">
        <v>23</v>
      </c>
      <c r="I91" s="10" t="s">
        <v>1148</v>
      </c>
      <c r="J91" s="10" t="s">
        <v>1101</v>
      </c>
      <c r="K91" s="10" t="s">
        <v>1151</v>
      </c>
      <c r="L91" s="10" t="s">
        <v>947</v>
      </c>
      <c r="M91" s="10" t="s">
        <v>1103</v>
      </c>
      <c r="N91" s="10" t="s">
        <v>1104</v>
      </c>
      <c r="O91" s="10" t="s">
        <v>1146</v>
      </c>
      <c r="P91" s="10" t="s">
        <v>1105</v>
      </c>
      <c r="Q91" s="10" t="s">
        <v>1105</v>
      </c>
    </row>
    <row r="92" spans="1:17">
      <c r="A92" s="10" t="s">
        <v>1196</v>
      </c>
      <c r="B92" s="10" t="s">
        <v>950</v>
      </c>
      <c r="C92" s="10" t="s">
        <v>18</v>
      </c>
      <c r="D92" s="10" t="s">
        <v>19</v>
      </c>
      <c r="E92" s="10" t="s">
        <v>36</v>
      </c>
      <c r="F92" s="10" t="s">
        <v>37</v>
      </c>
      <c r="G92" s="10" t="s">
        <v>38</v>
      </c>
      <c r="H92" s="10" t="s">
        <v>23</v>
      </c>
      <c r="I92" s="10" t="s">
        <v>1116</v>
      </c>
      <c r="J92" s="10" t="s">
        <v>1135</v>
      </c>
      <c r="K92" s="10" t="s">
        <v>1124</v>
      </c>
      <c r="L92" s="10" t="s">
        <v>947</v>
      </c>
      <c r="M92" s="10" t="s">
        <v>1119</v>
      </c>
      <c r="N92" s="10" t="s">
        <v>1104</v>
      </c>
      <c r="O92" s="10" t="s">
        <v>1146</v>
      </c>
      <c r="P92" s="10" t="s">
        <v>1105</v>
      </c>
      <c r="Q92" s="10" t="s">
        <v>1105</v>
      </c>
    </row>
    <row r="93" spans="1:17">
      <c r="A93" s="10" t="s">
        <v>1197</v>
      </c>
      <c r="B93" s="10" t="s">
        <v>949</v>
      </c>
      <c r="C93" s="10" t="s">
        <v>18</v>
      </c>
      <c r="D93" s="10" t="s">
        <v>19</v>
      </c>
      <c r="E93" s="10" t="s">
        <v>41</v>
      </c>
      <c r="F93" s="10" t="s">
        <v>42</v>
      </c>
      <c r="G93" s="10" t="s">
        <v>42</v>
      </c>
      <c r="H93" s="10" t="s">
        <v>23</v>
      </c>
      <c r="I93" s="10" t="s">
        <v>1148</v>
      </c>
      <c r="J93" s="10" t="s">
        <v>1101</v>
      </c>
      <c r="K93" s="10" t="s">
        <v>1151</v>
      </c>
      <c r="L93" s="10" t="s">
        <v>947</v>
      </c>
      <c r="M93" s="10" t="s">
        <v>1103</v>
      </c>
      <c r="N93" s="10" t="s">
        <v>1104</v>
      </c>
      <c r="O93" s="10" t="s">
        <v>1146</v>
      </c>
      <c r="P93" s="10" t="s">
        <v>1105</v>
      </c>
      <c r="Q93" s="10" t="s">
        <v>1105</v>
      </c>
    </row>
    <row r="94" spans="1:17">
      <c r="A94" s="10" t="s">
        <v>1198</v>
      </c>
      <c r="B94" s="10" t="s">
        <v>948</v>
      </c>
      <c r="C94" s="10" t="s">
        <v>18</v>
      </c>
      <c r="D94" s="10" t="s">
        <v>107</v>
      </c>
      <c r="E94" s="10" t="s">
        <v>394</v>
      </c>
      <c r="F94" s="10" t="s">
        <v>30</v>
      </c>
      <c r="G94" s="10" t="s">
        <v>22</v>
      </c>
      <c r="H94" s="10" t="s">
        <v>110</v>
      </c>
      <c r="I94" s="10" t="s">
        <v>1148</v>
      </c>
      <c r="J94" s="10" t="s">
        <v>1101</v>
      </c>
      <c r="K94" s="10" t="s">
        <v>1151</v>
      </c>
      <c r="L94" s="10" t="s">
        <v>947</v>
      </c>
      <c r="M94" s="10" t="s">
        <v>1119</v>
      </c>
      <c r="N94" s="10" t="s">
        <v>1104</v>
      </c>
      <c r="O94" s="10" t="s">
        <v>351</v>
      </c>
      <c r="P94" s="10" t="s">
        <v>1105</v>
      </c>
      <c r="Q94" s="10" t="s">
        <v>1105</v>
      </c>
    </row>
    <row r="95" spans="1:17">
      <c r="A95" s="10" t="s">
        <v>1199</v>
      </c>
      <c r="B95" s="10" t="s">
        <v>946</v>
      </c>
      <c r="C95" s="10" t="s">
        <v>18</v>
      </c>
      <c r="D95" s="10" t="s">
        <v>107</v>
      </c>
      <c r="E95" s="10" t="s">
        <v>394</v>
      </c>
      <c r="F95" s="10" t="s">
        <v>30</v>
      </c>
      <c r="G95" s="10" t="s">
        <v>22</v>
      </c>
      <c r="H95" s="10" t="s">
        <v>110</v>
      </c>
      <c r="I95" s="10" t="s">
        <v>1116</v>
      </c>
      <c r="J95" s="10" t="s">
        <v>1135</v>
      </c>
      <c r="K95" s="10" t="s">
        <v>1124</v>
      </c>
      <c r="L95" s="10" t="s">
        <v>947</v>
      </c>
      <c r="M95" s="10" t="s">
        <v>1119</v>
      </c>
      <c r="N95" s="10" t="s">
        <v>1104</v>
      </c>
      <c r="O95" s="10" t="s">
        <v>205</v>
      </c>
      <c r="P95" s="10" t="s">
        <v>1105</v>
      </c>
      <c r="Q95" s="10" t="s">
        <v>1105</v>
      </c>
    </row>
    <row r="96" spans="1:17" ht="36">
      <c r="A96" s="10" t="s">
        <v>944</v>
      </c>
      <c r="B96" s="10" t="s">
        <v>945</v>
      </c>
      <c r="C96" s="10" t="s">
        <v>18</v>
      </c>
      <c r="D96" s="10" t="s">
        <v>721</v>
      </c>
      <c r="E96" s="10" t="s">
        <v>722</v>
      </c>
      <c r="F96" s="10" t="s">
        <v>722</v>
      </c>
      <c r="G96" s="10" t="s">
        <v>723</v>
      </c>
      <c r="H96" s="10" t="s">
        <v>83</v>
      </c>
      <c r="I96" s="10" t="s">
        <v>1140</v>
      </c>
      <c r="J96" s="10" t="s">
        <v>1135</v>
      </c>
      <c r="K96" s="10" t="s">
        <v>1141</v>
      </c>
      <c r="L96" s="10" t="s">
        <v>723</v>
      </c>
      <c r="M96" s="10" t="s">
        <v>1129</v>
      </c>
      <c r="N96" s="10" t="s">
        <v>1142</v>
      </c>
      <c r="O96" s="10" t="s">
        <v>1143</v>
      </c>
      <c r="P96" s="10" t="s">
        <v>1105</v>
      </c>
      <c r="Q96" s="10" t="s">
        <v>1105</v>
      </c>
    </row>
    <row r="97" spans="1:17" ht="36">
      <c r="A97" s="10" t="s">
        <v>942</v>
      </c>
      <c r="B97" s="10" t="s">
        <v>943</v>
      </c>
      <c r="C97" s="10" t="s">
        <v>18</v>
      </c>
      <c r="D97" s="10" t="s">
        <v>721</v>
      </c>
      <c r="E97" s="10" t="s">
        <v>722</v>
      </c>
      <c r="F97" s="10" t="s">
        <v>722</v>
      </c>
      <c r="G97" s="10" t="s">
        <v>723</v>
      </c>
      <c r="H97" s="10" t="s">
        <v>83</v>
      </c>
      <c r="I97" s="10" t="s">
        <v>1200</v>
      </c>
      <c r="J97" s="10" t="s">
        <v>1201</v>
      </c>
      <c r="K97" s="10" t="s">
        <v>1202</v>
      </c>
      <c r="L97" s="10" t="s">
        <v>723</v>
      </c>
      <c r="M97" s="10" t="s">
        <v>1129</v>
      </c>
      <c r="N97" s="10" t="s">
        <v>1142</v>
      </c>
      <c r="O97" s="10" t="s">
        <v>1143</v>
      </c>
      <c r="P97" s="10" t="s">
        <v>1105</v>
      </c>
      <c r="Q97" s="10" t="s">
        <v>1105</v>
      </c>
    </row>
    <row r="98" spans="1:17" ht="36">
      <c r="A98" s="10" t="s">
        <v>940</v>
      </c>
      <c r="B98" s="10" t="s">
        <v>941</v>
      </c>
      <c r="C98" s="10" t="s">
        <v>18</v>
      </c>
      <c r="D98" s="10" t="s">
        <v>721</v>
      </c>
      <c r="E98" s="10" t="s">
        <v>722</v>
      </c>
      <c r="F98" s="10" t="s">
        <v>722</v>
      </c>
      <c r="G98" s="10" t="s">
        <v>723</v>
      </c>
      <c r="H98" s="10" t="s">
        <v>83</v>
      </c>
      <c r="I98" s="10" t="s">
        <v>1140</v>
      </c>
      <c r="J98" s="10" t="s">
        <v>1135</v>
      </c>
      <c r="K98" s="10" t="s">
        <v>1141</v>
      </c>
      <c r="L98" s="10" t="s">
        <v>723</v>
      </c>
      <c r="M98" s="10" t="s">
        <v>1129</v>
      </c>
      <c r="N98" s="10" t="s">
        <v>1142</v>
      </c>
      <c r="O98" s="10" t="s">
        <v>1143</v>
      </c>
      <c r="P98" s="10" t="s">
        <v>1105</v>
      </c>
      <c r="Q98" s="10" t="s">
        <v>1105</v>
      </c>
    </row>
    <row r="99" spans="1:17" ht="36">
      <c r="A99" s="10" t="s">
        <v>938</v>
      </c>
      <c r="B99" s="10" t="s">
        <v>939</v>
      </c>
      <c r="C99" s="10" t="s">
        <v>18</v>
      </c>
      <c r="D99" s="10" t="s">
        <v>721</v>
      </c>
      <c r="E99" s="10" t="s">
        <v>722</v>
      </c>
      <c r="F99" s="10" t="s">
        <v>722</v>
      </c>
      <c r="G99" s="10" t="s">
        <v>723</v>
      </c>
      <c r="H99" s="10" t="s">
        <v>83</v>
      </c>
      <c r="I99" s="10" t="s">
        <v>1200</v>
      </c>
      <c r="J99" s="10" t="s">
        <v>1201</v>
      </c>
      <c r="K99" s="10" t="s">
        <v>1202</v>
      </c>
      <c r="L99" s="10" t="s">
        <v>723</v>
      </c>
      <c r="M99" s="10" t="s">
        <v>1129</v>
      </c>
      <c r="N99" s="10" t="s">
        <v>1142</v>
      </c>
      <c r="O99" s="10" t="s">
        <v>1143</v>
      </c>
      <c r="P99" s="10" t="s">
        <v>1105</v>
      </c>
      <c r="Q99" s="10" t="s">
        <v>1105</v>
      </c>
    </row>
    <row r="100" spans="1:17">
      <c r="A100" s="10" t="s">
        <v>936</v>
      </c>
      <c r="B100" s="10" t="s">
        <v>937</v>
      </c>
      <c r="C100" s="10" t="s">
        <v>354</v>
      </c>
      <c r="D100" s="10" t="s">
        <v>29</v>
      </c>
      <c r="E100" s="10" t="s">
        <v>29</v>
      </c>
      <c r="F100" s="10" t="s">
        <v>355</v>
      </c>
      <c r="G100" s="10" t="s">
        <v>22</v>
      </c>
      <c r="H100" s="10" t="s">
        <v>29</v>
      </c>
      <c r="I100" s="10" t="s">
        <v>1116</v>
      </c>
      <c r="J100" s="10" t="s">
        <v>1135</v>
      </c>
      <c r="K100" s="10" t="s">
        <v>1124</v>
      </c>
      <c r="L100" s="10" t="s">
        <v>954</v>
      </c>
      <c r="M100" s="10" t="s">
        <v>954</v>
      </c>
      <c r="N100" s="10" t="s">
        <v>1104</v>
      </c>
      <c r="O100" s="10" t="s">
        <v>1203</v>
      </c>
      <c r="P100" s="10" t="s">
        <v>1105</v>
      </c>
      <c r="Q100" s="10" t="s">
        <v>1105</v>
      </c>
    </row>
    <row r="101" spans="1:17">
      <c r="A101" s="10" t="s">
        <v>934</v>
      </c>
      <c r="B101" s="10" t="s">
        <v>935</v>
      </c>
      <c r="C101" s="10" t="s">
        <v>502</v>
      </c>
      <c r="D101" s="10" t="s">
        <v>29</v>
      </c>
      <c r="E101" s="10" t="s">
        <v>29</v>
      </c>
      <c r="F101" s="10" t="s">
        <v>51</v>
      </c>
      <c r="G101" s="10" t="s">
        <v>22</v>
      </c>
      <c r="H101" s="10" t="s">
        <v>29</v>
      </c>
      <c r="I101" s="10" t="s">
        <v>1148</v>
      </c>
      <c r="J101" s="10" t="s">
        <v>1114</v>
      </c>
      <c r="K101" s="10" t="s">
        <v>1124</v>
      </c>
      <c r="L101" s="10" t="s">
        <v>954</v>
      </c>
      <c r="M101" s="10" t="s">
        <v>954</v>
      </c>
      <c r="N101" s="10" t="s">
        <v>1104</v>
      </c>
      <c r="O101" s="10" t="s">
        <v>1203</v>
      </c>
      <c r="P101" s="10" t="s">
        <v>1105</v>
      </c>
      <c r="Q101" s="10" t="s">
        <v>1105</v>
      </c>
    </row>
    <row r="102" spans="1:17">
      <c r="A102" s="10" t="s">
        <v>932</v>
      </c>
      <c r="B102" s="10" t="s">
        <v>933</v>
      </c>
      <c r="C102" s="10" t="s">
        <v>502</v>
      </c>
      <c r="D102" s="10" t="s">
        <v>29</v>
      </c>
      <c r="E102" s="10" t="s">
        <v>29</v>
      </c>
      <c r="F102" s="10" t="s">
        <v>62</v>
      </c>
      <c r="G102" s="10" t="s">
        <v>22</v>
      </c>
      <c r="H102" s="10" t="s">
        <v>29</v>
      </c>
      <c r="I102" s="10" t="s">
        <v>1148</v>
      </c>
      <c r="J102" s="10" t="s">
        <v>1114</v>
      </c>
      <c r="K102" s="10" t="s">
        <v>1124</v>
      </c>
      <c r="L102" s="10" t="s">
        <v>954</v>
      </c>
      <c r="M102" s="10" t="s">
        <v>954</v>
      </c>
      <c r="N102" s="10" t="s">
        <v>1104</v>
      </c>
      <c r="O102" s="10" t="s">
        <v>1203</v>
      </c>
      <c r="P102" s="10" t="s">
        <v>1105</v>
      </c>
      <c r="Q102" s="10" t="s">
        <v>1204</v>
      </c>
    </row>
    <row r="103" spans="1:17">
      <c r="A103" s="10" t="s">
        <v>930</v>
      </c>
      <c r="B103" s="10" t="s">
        <v>931</v>
      </c>
      <c r="C103" s="10" t="s">
        <v>502</v>
      </c>
      <c r="D103" s="10" t="s">
        <v>29</v>
      </c>
      <c r="E103" s="10" t="s">
        <v>29</v>
      </c>
      <c r="F103" s="10" t="s">
        <v>56</v>
      </c>
      <c r="G103" s="10" t="s">
        <v>22</v>
      </c>
      <c r="H103" s="10" t="s">
        <v>29</v>
      </c>
      <c r="I103" s="10" t="s">
        <v>1148</v>
      </c>
      <c r="J103" s="10" t="s">
        <v>1114</v>
      </c>
      <c r="K103" s="10" t="s">
        <v>1124</v>
      </c>
      <c r="L103" s="10" t="s">
        <v>954</v>
      </c>
      <c r="M103" s="10" t="s">
        <v>954</v>
      </c>
      <c r="N103" s="10" t="s">
        <v>1104</v>
      </c>
      <c r="O103" s="10" t="s">
        <v>1203</v>
      </c>
      <c r="P103" s="10" t="s">
        <v>1105</v>
      </c>
      <c r="Q103" s="10" t="s">
        <v>1205</v>
      </c>
    </row>
    <row r="104" spans="1:17">
      <c r="A104" s="10" t="s">
        <v>928</v>
      </c>
      <c r="B104" s="10" t="s">
        <v>929</v>
      </c>
      <c r="C104" s="10" t="s">
        <v>50</v>
      </c>
      <c r="D104" s="10" t="s">
        <v>29</v>
      </c>
      <c r="E104" s="10" t="s">
        <v>29</v>
      </c>
      <c r="F104" s="10" t="s">
        <v>38</v>
      </c>
      <c r="G104" s="10" t="s">
        <v>38</v>
      </c>
      <c r="H104" s="10" t="s">
        <v>29</v>
      </c>
      <c r="I104" s="10" t="s">
        <v>1116</v>
      </c>
      <c r="J104" s="10" t="s">
        <v>1135</v>
      </c>
      <c r="K104" s="10" t="s">
        <v>1124</v>
      </c>
      <c r="L104" s="10" t="s">
        <v>954</v>
      </c>
      <c r="M104" s="10" t="s">
        <v>954</v>
      </c>
      <c r="N104" s="10" t="s">
        <v>1104</v>
      </c>
      <c r="O104" s="10" t="s">
        <v>1203</v>
      </c>
      <c r="P104" s="10" t="s">
        <v>1105</v>
      </c>
      <c r="Q104" s="10" t="s">
        <v>1105</v>
      </c>
    </row>
    <row r="105" spans="1:17">
      <c r="A105" s="10" t="s">
        <v>927</v>
      </c>
      <c r="B105" s="10" t="s">
        <v>820</v>
      </c>
      <c r="C105" s="10" t="s">
        <v>140</v>
      </c>
      <c r="D105" s="10" t="s">
        <v>29</v>
      </c>
      <c r="E105" s="10" t="s">
        <v>29</v>
      </c>
      <c r="F105" s="10" t="s">
        <v>355</v>
      </c>
      <c r="G105" s="10" t="s">
        <v>22</v>
      </c>
      <c r="H105" s="10" t="s">
        <v>29</v>
      </c>
      <c r="I105" s="10" t="s">
        <v>1116</v>
      </c>
      <c r="J105" s="10" t="s">
        <v>1135</v>
      </c>
      <c r="K105" s="10" t="s">
        <v>1124</v>
      </c>
      <c r="L105" s="10" t="s">
        <v>954</v>
      </c>
      <c r="M105" s="10" t="s">
        <v>954</v>
      </c>
      <c r="N105" s="10" t="s">
        <v>1104</v>
      </c>
      <c r="O105" s="10" t="s">
        <v>1149</v>
      </c>
      <c r="P105" s="10" t="s">
        <v>1105</v>
      </c>
      <c r="Q105" s="10" t="s">
        <v>1105</v>
      </c>
    </row>
    <row r="106" spans="1:17">
      <c r="A106" s="10" t="s">
        <v>925</v>
      </c>
      <c r="B106" s="10" t="s">
        <v>926</v>
      </c>
      <c r="C106" s="10" t="s">
        <v>18</v>
      </c>
      <c r="D106" s="10" t="s">
        <v>107</v>
      </c>
      <c r="E106" s="10" t="s">
        <v>531</v>
      </c>
      <c r="F106" s="10" t="s">
        <v>532</v>
      </c>
      <c r="G106" s="10" t="s">
        <v>42</v>
      </c>
      <c r="H106" s="10" t="s">
        <v>110</v>
      </c>
      <c r="I106" s="10" t="s">
        <v>1137</v>
      </c>
      <c r="J106" s="10" t="s">
        <v>1128</v>
      </c>
      <c r="K106" s="10" t="s">
        <v>1138</v>
      </c>
      <c r="L106" s="10" t="s">
        <v>947</v>
      </c>
      <c r="M106" s="10" t="s">
        <v>1129</v>
      </c>
      <c r="N106" s="10" t="s">
        <v>1104</v>
      </c>
      <c r="O106" s="10" t="s">
        <v>1136</v>
      </c>
      <c r="P106" s="10" t="s">
        <v>1105</v>
      </c>
      <c r="Q106" s="10" t="s">
        <v>1105</v>
      </c>
    </row>
    <row r="107" spans="1:17">
      <c r="A107" s="10" t="s">
        <v>923</v>
      </c>
      <c r="B107" s="10" t="s">
        <v>924</v>
      </c>
      <c r="C107" s="10" t="s">
        <v>18</v>
      </c>
      <c r="D107" s="10" t="s">
        <v>107</v>
      </c>
      <c r="E107" s="10" t="s">
        <v>531</v>
      </c>
      <c r="F107" s="10" t="s">
        <v>532</v>
      </c>
      <c r="G107" s="10" t="s">
        <v>42</v>
      </c>
      <c r="H107" s="10" t="s">
        <v>110</v>
      </c>
      <c r="I107" s="10" t="s">
        <v>1132</v>
      </c>
      <c r="J107" s="10" t="s">
        <v>1114</v>
      </c>
      <c r="K107" s="10" t="s">
        <v>1133</v>
      </c>
      <c r="L107" s="10" t="s">
        <v>947</v>
      </c>
      <c r="M107" s="10" t="s">
        <v>1119</v>
      </c>
      <c r="N107" s="10" t="s">
        <v>1104</v>
      </c>
      <c r="O107" s="10" t="s">
        <v>1134</v>
      </c>
      <c r="P107" s="10" t="s">
        <v>1105</v>
      </c>
      <c r="Q107" s="10" t="s">
        <v>1105</v>
      </c>
    </row>
    <row r="108" spans="1:17">
      <c r="A108" s="10" t="s">
        <v>921</v>
      </c>
      <c r="B108" s="10" t="s">
        <v>922</v>
      </c>
      <c r="C108" s="10" t="s">
        <v>18</v>
      </c>
      <c r="D108" s="10" t="s">
        <v>107</v>
      </c>
      <c r="E108" s="10" t="s">
        <v>531</v>
      </c>
      <c r="F108" s="10" t="s">
        <v>532</v>
      </c>
      <c r="G108" s="10" t="s">
        <v>42</v>
      </c>
      <c r="H108" s="10" t="s">
        <v>110</v>
      </c>
      <c r="I108" s="10" t="s">
        <v>1130</v>
      </c>
      <c r="J108" s="10" t="s">
        <v>1101</v>
      </c>
      <c r="K108" s="10" t="s">
        <v>1101</v>
      </c>
      <c r="L108" s="10" t="s">
        <v>947</v>
      </c>
      <c r="M108" s="10" t="s">
        <v>1103</v>
      </c>
      <c r="N108" s="10" t="s">
        <v>1104</v>
      </c>
      <c r="O108" s="10" t="s">
        <v>1131</v>
      </c>
      <c r="P108" s="10" t="s">
        <v>1105</v>
      </c>
      <c r="Q108" s="10" t="s">
        <v>1105</v>
      </c>
    </row>
    <row r="109" spans="1:17">
      <c r="A109" s="10" t="s">
        <v>919</v>
      </c>
      <c r="B109" s="10" t="s">
        <v>920</v>
      </c>
      <c r="C109" s="10" t="s">
        <v>18</v>
      </c>
      <c r="D109" s="10" t="s">
        <v>107</v>
      </c>
      <c r="E109" s="10" t="s">
        <v>531</v>
      </c>
      <c r="F109" s="10" t="s">
        <v>532</v>
      </c>
      <c r="G109" s="10" t="s">
        <v>42</v>
      </c>
      <c r="H109" s="10" t="s">
        <v>110</v>
      </c>
      <c r="I109" s="10" t="s">
        <v>1127</v>
      </c>
      <c r="J109" s="10" t="s">
        <v>1128</v>
      </c>
      <c r="K109" s="10" t="s">
        <v>1126</v>
      </c>
      <c r="L109" s="10" t="s">
        <v>947</v>
      </c>
      <c r="M109" s="10" t="s">
        <v>1129</v>
      </c>
      <c r="N109" s="10" t="s">
        <v>1104</v>
      </c>
      <c r="O109" s="10" t="s">
        <v>1136</v>
      </c>
      <c r="P109" s="10" t="s">
        <v>1105</v>
      </c>
      <c r="Q109" s="10" t="s">
        <v>1105</v>
      </c>
    </row>
    <row r="110" spans="1:17">
      <c r="A110" s="10" t="s">
        <v>917</v>
      </c>
      <c r="B110" s="10" t="s">
        <v>918</v>
      </c>
      <c r="C110" s="10" t="s">
        <v>18</v>
      </c>
      <c r="D110" s="10" t="s">
        <v>107</v>
      </c>
      <c r="E110" s="10" t="s">
        <v>531</v>
      </c>
      <c r="F110" s="10" t="s">
        <v>532</v>
      </c>
      <c r="G110" s="10" t="s">
        <v>42</v>
      </c>
      <c r="H110" s="10" t="s">
        <v>110</v>
      </c>
      <c r="I110" s="10" t="s">
        <v>1206</v>
      </c>
      <c r="J110" s="10" t="s">
        <v>1135</v>
      </c>
      <c r="K110" s="10" t="s">
        <v>1112</v>
      </c>
      <c r="L110" s="10" t="s">
        <v>947</v>
      </c>
      <c r="M110" s="10" t="s">
        <v>1119</v>
      </c>
      <c r="N110" s="10" t="s">
        <v>1104</v>
      </c>
      <c r="O110" s="10" t="s">
        <v>1134</v>
      </c>
      <c r="P110" s="10" t="s">
        <v>1105</v>
      </c>
      <c r="Q110" s="10" t="s">
        <v>1105</v>
      </c>
    </row>
    <row r="111" spans="1:17">
      <c r="A111" s="10" t="s">
        <v>915</v>
      </c>
      <c r="B111" s="10" t="s">
        <v>916</v>
      </c>
      <c r="C111" s="10" t="s">
        <v>18</v>
      </c>
      <c r="D111" s="10" t="s">
        <v>107</v>
      </c>
      <c r="E111" s="10" t="s">
        <v>365</v>
      </c>
      <c r="F111" s="10" t="s">
        <v>366</v>
      </c>
      <c r="G111" s="10" t="s">
        <v>38</v>
      </c>
      <c r="H111" s="10" t="s">
        <v>110</v>
      </c>
      <c r="I111" s="10" t="s">
        <v>1137</v>
      </c>
      <c r="J111" s="10" t="s">
        <v>1128</v>
      </c>
      <c r="K111" s="10" t="s">
        <v>1138</v>
      </c>
      <c r="L111" s="10" t="s">
        <v>947</v>
      </c>
      <c r="M111" s="10" t="s">
        <v>1129</v>
      </c>
      <c r="N111" s="10" t="s">
        <v>1104</v>
      </c>
      <c r="O111" s="10" t="s">
        <v>1136</v>
      </c>
      <c r="P111" s="10" t="s">
        <v>1105</v>
      </c>
      <c r="Q111" s="10" t="s">
        <v>1105</v>
      </c>
    </row>
    <row r="112" spans="1:17">
      <c r="A112" s="10" t="s">
        <v>913</v>
      </c>
      <c r="B112" s="10" t="s">
        <v>914</v>
      </c>
      <c r="C112" s="10" t="s">
        <v>18</v>
      </c>
      <c r="D112" s="10" t="s">
        <v>107</v>
      </c>
      <c r="E112" s="10" t="s">
        <v>365</v>
      </c>
      <c r="F112" s="10" t="s">
        <v>366</v>
      </c>
      <c r="G112" s="10" t="s">
        <v>38</v>
      </c>
      <c r="H112" s="10" t="s">
        <v>110</v>
      </c>
      <c r="I112" s="10" t="s">
        <v>1132</v>
      </c>
      <c r="J112" s="10" t="s">
        <v>1114</v>
      </c>
      <c r="K112" s="10" t="s">
        <v>1133</v>
      </c>
      <c r="L112" s="10" t="s">
        <v>947</v>
      </c>
      <c r="M112" s="10" t="s">
        <v>1119</v>
      </c>
      <c r="N112" s="10" t="s">
        <v>1104</v>
      </c>
      <c r="O112" s="10" t="s">
        <v>1131</v>
      </c>
      <c r="P112" s="10" t="s">
        <v>1105</v>
      </c>
      <c r="Q112" s="10" t="s">
        <v>1105</v>
      </c>
    </row>
    <row r="113" spans="1:17">
      <c r="A113" s="10" t="s">
        <v>911</v>
      </c>
      <c r="B113" s="10" t="s">
        <v>912</v>
      </c>
      <c r="C113" s="10" t="s">
        <v>18</v>
      </c>
      <c r="D113" s="10" t="s">
        <v>107</v>
      </c>
      <c r="E113" s="10" t="s">
        <v>365</v>
      </c>
      <c r="F113" s="10" t="s">
        <v>366</v>
      </c>
      <c r="G113" s="10" t="s">
        <v>38</v>
      </c>
      <c r="H113" s="10" t="s">
        <v>110</v>
      </c>
      <c r="I113" s="10" t="s">
        <v>1127</v>
      </c>
      <c r="J113" s="10" t="s">
        <v>1128</v>
      </c>
      <c r="K113" s="10" t="s">
        <v>1126</v>
      </c>
      <c r="L113" s="10" t="s">
        <v>947</v>
      </c>
      <c r="M113" s="10" t="s">
        <v>1129</v>
      </c>
      <c r="N113" s="10" t="s">
        <v>1104</v>
      </c>
      <c r="O113" s="10" t="s">
        <v>1136</v>
      </c>
      <c r="P113" s="10" t="s">
        <v>1105</v>
      </c>
      <c r="Q113" s="10" t="s">
        <v>1105</v>
      </c>
    </row>
    <row r="114" spans="1:17">
      <c r="A114" s="10" t="s">
        <v>909</v>
      </c>
      <c r="B114" s="10" t="s">
        <v>910</v>
      </c>
      <c r="C114" s="10" t="s">
        <v>18</v>
      </c>
      <c r="D114" s="10" t="s">
        <v>107</v>
      </c>
      <c r="E114" s="10" t="s">
        <v>365</v>
      </c>
      <c r="F114" s="10" t="s">
        <v>366</v>
      </c>
      <c r="G114" s="10" t="s">
        <v>38</v>
      </c>
      <c r="H114" s="10" t="s">
        <v>110</v>
      </c>
      <c r="I114" s="10" t="s">
        <v>1206</v>
      </c>
      <c r="J114" s="10" t="s">
        <v>1135</v>
      </c>
      <c r="K114" s="10" t="s">
        <v>1112</v>
      </c>
      <c r="L114" s="10" t="s">
        <v>947</v>
      </c>
      <c r="M114" s="10" t="s">
        <v>1119</v>
      </c>
      <c r="N114" s="10" t="s">
        <v>1104</v>
      </c>
      <c r="O114" s="10" t="s">
        <v>1131</v>
      </c>
      <c r="P114" s="10" t="s">
        <v>1105</v>
      </c>
      <c r="Q114" s="10" t="s">
        <v>1105</v>
      </c>
    </row>
    <row r="115" spans="1:17">
      <c r="A115" s="10" t="s">
        <v>907</v>
      </c>
      <c r="B115" s="10" t="s">
        <v>908</v>
      </c>
      <c r="C115" s="10" t="s">
        <v>18</v>
      </c>
      <c r="D115" s="10" t="s">
        <v>107</v>
      </c>
      <c r="E115" s="10" t="s">
        <v>365</v>
      </c>
      <c r="F115" s="10" t="s">
        <v>366</v>
      </c>
      <c r="G115" s="10" t="s">
        <v>38</v>
      </c>
      <c r="H115" s="10" t="s">
        <v>110</v>
      </c>
      <c r="I115" s="10" t="s">
        <v>1130</v>
      </c>
      <c r="J115" s="10" t="s">
        <v>1101</v>
      </c>
      <c r="K115" s="10" t="s">
        <v>1101</v>
      </c>
      <c r="L115" s="10" t="s">
        <v>947</v>
      </c>
      <c r="M115" s="10" t="s">
        <v>1103</v>
      </c>
      <c r="N115" s="10" t="s">
        <v>1104</v>
      </c>
      <c r="O115" s="10" t="s">
        <v>1131</v>
      </c>
      <c r="P115" s="10" t="s">
        <v>1105</v>
      </c>
      <c r="Q115" s="10" t="s">
        <v>1105</v>
      </c>
    </row>
    <row r="116" spans="1:17">
      <c r="A116" s="10" t="s">
        <v>905</v>
      </c>
      <c r="B116" s="10" t="s">
        <v>906</v>
      </c>
      <c r="C116" s="10" t="s">
        <v>18</v>
      </c>
      <c r="D116" s="10" t="s">
        <v>107</v>
      </c>
      <c r="E116" s="10" t="s">
        <v>617</v>
      </c>
      <c r="F116" s="10" t="s">
        <v>618</v>
      </c>
      <c r="G116" s="10" t="s">
        <v>156</v>
      </c>
      <c r="H116" s="10" t="s">
        <v>110</v>
      </c>
      <c r="I116" s="10" t="s">
        <v>1127</v>
      </c>
      <c r="J116" s="10" t="s">
        <v>1128</v>
      </c>
      <c r="K116" s="10" t="s">
        <v>1126</v>
      </c>
      <c r="L116" s="10" t="s">
        <v>947</v>
      </c>
      <c r="M116" s="10" t="s">
        <v>1129</v>
      </c>
      <c r="N116" s="10" t="s">
        <v>1104</v>
      </c>
      <c r="O116" s="10" t="s">
        <v>377</v>
      </c>
      <c r="P116" s="10" t="s">
        <v>1105</v>
      </c>
      <c r="Q116" s="10" t="s">
        <v>1105</v>
      </c>
    </row>
    <row r="117" spans="1:17">
      <c r="A117" s="10" t="s">
        <v>903</v>
      </c>
      <c r="B117" s="10" t="s">
        <v>904</v>
      </c>
      <c r="C117" s="10" t="s">
        <v>18</v>
      </c>
      <c r="D117" s="10" t="s">
        <v>107</v>
      </c>
      <c r="E117" s="10" t="s">
        <v>617</v>
      </c>
      <c r="F117" s="10" t="s">
        <v>618</v>
      </c>
      <c r="G117" s="10" t="s">
        <v>156</v>
      </c>
      <c r="H117" s="10" t="s">
        <v>110</v>
      </c>
      <c r="I117" s="10" t="s">
        <v>1206</v>
      </c>
      <c r="J117" s="10" t="s">
        <v>1117</v>
      </c>
      <c r="K117" s="10" t="s">
        <v>1207</v>
      </c>
      <c r="L117" s="10" t="s">
        <v>947</v>
      </c>
      <c r="M117" s="10" t="s">
        <v>1119</v>
      </c>
      <c r="N117" s="10" t="s">
        <v>1104</v>
      </c>
      <c r="O117" s="10" t="s">
        <v>362</v>
      </c>
      <c r="P117" s="10" t="s">
        <v>1105</v>
      </c>
      <c r="Q117" s="10" t="s">
        <v>1105</v>
      </c>
    </row>
    <row r="118" spans="1:17">
      <c r="A118" s="10" t="s">
        <v>901</v>
      </c>
      <c r="B118" s="10" t="s">
        <v>902</v>
      </c>
      <c r="C118" s="10" t="s">
        <v>18</v>
      </c>
      <c r="D118" s="10" t="s">
        <v>107</v>
      </c>
      <c r="E118" s="10" t="s">
        <v>617</v>
      </c>
      <c r="F118" s="10" t="s">
        <v>618</v>
      </c>
      <c r="G118" s="10" t="s">
        <v>156</v>
      </c>
      <c r="H118" s="10" t="s">
        <v>110</v>
      </c>
      <c r="I118" s="10" t="s">
        <v>1125</v>
      </c>
      <c r="J118" s="10" t="s">
        <v>1114</v>
      </c>
      <c r="K118" s="10" t="s">
        <v>1126</v>
      </c>
      <c r="L118" s="10" t="s">
        <v>947</v>
      </c>
      <c r="M118" s="10" t="s">
        <v>1119</v>
      </c>
      <c r="N118" s="10" t="s">
        <v>1104</v>
      </c>
      <c r="O118" s="10" t="s">
        <v>623</v>
      </c>
      <c r="P118" s="10" t="s">
        <v>1105</v>
      </c>
      <c r="Q118" s="10" t="s">
        <v>1105</v>
      </c>
    </row>
    <row r="119" spans="1:17">
      <c r="A119" s="10" t="s">
        <v>899</v>
      </c>
      <c r="B119" s="10" t="s">
        <v>900</v>
      </c>
      <c r="C119" s="10" t="s">
        <v>18</v>
      </c>
      <c r="D119" s="10" t="s">
        <v>107</v>
      </c>
      <c r="E119" s="10" t="s">
        <v>617</v>
      </c>
      <c r="F119" s="10" t="s">
        <v>618</v>
      </c>
      <c r="G119" s="10" t="s">
        <v>156</v>
      </c>
      <c r="H119" s="10" t="s">
        <v>110</v>
      </c>
      <c r="I119" s="10" t="s">
        <v>1111</v>
      </c>
      <c r="J119" s="10" t="s">
        <v>1101</v>
      </c>
      <c r="K119" s="10" t="s">
        <v>1112</v>
      </c>
      <c r="L119" s="10" t="s">
        <v>947</v>
      </c>
      <c r="M119" s="10" t="s">
        <v>1103</v>
      </c>
      <c r="N119" s="10" t="s">
        <v>1104</v>
      </c>
      <c r="O119" s="10" t="s">
        <v>362</v>
      </c>
      <c r="P119" s="10" t="s">
        <v>1105</v>
      </c>
      <c r="Q119" s="10" t="s">
        <v>1105</v>
      </c>
    </row>
    <row r="120" spans="1:17">
      <c r="A120" s="10" t="s">
        <v>897</v>
      </c>
      <c r="B120" s="10" t="s">
        <v>898</v>
      </c>
      <c r="C120" s="10" t="s">
        <v>18</v>
      </c>
      <c r="D120" s="10" t="s">
        <v>107</v>
      </c>
      <c r="E120" s="10" t="s">
        <v>617</v>
      </c>
      <c r="F120" s="10" t="s">
        <v>618</v>
      </c>
      <c r="G120" s="10" t="s">
        <v>156</v>
      </c>
      <c r="H120" s="10" t="s">
        <v>110</v>
      </c>
      <c r="I120" s="10" t="s">
        <v>1206</v>
      </c>
      <c r="J120" s="10" t="s">
        <v>1117</v>
      </c>
      <c r="K120" s="10" t="s">
        <v>1207</v>
      </c>
      <c r="L120" s="10" t="s">
        <v>947</v>
      </c>
      <c r="M120" s="10" t="s">
        <v>1119</v>
      </c>
      <c r="N120" s="10" t="s">
        <v>1104</v>
      </c>
      <c r="O120" s="10" t="s">
        <v>362</v>
      </c>
      <c r="P120" s="10" t="s">
        <v>1105</v>
      </c>
      <c r="Q120" s="10" t="s">
        <v>1105</v>
      </c>
    </row>
    <row r="121" spans="1:17">
      <c r="A121" s="10" t="s">
        <v>895</v>
      </c>
      <c r="B121" s="10" t="s">
        <v>896</v>
      </c>
      <c r="C121" s="10" t="s">
        <v>18</v>
      </c>
      <c r="D121" s="10" t="s">
        <v>107</v>
      </c>
      <c r="E121" s="10" t="s">
        <v>617</v>
      </c>
      <c r="F121" s="10" t="s">
        <v>618</v>
      </c>
      <c r="G121" s="10" t="s">
        <v>156</v>
      </c>
      <c r="H121" s="10" t="s">
        <v>110</v>
      </c>
      <c r="I121" s="10" t="s">
        <v>1125</v>
      </c>
      <c r="J121" s="10" t="s">
        <v>1114</v>
      </c>
      <c r="K121" s="10" t="s">
        <v>1126</v>
      </c>
      <c r="L121" s="10" t="s">
        <v>947</v>
      </c>
      <c r="M121" s="10" t="s">
        <v>1119</v>
      </c>
      <c r="N121" s="10" t="s">
        <v>1104</v>
      </c>
      <c r="O121" s="10" t="s">
        <v>623</v>
      </c>
      <c r="P121" s="10" t="s">
        <v>1105</v>
      </c>
      <c r="Q121" s="10" t="s">
        <v>1105</v>
      </c>
    </row>
    <row r="122" spans="1:17">
      <c r="A122" s="10" t="s">
        <v>893</v>
      </c>
      <c r="B122" s="10" t="s">
        <v>894</v>
      </c>
      <c r="C122" s="10" t="s">
        <v>18</v>
      </c>
      <c r="D122" s="10" t="s">
        <v>107</v>
      </c>
      <c r="E122" s="10" t="s">
        <v>617</v>
      </c>
      <c r="F122" s="10" t="s">
        <v>618</v>
      </c>
      <c r="G122" s="10" t="s">
        <v>156</v>
      </c>
      <c r="H122" s="10" t="s">
        <v>110</v>
      </c>
      <c r="I122" s="10" t="s">
        <v>1111</v>
      </c>
      <c r="J122" s="10" t="s">
        <v>1101</v>
      </c>
      <c r="K122" s="10" t="s">
        <v>1112</v>
      </c>
      <c r="L122" s="10" t="s">
        <v>947</v>
      </c>
      <c r="M122" s="10" t="s">
        <v>1103</v>
      </c>
      <c r="N122" s="10" t="s">
        <v>1104</v>
      </c>
      <c r="O122" s="10" t="s">
        <v>216</v>
      </c>
      <c r="P122" s="10" t="s">
        <v>1105</v>
      </c>
      <c r="Q122" s="10" t="s">
        <v>1105</v>
      </c>
    </row>
    <row r="123" spans="1:17">
      <c r="A123" s="10" t="s">
        <v>891</v>
      </c>
      <c r="B123" s="10" t="s">
        <v>892</v>
      </c>
      <c r="C123" s="10" t="s">
        <v>18</v>
      </c>
      <c r="D123" s="10" t="s">
        <v>107</v>
      </c>
      <c r="E123" s="10" t="s">
        <v>617</v>
      </c>
      <c r="F123" s="10" t="s">
        <v>618</v>
      </c>
      <c r="G123" s="10" t="s">
        <v>156</v>
      </c>
      <c r="H123" s="10" t="s">
        <v>110</v>
      </c>
      <c r="I123" s="10" t="s">
        <v>1120</v>
      </c>
      <c r="J123" s="10" t="s">
        <v>1121</v>
      </c>
      <c r="K123" s="10" t="s">
        <v>1114</v>
      </c>
      <c r="L123" s="10" t="s">
        <v>947</v>
      </c>
      <c r="M123" s="10" t="s">
        <v>1103</v>
      </c>
      <c r="N123" s="10" t="s">
        <v>1104</v>
      </c>
      <c r="O123" s="10" t="s">
        <v>665</v>
      </c>
      <c r="P123" s="10" t="s">
        <v>1105</v>
      </c>
      <c r="Q123" s="10" t="s">
        <v>1105</v>
      </c>
    </row>
    <row r="124" spans="1:17">
      <c r="A124" s="10" t="s">
        <v>889</v>
      </c>
      <c r="B124" s="10" t="s">
        <v>890</v>
      </c>
      <c r="C124" s="10" t="s">
        <v>18</v>
      </c>
      <c r="D124" s="10" t="s">
        <v>107</v>
      </c>
      <c r="E124" s="10" t="s">
        <v>617</v>
      </c>
      <c r="F124" s="10" t="s">
        <v>618</v>
      </c>
      <c r="G124" s="10" t="s">
        <v>156</v>
      </c>
      <c r="H124" s="10" t="s">
        <v>110</v>
      </c>
      <c r="I124" s="10" t="s">
        <v>1120</v>
      </c>
      <c r="J124" s="10" t="s">
        <v>1121</v>
      </c>
      <c r="K124" s="10" t="s">
        <v>1114</v>
      </c>
      <c r="L124" s="10" t="s">
        <v>947</v>
      </c>
      <c r="M124" s="10" t="s">
        <v>1103</v>
      </c>
      <c r="N124" s="10" t="s">
        <v>1104</v>
      </c>
      <c r="O124" s="10" t="s">
        <v>665</v>
      </c>
      <c r="P124" s="10" t="s">
        <v>1105</v>
      </c>
      <c r="Q124" s="10" t="s">
        <v>1105</v>
      </c>
    </row>
    <row r="125" spans="1:17">
      <c r="A125" s="10" t="s">
        <v>887</v>
      </c>
      <c r="B125" s="10" t="s">
        <v>888</v>
      </c>
      <c r="C125" s="10" t="s">
        <v>18</v>
      </c>
      <c r="D125" s="10" t="s">
        <v>107</v>
      </c>
      <c r="E125" s="10" t="s">
        <v>617</v>
      </c>
      <c r="F125" s="10" t="s">
        <v>618</v>
      </c>
      <c r="G125" s="10" t="s">
        <v>156</v>
      </c>
      <c r="H125" s="10" t="s">
        <v>110</v>
      </c>
      <c r="I125" s="10" t="s">
        <v>1122</v>
      </c>
      <c r="J125" s="10" t="s">
        <v>1123</v>
      </c>
      <c r="K125" s="10" t="s">
        <v>1124</v>
      </c>
      <c r="L125" s="10" t="s">
        <v>947</v>
      </c>
      <c r="M125" s="10" t="s">
        <v>1103</v>
      </c>
      <c r="N125" s="10" t="s">
        <v>1104</v>
      </c>
      <c r="O125" s="10" t="s">
        <v>665</v>
      </c>
      <c r="P125" s="10" t="s">
        <v>1105</v>
      </c>
      <c r="Q125" s="10" t="s">
        <v>1105</v>
      </c>
    </row>
    <row r="126" spans="1:17">
      <c r="A126" s="10" t="s">
        <v>885</v>
      </c>
      <c r="B126" s="10" t="s">
        <v>886</v>
      </c>
      <c r="C126" s="10" t="s">
        <v>18</v>
      </c>
      <c r="D126" s="10" t="s">
        <v>107</v>
      </c>
      <c r="E126" s="10" t="s">
        <v>617</v>
      </c>
      <c r="F126" s="10" t="s">
        <v>618</v>
      </c>
      <c r="G126" s="10" t="s">
        <v>156</v>
      </c>
      <c r="H126" s="10" t="s">
        <v>110</v>
      </c>
      <c r="I126" s="10" t="s">
        <v>1122</v>
      </c>
      <c r="J126" s="10" t="s">
        <v>1123</v>
      </c>
      <c r="K126" s="10" t="s">
        <v>1124</v>
      </c>
      <c r="L126" s="10" t="s">
        <v>947</v>
      </c>
      <c r="M126" s="10" t="s">
        <v>1103</v>
      </c>
      <c r="N126" s="10" t="s">
        <v>1104</v>
      </c>
      <c r="O126" s="10" t="s">
        <v>665</v>
      </c>
      <c r="P126" s="10" t="s">
        <v>1105</v>
      </c>
      <c r="Q126" s="10" t="s">
        <v>1105</v>
      </c>
    </row>
    <row r="127" spans="1:17">
      <c r="A127" s="10" t="s">
        <v>883</v>
      </c>
      <c r="B127" s="10" t="s">
        <v>884</v>
      </c>
      <c r="C127" s="10" t="s">
        <v>18</v>
      </c>
      <c r="D127" s="10" t="s">
        <v>107</v>
      </c>
      <c r="E127" s="10" t="s">
        <v>632</v>
      </c>
      <c r="F127" s="10" t="s">
        <v>618</v>
      </c>
      <c r="G127" s="10" t="s">
        <v>156</v>
      </c>
      <c r="H127" s="10" t="s">
        <v>110</v>
      </c>
      <c r="I127" s="10" t="s">
        <v>1125</v>
      </c>
      <c r="J127" s="10" t="s">
        <v>1114</v>
      </c>
      <c r="K127" s="10" t="s">
        <v>1126</v>
      </c>
      <c r="L127" s="10" t="s">
        <v>947</v>
      </c>
      <c r="M127" s="10" t="s">
        <v>1119</v>
      </c>
      <c r="N127" s="10" t="s">
        <v>1104</v>
      </c>
      <c r="O127" s="10" t="s">
        <v>623</v>
      </c>
      <c r="P127" s="10" t="s">
        <v>1105</v>
      </c>
      <c r="Q127" s="10" t="s">
        <v>1105</v>
      </c>
    </row>
    <row r="128" spans="1:17">
      <c r="A128" s="10" t="s">
        <v>881</v>
      </c>
      <c r="B128" s="10" t="s">
        <v>882</v>
      </c>
      <c r="C128" s="10" t="s">
        <v>18</v>
      </c>
      <c r="D128" s="10" t="s">
        <v>107</v>
      </c>
      <c r="E128" s="10" t="s">
        <v>632</v>
      </c>
      <c r="F128" s="10" t="s">
        <v>618</v>
      </c>
      <c r="G128" s="10" t="s">
        <v>156</v>
      </c>
      <c r="H128" s="10" t="s">
        <v>110</v>
      </c>
      <c r="I128" s="10" t="s">
        <v>1111</v>
      </c>
      <c r="J128" s="10" t="s">
        <v>1101</v>
      </c>
      <c r="K128" s="10" t="s">
        <v>1112</v>
      </c>
      <c r="L128" s="10" t="s">
        <v>947</v>
      </c>
      <c r="M128" s="10" t="s">
        <v>1103</v>
      </c>
      <c r="N128" s="10" t="s">
        <v>1104</v>
      </c>
      <c r="O128" s="10" t="s">
        <v>623</v>
      </c>
      <c r="P128" s="10" t="s">
        <v>1105</v>
      </c>
      <c r="Q128" s="10" t="s">
        <v>1105</v>
      </c>
    </row>
    <row r="129" spans="1:17">
      <c r="A129" s="10" t="s">
        <v>879</v>
      </c>
      <c r="B129" s="10" t="s">
        <v>880</v>
      </c>
      <c r="C129" s="10" t="s">
        <v>18</v>
      </c>
      <c r="D129" s="10" t="s">
        <v>107</v>
      </c>
      <c r="E129" s="10" t="s">
        <v>632</v>
      </c>
      <c r="F129" s="10" t="s">
        <v>618</v>
      </c>
      <c r="G129" s="10" t="s">
        <v>156</v>
      </c>
      <c r="H129" s="10" t="s">
        <v>110</v>
      </c>
      <c r="I129" s="10" t="s">
        <v>1127</v>
      </c>
      <c r="J129" s="10" t="s">
        <v>1128</v>
      </c>
      <c r="K129" s="10" t="s">
        <v>1126</v>
      </c>
      <c r="L129" s="10" t="s">
        <v>947</v>
      </c>
      <c r="M129" s="10" t="s">
        <v>1129</v>
      </c>
      <c r="N129" s="10" t="s">
        <v>1104</v>
      </c>
      <c r="O129" s="10" t="s">
        <v>377</v>
      </c>
      <c r="P129" s="10" t="s">
        <v>1105</v>
      </c>
      <c r="Q129" s="10" t="s">
        <v>1105</v>
      </c>
    </row>
    <row r="130" spans="1:17">
      <c r="A130" s="10" t="s">
        <v>877</v>
      </c>
      <c r="B130" s="10" t="s">
        <v>878</v>
      </c>
      <c r="C130" s="10" t="s">
        <v>18</v>
      </c>
      <c r="D130" s="10" t="s">
        <v>107</v>
      </c>
      <c r="E130" s="10" t="s">
        <v>632</v>
      </c>
      <c r="F130" s="10" t="s">
        <v>618</v>
      </c>
      <c r="G130" s="10" t="s">
        <v>156</v>
      </c>
      <c r="H130" s="10" t="s">
        <v>110</v>
      </c>
      <c r="I130" s="10" t="s">
        <v>1206</v>
      </c>
      <c r="J130" s="10" t="s">
        <v>1117</v>
      </c>
      <c r="K130" s="10" t="s">
        <v>1207</v>
      </c>
      <c r="L130" s="10" t="s">
        <v>947</v>
      </c>
      <c r="M130" s="10" t="s">
        <v>1119</v>
      </c>
      <c r="N130" s="10" t="s">
        <v>1104</v>
      </c>
      <c r="O130" s="10" t="s">
        <v>362</v>
      </c>
      <c r="P130" s="10" t="s">
        <v>1105</v>
      </c>
      <c r="Q130" s="10" t="s">
        <v>1105</v>
      </c>
    </row>
    <row r="131" spans="1:17">
      <c r="A131" s="10" t="s">
        <v>875</v>
      </c>
      <c r="B131" s="10" t="s">
        <v>876</v>
      </c>
      <c r="C131" s="10" t="s">
        <v>18</v>
      </c>
      <c r="D131" s="10" t="s">
        <v>107</v>
      </c>
      <c r="E131" s="10" t="s">
        <v>632</v>
      </c>
      <c r="F131" s="10" t="s">
        <v>618</v>
      </c>
      <c r="G131" s="10" t="s">
        <v>156</v>
      </c>
      <c r="H131" s="10" t="s">
        <v>110</v>
      </c>
      <c r="I131" s="10" t="s">
        <v>1206</v>
      </c>
      <c r="J131" s="10" t="s">
        <v>1117</v>
      </c>
      <c r="K131" s="10" t="s">
        <v>1207</v>
      </c>
      <c r="L131" s="10" t="s">
        <v>947</v>
      </c>
      <c r="M131" s="10" t="s">
        <v>1119</v>
      </c>
      <c r="N131" s="10" t="s">
        <v>1104</v>
      </c>
      <c r="O131" s="10" t="s">
        <v>362</v>
      </c>
      <c r="P131" s="10" t="s">
        <v>1105</v>
      </c>
      <c r="Q131" s="10" t="s">
        <v>1105</v>
      </c>
    </row>
    <row r="132" spans="1:17">
      <c r="A132" s="10" t="s">
        <v>873</v>
      </c>
      <c r="B132" s="10" t="s">
        <v>874</v>
      </c>
      <c r="C132" s="10" t="s">
        <v>18</v>
      </c>
      <c r="D132" s="10" t="s">
        <v>107</v>
      </c>
      <c r="E132" s="10" t="s">
        <v>632</v>
      </c>
      <c r="F132" s="10" t="s">
        <v>618</v>
      </c>
      <c r="G132" s="10" t="s">
        <v>156</v>
      </c>
      <c r="H132" s="10" t="s">
        <v>110</v>
      </c>
      <c r="I132" s="10" t="s">
        <v>1125</v>
      </c>
      <c r="J132" s="10" t="s">
        <v>1114</v>
      </c>
      <c r="K132" s="10" t="s">
        <v>1126</v>
      </c>
      <c r="L132" s="10" t="s">
        <v>947</v>
      </c>
      <c r="M132" s="10" t="s">
        <v>1119</v>
      </c>
      <c r="N132" s="10" t="s">
        <v>1104</v>
      </c>
      <c r="O132" s="10" t="s">
        <v>623</v>
      </c>
      <c r="P132" s="10" t="s">
        <v>1105</v>
      </c>
      <c r="Q132" s="10" t="s">
        <v>1105</v>
      </c>
    </row>
    <row r="133" spans="1:17">
      <c r="A133" s="10" t="s">
        <v>871</v>
      </c>
      <c r="B133" s="10" t="s">
        <v>872</v>
      </c>
      <c r="C133" s="10" t="s">
        <v>18</v>
      </c>
      <c r="D133" s="10" t="s">
        <v>107</v>
      </c>
      <c r="E133" s="10" t="s">
        <v>632</v>
      </c>
      <c r="F133" s="10" t="s">
        <v>618</v>
      </c>
      <c r="G133" s="10" t="s">
        <v>156</v>
      </c>
      <c r="H133" s="10" t="s">
        <v>110</v>
      </c>
      <c r="I133" s="10" t="s">
        <v>1111</v>
      </c>
      <c r="J133" s="10" t="s">
        <v>1101</v>
      </c>
      <c r="K133" s="10" t="s">
        <v>1112</v>
      </c>
      <c r="L133" s="10" t="s">
        <v>947</v>
      </c>
      <c r="M133" s="10" t="s">
        <v>1103</v>
      </c>
      <c r="N133" s="10" t="s">
        <v>1104</v>
      </c>
      <c r="O133" s="10" t="s">
        <v>216</v>
      </c>
      <c r="P133" s="10" t="s">
        <v>1105</v>
      </c>
      <c r="Q133" s="10" t="s">
        <v>1105</v>
      </c>
    </row>
    <row r="134" spans="1:17">
      <c r="A134" s="10" t="s">
        <v>869</v>
      </c>
      <c r="B134" s="10" t="s">
        <v>870</v>
      </c>
      <c r="C134" s="10" t="s">
        <v>18</v>
      </c>
      <c r="D134" s="10" t="s">
        <v>107</v>
      </c>
      <c r="E134" s="10" t="s">
        <v>632</v>
      </c>
      <c r="F134" s="10" t="s">
        <v>618</v>
      </c>
      <c r="G134" s="10" t="s">
        <v>156</v>
      </c>
      <c r="H134" s="10" t="s">
        <v>110</v>
      </c>
      <c r="I134" s="10" t="s">
        <v>1116</v>
      </c>
      <c r="J134" s="10" t="s">
        <v>1117</v>
      </c>
      <c r="K134" s="10" t="s">
        <v>1118</v>
      </c>
      <c r="L134" s="10" t="s">
        <v>947</v>
      </c>
      <c r="M134" s="10" t="s">
        <v>1119</v>
      </c>
      <c r="N134" s="10" t="s">
        <v>1104</v>
      </c>
      <c r="O134" s="10" t="s">
        <v>205</v>
      </c>
      <c r="P134" s="10" t="s">
        <v>1105</v>
      </c>
      <c r="Q134" s="10" t="s">
        <v>1105</v>
      </c>
    </row>
    <row r="135" spans="1:17">
      <c r="A135" s="10" t="s">
        <v>867</v>
      </c>
      <c r="B135" s="10" t="s">
        <v>868</v>
      </c>
      <c r="C135" s="10" t="s">
        <v>18</v>
      </c>
      <c r="D135" s="10" t="s">
        <v>107</v>
      </c>
      <c r="E135" s="10" t="s">
        <v>632</v>
      </c>
      <c r="F135" s="10" t="s">
        <v>618</v>
      </c>
      <c r="G135" s="10" t="s">
        <v>156</v>
      </c>
      <c r="H135" s="10" t="s">
        <v>110</v>
      </c>
      <c r="I135" s="10" t="s">
        <v>1111</v>
      </c>
      <c r="J135" s="10" t="s">
        <v>1101</v>
      </c>
      <c r="K135" s="10" t="s">
        <v>1112</v>
      </c>
      <c r="L135" s="10" t="s">
        <v>947</v>
      </c>
      <c r="M135" s="10" t="s">
        <v>1103</v>
      </c>
      <c r="N135" s="10" t="s">
        <v>1104</v>
      </c>
      <c r="O135" s="10" t="s">
        <v>205</v>
      </c>
      <c r="P135" s="10" t="s">
        <v>1105</v>
      </c>
      <c r="Q135" s="10" t="s">
        <v>1105</v>
      </c>
    </row>
    <row r="136" spans="1:17">
      <c r="A136" s="10" t="s">
        <v>865</v>
      </c>
      <c r="B136" s="10" t="s">
        <v>866</v>
      </c>
      <c r="C136" s="10" t="s">
        <v>18</v>
      </c>
      <c r="D136" s="10" t="s">
        <v>107</v>
      </c>
      <c r="E136" s="10" t="s">
        <v>632</v>
      </c>
      <c r="F136" s="10" t="s">
        <v>618</v>
      </c>
      <c r="G136" s="10" t="s">
        <v>156</v>
      </c>
      <c r="H136" s="10" t="s">
        <v>110</v>
      </c>
      <c r="I136" s="10" t="s">
        <v>1120</v>
      </c>
      <c r="J136" s="10" t="s">
        <v>1121</v>
      </c>
      <c r="K136" s="10" t="s">
        <v>1114</v>
      </c>
      <c r="L136" s="10" t="s">
        <v>947</v>
      </c>
      <c r="M136" s="10" t="s">
        <v>1103</v>
      </c>
      <c r="N136" s="10" t="s">
        <v>1104</v>
      </c>
      <c r="O136" s="10" t="s">
        <v>665</v>
      </c>
      <c r="P136" s="10" t="s">
        <v>1105</v>
      </c>
      <c r="Q136" s="10" t="s">
        <v>1105</v>
      </c>
    </row>
    <row r="137" spans="1:17">
      <c r="A137" s="10" t="s">
        <v>863</v>
      </c>
      <c r="B137" s="10" t="s">
        <v>864</v>
      </c>
      <c r="C137" s="10" t="s">
        <v>18</v>
      </c>
      <c r="D137" s="10" t="s">
        <v>107</v>
      </c>
      <c r="E137" s="10" t="s">
        <v>632</v>
      </c>
      <c r="F137" s="10" t="s">
        <v>618</v>
      </c>
      <c r="G137" s="10" t="s">
        <v>156</v>
      </c>
      <c r="H137" s="10" t="s">
        <v>110</v>
      </c>
      <c r="I137" s="10" t="s">
        <v>1120</v>
      </c>
      <c r="J137" s="10" t="s">
        <v>1121</v>
      </c>
      <c r="K137" s="10" t="s">
        <v>1114</v>
      </c>
      <c r="L137" s="10" t="s">
        <v>947</v>
      </c>
      <c r="M137" s="10" t="s">
        <v>1103</v>
      </c>
      <c r="N137" s="10" t="s">
        <v>1104</v>
      </c>
      <c r="O137" s="10" t="s">
        <v>665</v>
      </c>
      <c r="P137" s="10" t="s">
        <v>1105</v>
      </c>
      <c r="Q137" s="10" t="s">
        <v>1105</v>
      </c>
    </row>
    <row r="138" spans="1:17">
      <c r="A138" s="10" t="s">
        <v>861</v>
      </c>
      <c r="B138" s="10" t="s">
        <v>862</v>
      </c>
      <c r="C138" s="10" t="s">
        <v>18</v>
      </c>
      <c r="D138" s="10" t="s">
        <v>107</v>
      </c>
      <c r="E138" s="10" t="s">
        <v>632</v>
      </c>
      <c r="F138" s="10" t="s">
        <v>618</v>
      </c>
      <c r="G138" s="10" t="s">
        <v>156</v>
      </c>
      <c r="H138" s="10" t="s">
        <v>110</v>
      </c>
      <c r="I138" s="10" t="s">
        <v>1122</v>
      </c>
      <c r="J138" s="10" t="s">
        <v>1123</v>
      </c>
      <c r="K138" s="10" t="s">
        <v>1124</v>
      </c>
      <c r="L138" s="10" t="s">
        <v>947</v>
      </c>
      <c r="M138" s="10" t="s">
        <v>1103</v>
      </c>
      <c r="N138" s="10" t="s">
        <v>1104</v>
      </c>
      <c r="O138" s="10" t="s">
        <v>665</v>
      </c>
      <c r="P138" s="10" t="s">
        <v>1105</v>
      </c>
      <c r="Q138" s="10" t="s">
        <v>1105</v>
      </c>
    </row>
    <row r="139" spans="1:17">
      <c r="A139" s="10" t="s">
        <v>859</v>
      </c>
      <c r="B139" s="10" t="s">
        <v>860</v>
      </c>
      <c r="C139" s="10" t="s">
        <v>18</v>
      </c>
      <c r="D139" s="10" t="s">
        <v>107</v>
      </c>
      <c r="E139" s="10" t="s">
        <v>632</v>
      </c>
      <c r="F139" s="10" t="s">
        <v>618</v>
      </c>
      <c r="G139" s="10" t="s">
        <v>156</v>
      </c>
      <c r="H139" s="10" t="s">
        <v>110</v>
      </c>
      <c r="I139" s="10" t="s">
        <v>1122</v>
      </c>
      <c r="J139" s="10" t="s">
        <v>1123</v>
      </c>
      <c r="K139" s="10" t="s">
        <v>1124</v>
      </c>
      <c r="L139" s="10" t="s">
        <v>947</v>
      </c>
      <c r="M139" s="10" t="s">
        <v>1103</v>
      </c>
      <c r="N139" s="10" t="s">
        <v>1104</v>
      </c>
      <c r="O139" s="10" t="s">
        <v>665</v>
      </c>
      <c r="P139" s="10" t="s">
        <v>1105</v>
      </c>
      <c r="Q139" s="10" t="s">
        <v>1105</v>
      </c>
    </row>
    <row r="140" spans="1:17">
      <c r="A140" s="10" t="s">
        <v>857</v>
      </c>
      <c r="B140" s="10" t="s">
        <v>858</v>
      </c>
      <c r="C140" s="10" t="s">
        <v>18</v>
      </c>
      <c r="D140" s="10" t="s">
        <v>107</v>
      </c>
      <c r="E140" s="10" t="s">
        <v>676</v>
      </c>
      <c r="F140" s="10" t="s">
        <v>618</v>
      </c>
      <c r="G140" s="10" t="s">
        <v>156</v>
      </c>
      <c r="H140" s="10" t="s">
        <v>110</v>
      </c>
      <c r="I140" s="10" t="s">
        <v>1206</v>
      </c>
      <c r="J140" s="10" t="s">
        <v>1117</v>
      </c>
      <c r="K140" s="10" t="s">
        <v>1207</v>
      </c>
      <c r="L140" s="10" t="s">
        <v>947</v>
      </c>
      <c r="M140" s="10" t="s">
        <v>1119</v>
      </c>
      <c r="N140" s="10" t="s">
        <v>1104</v>
      </c>
      <c r="O140" s="10" t="s">
        <v>205</v>
      </c>
      <c r="P140" s="10" t="s">
        <v>1105</v>
      </c>
      <c r="Q140" s="10" t="s">
        <v>1105</v>
      </c>
    </row>
    <row r="141" spans="1:17">
      <c r="A141" s="10" t="s">
        <v>855</v>
      </c>
      <c r="B141" s="10" t="s">
        <v>856</v>
      </c>
      <c r="C141" s="10" t="s">
        <v>18</v>
      </c>
      <c r="D141" s="10" t="s">
        <v>107</v>
      </c>
      <c r="E141" s="10" t="s">
        <v>676</v>
      </c>
      <c r="F141" s="10" t="s">
        <v>618</v>
      </c>
      <c r="G141" s="10" t="s">
        <v>156</v>
      </c>
      <c r="H141" s="10" t="s">
        <v>110</v>
      </c>
      <c r="I141" s="10" t="s">
        <v>1111</v>
      </c>
      <c r="J141" s="10" t="s">
        <v>1101</v>
      </c>
      <c r="K141" s="10" t="s">
        <v>1112</v>
      </c>
      <c r="L141" s="10" t="s">
        <v>947</v>
      </c>
      <c r="M141" s="10" t="s">
        <v>1103</v>
      </c>
      <c r="N141" s="10" t="s">
        <v>1104</v>
      </c>
      <c r="O141" s="10" t="s">
        <v>205</v>
      </c>
      <c r="P141" s="10" t="s">
        <v>1105</v>
      </c>
      <c r="Q141" s="10" t="s">
        <v>1105</v>
      </c>
    </row>
    <row r="142" spans="1:17">
      <c r="A142" s="10" t="s">
        <v>853</v>
      </c>
      <c r="B142" s="10" t="s">
        <v>854</v>
      </c>
      <c r="C142" s="10" t="s">
        <v>18</v>
      </c>
      <c r="D142" s="10" t="s">
        <v>107</v>
      </c>
      <c r="E142" s="10" t="s">
        <v>676</v>
      </c>
      <c r="F142" s="10" t="s">
        <v>618</v>
      </c>
      <c r="G142" s="10" t="s">
        <v>156</v>
      </c>
      <c r="H142" s="10" t="s">
        <v>110</v>
      </c>
      <c r="I142" s="10" t="s">
        <v>1111</v>
      </c>
      <c r="J142" s="10" t="s">
        <v>1101</v>
      </c>
      <c r="K142" s="10" t="s">
        <v>1112</v>
      </c>
      <c r="L142" s="10" t="s">
        <v>947</v>
      </c>
      <c r="M142" s="10" t="s">
        <v>1103</v>
      </c>
      <c r="N142" s="10" t="s">
        <v>1104</v>
      </c>
      <c r="O142" s="10" t="s">
        <v>205</v>
      </c>
      <c r="P142" s="10" t="s">
        <v>1105</v>
      </c>
      <c r="Q142" s="10" t="s">
        <v>1105</v>
      </c>
    </row>
    <row r="143" spans="1:17">
      <c r="A143" s="10" t="s">
        <v>851</v>
      </c>
      <c r="B143" s="10" t="s">
        <v>852</v>
      </c>
      <c r="C143" s="10" t="s">
        <v>18</v>
      </c>
      <c r="D143" s="10" t="s">
        <v>107</v>
      </c>
      <c r="E143" s="10" t="s">
        <v>676</v>
      </c>
      <c r="F143" s="10" t="s">
        <v>618</v>
      </c>
      <c r="G143" s="10" t="s">
        <v>156</v>
      </c>
      <c r="H143" s="10" t="s">
        <v>110</v>
      </c>
      <c r="I143" s="10" t="s">
        <v>1113</v>
      </c>
      <c r="J143" s="10" t="s">
        <v>1114</v>
      </c>
      <c r="K143" s="10" t="s">
        <v>1115</v>
      </c>
      <c r="L143" s="10" t="s">
        <v>947</v>
      </c>
      <c r="M143" s="10" t="s">
        <v>1103</v>
      </c>
      <c r="N143" s="10" t="s">
        <v>1104</v>
      </c>
      <c r="O143" s="10" t="s">
        <v>623</v>
      </c>
      <c r="P143" s="10" t="s">
        <v>1105</v>
      </c>
      <c r="Q143" s="10" t="s">
        <v>1105</v>
      </c>
    </row>
    <row r="144" spans="1:17">
      <c r="A144" s="10" t="s">
        <v>849</v>
      </c>
      <c r="B144" s="10" t="s">
        <v>850</v>
      </c>
      <c r="C144" s="10" t="s">
        <v>18</v>
      </c>
      <c r="D144" s="10" t="s">
        <v>107</v>
      </c>
      <c r="E144" s="10" t="s">
        <v>676</v>
      </c>
      <c r="F144" s="10" t="s">
        <v>618</v>
      </c>
      <c r="G144" s="10" t="s">
        <v>156</v>
      </c>
      <c r="H144" s="10" t="s">
        <v>110</v>
      </c>
      <c r="I144" s="10" t="s">
        <v>1113</v>
      </c>
      <c r="J144" s="10" t="s">
        <v>1114</v>
      </c>
      <c r="K144" s="10" t="s">
        <v>1115</v>
      </c>
      <c r="L144" s="10" t="s">
        <v>947</v>
      </c>
      <c r="M144" s="10" t="s">
        <v>1103</v>
      </c>
      <c r="N144" s="10" t="s">
        <v>1104</v>
      </c>
      <c r="O144" s="10" t="s">
        <v>623</v>
      </c>
      <c r="P144" s="10" t="s">
        <v>1105</v>
      </c>
      <c r="Q144" s="10" t="s">
        <v>1105</v>
      </c>
    </row>
    <row r="145" spans="1:17">
      <c r="A145" s="10" t="s">
        <v>847</v>
      </c>
      <c r="B145" s="10" t="s">
        <v>848</v>
      </c>
      <c r="C145" s="10" t="s">
        <v>18</v>
      </c>
      <c r="D145" s="10" t="s">
        <v>107</v>
      </c>
      <c r="E145" s="10" t="s">
        <v>676</v>
      </c>
      <c r="F145" s="10" t="s">
        <v>618</v>
      </c>
      <c r="G145" s="10" t="s">
        <v>156</v>
      </c>
      <c r="H145" s="10" t="s">
        <v>110</v>
      </c>
      <c r="I145" s="10" t="s">
        <v>1113</v>
      </c>
      <c r="J145" s="10" t="s">
        <v>1114</v>
      </c>
      <c r="K145" s="10" t="s">
        <v>1115</v>
      </c>
      <c r="L145" s="10" t="s">
        <v>947</v>
      </c>
      <c r="M145" s="10" t="s">
        <v>1103</v>
      </c>
      <c r="N145" s="10" t="s">
        <v>1104</v>
      </c>
      <c r="O145" s="10" t="s">
        <v>623</v>
      </c>
      <c r="P145" s="10" t="s">
        <v>1105</v>
      </c>
      <c r="Q145" s="10" t="s">
        <v>1105</v>
      </c>
    </row>
    <row r="146" spans="1:17">
      <c r="A146" s="10" t="s">
        <v>845</v>
      </c>
      <c r="B146" s="10" t="s">
        <v>846</v>
      </c>
      <c r="C146" s="10" t="s">
        <v>18</v>
      </c>
      <c r="D146" s="10" t="s">
        <v>107</v>
      </c>
      <c r="E146" s="10" t="s">
        <v>617</v>
      </c>
      <c r="F146" s="10" t="s">
        <v>618</v>
      </c>
      <c r="G146" s="10" t="s">
        <v>156</v>
      </c>
      <c r="H146" s="10" t="s">
        <v>110</v>
      </c>
      <c r="I146" s="10" t="s">
        <v>1127</v>
      </c>
      <c r="J146" s="10" t="s">
        <v>1128</v>
      </c>
      <c r="K146" s="10" t="s">
        <v>1126</v>
      </c>
      <c r="L146" s="10" t="s">
        <v>947</v>
      </c>
      <c r="M146" s="10" t="s">
        <v>1129</v>
      </c>
      <c r="N146" s="10" t="s">
        <v>1104</v>
      </c>
      <c r="O146" s="10" t="s">
        <v>377</v>
      </c>
      <c r="P146" s="10" t="s">
        <v>1105</v>
      </c>
      <c r="Q146" s="10" t="s">
        <v>1105</v>
      </c>
    </row>
    <row r="147" spans="1:17" ht="36">
      <c r="A147" s="10" t="s">
        <v>843</v>
      </c>
      <c r="B147" s="10" t="s">
        <v>844</v>
      </c>
      <c r="C147" s="10" t="s">
        <v>18</v>
      </c>
      <c r="D147" s="10" t="s">
        <v>721</v>
      </c>
      <c r="E147" s="10" t="s">
        <v>722</v>
      </c>
      <c r="F147" s="10" t="s">
        <v>722</v>
      </c>
      <c r="G147" s="10" t="s">
        <v>723</v>
      </c>
      <c r="H147" s="10" t="s">
        <v>83</v>
      </c>
      <c r="I147" s="10" t="s">
        <v>1200</v>
      </c>
      <c r="J147" s="10" t="s">
        <v>1201</v>
      </c>
      <c r="K147" s="10" t="s">
        <v>1202</v>
      </c>
      <c r="L147" s="10" t="s">
        <v>723</v>
      </c>
      <c r="M147" s="10" t="s">
        <v>1129</v>
      </c>
      <c r="N147" s="10" t="s">
        <v>1142</v>
      </c>
      <c r="O147" s="10" t="s">
        <v>1143</v>
      </c>
      <c r="P147" s="10" t="s">
        <v>1105</v>
      </c>
      <c r="Q147" s="10" t="s">
        <v>1105</v>
      </c>
    </row>
    <row r="148" spans="1:17" ht="36">
      <c r="A148" s="10" t="s">
        <v>841</v>
      </c>
      <c r="B148" s="10" t="s">
        <v>842</v>
      </c>
      <c r="C148" s="10" t="s">
        <v>18</v>
      </c>
      <c r="D148" s="10" t="s">
        <v>721</v>
      </c>
      <c r="E148" s="10" t="s">
        <v>722</v>
      </c>
      <c r="F148" s="10" t="s">
        <v>722</v>
      </c>
      <c r="G148" s="10" t="s">
        <v>723</v>
      </c>
      <c r="H148" s="10" t="s">
        <v>83</v>
      </c>
      <c r="I148" s="10" t="s">
        <v>1200</v>
      </c>
      <c r="J148" s="10" t="s">
        <v>1201</v>
      </c>
      <c r="K148" s="10" t="s">
        <v>1202</v>
      </c>
      <c r="L148" s="10" t="s">
        <v>723</v>
      </c>
      <c r="M148" s="10" t="s">
        <v>1129</v>
      </c>
      <c r="N148" s="10" t="s">
        <v>1142</v>
      </c>
      <c r="O148" s="10" t="s">
        <v>1143</v>
      </c>
      <c r="P148" s="10" t="s">
        <v>1105</v>
      </c>
      <c r="Q148" s="10" t="s">
        <v>1105</v>
      </c>
    </row>
    <row r="149" spans="1:17" ht="36">
      <c r="A149" s="10" t="s">
        <v>839</v>
      </c>
      <c r="B149" s="10" t="s">
        <v>840</v>
      </c>
      <c r="C149" s="10" t="s">
        <v>18</v>
      </c>
      <c r="D149" s="10" t="s">
        <v>721</v>
      </c>
      <c r="E149" s="10" t="s">
        <v>722</v>
      </c>
      <c r="F149" s="10" t="s">
        <v>722</v>
      </c>
      <c r="G149" s="10" t="s">
        <v>723</v>
      </c>
      <c r="H149" s="10" t="s">
        <v>83</v>
      </c>
      <c r="I149" s="10" t="s">
        <v>1140</v>
      </c>
      <c r="J149" s="10" t="s">
        <v>1135</v>
      </c>
      <c r="K149" s="10" t="s">
        <v>1141</v>
      </c>
      <c r="L149" s="10" t="s">
        <v>723</v>
      </c>
      <c r="M149" s="10" t="s">
        <v>1129</v>
      </c>
      <c r="N149" s="10" t="s">
        <v>1142</v>
      </c>
      <c r="O149" s="10" t="s">
        <v>1143</v>
      </c>
      <c r="P149" s="10" t="s">
        <v>1105</v>
      </c>
      <c r="Q149" s="10" t="s">
        <v>1105</v>
      </c>
    </row>
    <row r="150" spans="1:17" ht="36">
      <c r="A150" s="10" t="s">
        <v>837</v>
      </c>
      <c r="B150" s="10" t="s">
        <v>838</v>
      </c>
      <c r="C150" s="10" t="s">
        <v>18</v>
      </c>
      <c r="D150" s="10" t="s">
        <v>721</v>
      </c>
      <c r="E150" s="10" t="s">
        <v>722</v>
      </c>
      <c r="F150" s="10" t="s">
        <v>722</v>
      </c>
      <c r="G150" s="10" t="s">
        <v>723</v>
      </c>
      <c r="H150" s="10" t="s">
        <v>83</v>
      </c>
      <c r="I150" s="10" t="s">
        <v>1140</v>
      </c>
      <c r="J150" s="10" t="s">
        <v>1135</v>
      </c>
      <c r="K150" s="10" t="s">
        <v>1141</v>
      </c>
      <c r="L150" s="10" t="s">
        <v>723</v>
      </c>
      <c r="M150" s="10" t="s">
        <v>1129</v>
      </c>
      <c r="N150" s="10" t="s">
        <v>1142</v>
      </c>
      <c r="O150" s="10" t="s">
        <v>1143</v>
      </c>
      <c r="P150" s="10" t="s">
        <v>1105</v>
      </c>
      <c r="Q150" s="10" t="s">
        <v>1105</v>
      </c>
    </row>
    <row r="151" spans="1:17">
      <c r="A151" s="10" t="s">
        <v>835</v>
      </c>
      <c r="B151" s="10" t="s">
        <v>836</v>
      </c>
      <c r="C151" s="10" t="s">
        <v>18</v>
      </c>
      <c r="D151" s="10" t="s">
        <v>107</v>
      </c>
      <c r="E151" s="10" t="s">
        <v>676</v>
      </c>
      <c r="F151" s="10" t="s">
        <v>618</v>
      </c>
      <c r="G151" s="10" t="s">
        <v>156</v>
      </c>
      <c r="H151" s="10" t="s">
        <v>110</v>
      </c>
      <c r="I151" s="10" t="s">
        <v>1113</v>
      </c>
      <c r="J151" s="10" t="s">
        <v>1114</v>
      </c>
      <c r="K151" s="10" t="s">
        <v>1115</v>
      </c>
      <c r="L151" s="10" t="s">
        <v>947</v>
      </c>
      <c r="M151" s="10" t="s">
        <v>1103</v>
      </c>
      <c r="N151" s="10" t="s">
        <v>1104</v>
      </c>
      <c r="O151" s="10" t="s">
        <v>623</v>
      </c>
      <c r="P151" s="10" t="s">
        <v>1105</v>
      </c>
      <c r="Q151" s="10" t="s">
        <v>1105</v>
      </c>
    </row>
    <row r="152" spans="1:17">
      <c r="A152" s="10" t="s">
        <v>833</v>
      </c>
      <c r="B152" s="10" t="s">
        <v>834</v>
      </c>
      <c r="C152" s="10" t="s">
        <v>18</v>
      </c>
      <c r="D152" s="10" t="s">
        <v>107</v>
      </c>
      <c r="E152" s="10" t="s">
        <v>676</v>
      </c>
      <c r="F152" s="10" t="s">
        <v>618</v>
      </c>
      <c r="G152" s="10" t="s">
        <v>156</v>
      </c>
      <c r="H152" s="10" t="s">
        <v>110</v>
      </c>
      <c r="I152" s="10" t="s">
        <v>1113</v>
      </c>
      <c r="J152" s="10" t="s">
        <v>1114</v>
      </c>
      <c r="K152" s="10" t="s">
        <v>1115</v>
      </c>
      <c r="L152" s="10" t="s">
        <v>947</v>
      </c>
      <c r="M152" s="10" t="s">
        <v>1103</v>
      </c>
      <c r="N152" s="10" t="s">
        <v>1104</v>
      </c>
      <c r="O152" s="10" t="s">
        <v>623</v>
      </c>
      <c r="P152" s="10" t="s">
        <v>1105</v>
      </c>
      <c r="Q152" s="10" t="s">
        <v>1105</v>
      </c>
    </row>
    <row r="153" spans="1:17">
      <c r="A153" s="10" t="s">
        <v>831</v>
      </c>
      <c r="B153" s="10" t="s">
        <v>832</v>
      </c>
      <c r="C153" s="10" t="s">
        <v>18</v>
      </c>
      <c r="D153" s="10" t="s">
        <v>107</v>
      </c>
      <c r="E153" s="10" t="s">
        <v>632</v>
      </c>
      <c r="F153" s="10" t="s">
        <v>618</v>
      </c>
      <c r="G153" s="10" t="s">
        <v>156</v>
      </c>
      <c r="H153" s="10" t="s">
        <v>110</v>
      </c>
      <c r="I153" s="10" t="s">
        <v>1120</v>
      </c>
      <c r="J153" s="10" t="s">
        <v>1121</v>
      </c>
      <c r="K153" s="10" t="s">
        <v>1114</v>
      </c>
      <c r="L153" s="10" t="s">
        <v>947</v>
      </c>
      <c r="M153" s="10" t="s">
        <v>1103</v>
      </c>
      <c r="N153" s="10" t="s">
        <v>1104</v>
      </c>
      <c r="O153" s="10" t="s">
        <v>665</v>
      </c>
      <c r="P153" s="10" t="s">
        <v>1105</v>
      </c>
      <c r="Q153" s="10" t="s">
        <v>1105</v>
      </c>
    </row>
    <row r="154" spans="1:17">
      <c r="A154" s="10" t="s">
        <v>829</v>
      </c>
      <c r="B154" s="10" t="s">
        <v>830</v>
      </c>
      <c r="C154" s="10" t="s">
        <v>18</v>
      </c>
      <c r="D154" s="10" t="s">
        <v>107</v>
      </c>
      <c r="E154" s="10" t="s">
        <v>632</v>
      </c>
      <c r="F154" s="10" t="s">
        <v>618</v>
      </c>
      <c r="G154" s="10" t="s">
        <v>156</v>
      </c>
      <c r="H154" s="10" t="s">
        <v>110</v>
      </c>
      <c r="I154" s="10" t="s">
        <v>1120</v>
      </c>
      <c r="J154" s="10" t="s">
        <v>1121</v>
      </c>
      <c r="K154" s="10" t="s">
        <v>1114</v>
      </c>
      <c r="L154" s="10" t="s">
        <v>947</v>
      </c>
      <c r="M154" s="10" t="s">
        <v>1103</v>
      </c>
      <c r="N154" s="10" t="s">
        <v>1104</v>
      </c>
      <c r="O154" s="10" t="s">
        <v>665</v>
      </c>
      <c r="P154" s="10" t="s">
        <v>1105</v>
      </c>
      <c r="Q154" s="10" t="s">
        <v>1105</v>
      </c>
    </row>
    <row r="155" spans="1:17">
      <c r="A155" s="10" t="s">
        <v>827</v>
      </c>
      <c r="B155" s="10" t="s">
        <v>828</v>
      </c>
      <c r="C155" s="10" t="s">
        <v>18</v>
      </c>
      <c r="D155" s="10" t="s">
        <v>107</v>
      </c>
      <c r="E155" s="10" t="s">
        <v>617</v>
      </c>
      <c r="F155" s="10" t="s">
        <v>618</v>
      </c>
      <c r="G155" s="10" t="s">
        <v>156</v>
      </c>
      <c r="H155" s="10" t="s">
        <v>110</v>
      </c>
      <c r="I155" s="10" t="s">
        <v>1120</v>
      </c>
      <c r="J155" s="10" t="s">
        <v>1121</v>
      </c>
      <c r="K155" s="10" t="s">
        <v>1114</v>
      </c>
      <c r="L155" s="10" t="s">
        <v>947</v>
      </c>
      <c r="M155" s="10" t="s">
        <v>1103</v>
      </c>
      <c r="N155" s="10" t="s">
        <v>1104</v>
      </c>
      <c r="O155" s="10" t="s">
        <v>665</v>
      </c>
      <c r="P155" s="10" t="s">
        <v>1105</v>
      </c>
      <c r="Q155" s="10" t="s">
        <v>1105</v>
      </c>
    </row>
    <row r="156" spans="1:17">
      <c r="A156" s="10" t="s">
        <v>825</v>
      </c>
      <c r="B156" s="10" t="s">
        <v>826</v>
      </c>
      <c r="C156" s="10" t="s">
        <v>18</v>
      </c>
      <c r="D156" s="10" t="s">
        <v>107</v>
      </c>
      <c r="E156" s="10" t="s">
        <v>617</v>
      </c>
      <c r="F156" s="10" t="s">
        <v>618</v>
      </c>
      <c r="G156" s="10" t="s">
        <v>156</v>
      </c>
      <c r="H156" s="10" t="s">
        <v>110</v>
      </c>
      <c r="I156" s="10" t="s">
        <v>1120</v>
      </c>
      <c r="J156" s="10" t="s">
        <v>1121</v>
      </c>
      <c r="K156" s="10" t="s">
        <v>1114</v>
      </c>
      <c r="L156" s="10" t="s">
        <v>947</v>
      </c>
      <c r="M156" s="10" t="s">
        <v>1103</v>
      </c>
      <c r="N156" s="10" t="s">
        <v>1104</v>
      </c>
      <c r="O156" s="10" t="s">
        <v>665</v>
      </c>
      <c r="P156" s="10" t="s">
        <v>1105</v>
      </c>
      <c r="Q156" s="10" t="s">
        <v>1105</v>
      </c>
    </row>
    <row r="157" spans="1:17">
      <c r="A157" s="10" t="s">
        <v>823</v>
      </c>
      <c r="B157" s="10" t="s">
        <v>824</v>
      </c>
      <c r="C157" s="10" t="s">
        <v>18</v>
      </c>
      <c r="D157" s="10" t="s">
        <v>535</v>
      </c>
      <c r="E157" s="10" t="s">
        <v>698</v>
      </c>
      <c r="F157" s="10" t="s">
        <v>535</v>
      </c>
      <c r="G157" s="10" t="s">
        <v>22</v>
      </c>
      <c r="H157" s="10" t="s">
        <v>535</v>
      </c>
      <c r="I157" s="10" t="s">
        <v>1148</v>
      </c>
      <c r="J157" s="10" t="s">
        <v>1114</v>
      </c>
      <c r="K157" s="10" t="s">
        <v>1124</v>
      </c>
      <c r="L157" s="10" t="s">
        <v>954</v>
      </c>
      <c r="M157" s="10" t="s">
        <v>1103</v>
      </c>
      <c r="N157" s="10" t="s">
        <v>1104</v>
      </c>
      <c r="O157" s="10" t="s">
        <v>1149</v>
      </c>
      <c r="P157" s="10" t="s">
        <v>1105</v>
      </c>
      <c r="Q157" s="10" t="s">
        <v>1105</v>
      </c>
    </row>
    <row r="158" spans="1:17">
      <c r="A158" s="10" t="s">
        <v>1208</v>
      </c>
      <c r="B158" s="10" t="s">
        <v>1209</v>
      </c>
      <c r="C158" s="10" t="s">
        <v>18</v>
      </c>
      <c r="D158" s="10" t="s">
        <v>107</v>
      </c>
      <c r="E158" s="10" t="s">
        <v>394</v>
      </c>
      <c r="F158" s="10" t="s">
        <v>30</v>
      </c>
      <c r="G158" s="10" t="s">
        <v>22</v>
      </c>
      <c r="H158" s="10" t="s">
        <v>110</v>
      </c>
      <c r="I158" s="10" t="s">
        <v>1148</v>
      </c>
      <c r="J158" s="10" t="s">
        <v>1101</v>
      </c>
      <c r="K158" s="10" t="s">
        <v>1151</v>
      </c>
      <c r="L158" s="10" t="s">
        <v>947</v>
      </c>
      <c r="M158" s="10" t="s">
        <v>1119</v>
      </c>
      <c r="N158" s="10" t="s">
        <v>1104</v>
      </c>
      <c r="O158" s="10" t="s">
        <v>351</v>
      </c>
      <c r="P158" s="10" t="s">
        <v>1105</v>
      </c>
      <c r="Q158" s="10" t="s">
        <v>1105</v>
      </c>
    </row>
    <row r="159" spans="1:17">
      <c r="A159" s="10" t="s">
        <v>821</v>
      </c>
      <c r="B159" s="10" t="s">
        <v>822</v>
      </c>
      <c r="C159" s="10" t="s">
        <v>147</v>
      </c>
      <c r="D159" s="10" t="s">
        <v>29</v>
      </c>
      <c r="E159" s="10" t="s">
        <v>29</v>
      </c>
      <c r="F159" s="10" t="s">
        <v>22</v>
      </c>
      <c r="G159" s="10" t="s">
        <v>22</v>
      </c>
      <c r="H159" s="10" t="s">
        <v>29</v>
      </c>
      <c r="I159" s="10" t="s">
        <v>1116</v>
      </c>
      <c r="J159" s="10" t="s">
        <v>1135</v>
      </c>
      <c r="K159" s="10" t="s">
        <v>1124</v>
      </c>
      <c r="L159" s="10" t="s">
        <v>954</v>
      </c>
      <c r="M159" s="10" t="s">
        <v>954</v>
      </c>
      <c r="N159" s="10" t="s">
        <v>1104</v>
      </c>
      <c r="O159" s="10" t="s">
        <v>1149</v>
      </c>
      <c r="P159" s="10" t="s">
        <v>1105</v>
      </c>
      <c r="Q159" s="10" t="s">
        <v>1105</v>
      </c>
    </row>
    <row r="160" spans="1:17">
      <c r="A160" s="10" t="s">
        <v>819</v>
      </c>
      <c r="B160" s="10" t="s">
        <v>820</v>
      </c>
      <c r="C160" s="10" t="s">
        <v>140</v>
      </c>
      <c r="D160" s="10" t="s">
        <v>29</v>
      </c>
      <c r="E160" s="10" t="s">
        <v>29</v>
      </c>
      <c r="F160" s="10" t="s">
        <v>355</v>
      </c>
      <c r="G160" s="10" t="s">
        <v>22</v>
      </c>
      <c r="H160" s="10" t="s">
        <v>29</v>
      </c>
      <c r="I160" s="10" t="s">
        <v>1116</v>
      </c>
      <c r="J160" s="10" t="s">
        <v>1135</v>
      </c>
      <c r="K160" s="10" t="s">
        <v>1124</v>
      </c>
      <c r="L160" s="10" t="s">
        <v>954</v>
      </c>
      <c r="M160" s="10" t="s">
        <v>954</v>
      </c>
      <c r="N160" s="10" t="s">
        <v>1104</v>
      </c>
      <c r="O160" s="10" t="s">
        <v>1149</v>
      </c>
      <c r="P160" s="10" t="s">
        <v>1105</v>
      </c>
      <c r="Q160" s="10" t="s">
        <v>1105</v>
      </c>
    </row>
    <row r="161" spans="1:17">
      <c r="A161" s="10" t="s">
        <v>817</v>
      </c>
      <c r="B161" s="10" t="s">
        <v>818</v>
      </c>
      <c r="C161" s="10" t="s">
        <v>50</v>
      </c>
      <c r="D161" s="10" t="s">
        <v>29</v>
      </c>
      <c r="E161" s="10" t="s">
        <v>29</v>
      </c>
      <c r="F161" s="10" t="s">
        <v>51</v>
      </c>
      <c r="G161" s="10" t="s">
        <v>22</v>
      </c>
      <c r="H161" s="10" t="s">
        <v>29</v>
      </c>
      <c r="I161" s="10" t="s">
        <v>1116</v>
      </c>
      <c r="J161" s="10" t="s">
        <v>1114</v>
      </c>
      <c r="K161" s="10" t="s">
        <v>1210</v>
      </c>
      <c r="L161" s="10" t="s">
        <v>947</v>
      </c>
      <c r="M161" s="10" t="s">
        <v>1119</v>
      </c>
      <c r="N161" s="10" t="s">
        <v>1104</v>
      </c>
      <c r="O161" s="10" t="s">
        <v>1146</v>
      </c>
      <c r="P161" s="10" t="s">
        <v>1105</v>
      </c>
      <c r="Q161" s="10" t="s">
        <v>1105</v>
      </c>
    </row>
    <row r="162" spans="1:17">
      <c r="A162" s="10" t="s">
        <v>815</v>
      </c>
      <c r="B162" s="10" t="s">
        <v>816</v>
      </c>
      <c r="C162" s="10" t="s">
        <v>50</v>
      </c>
      <c r="D162" s="10" t="s">
        <v>29</v>
      </c>
      <c r="E162" s="10" t="s">
        <v>29</v>
      </c>
      <c r="F162" s="10" t="s">
        <v>56</v>
      </c>
      <c r="G162" s="10" t="s">
        <v>22</v>
      </c>
      <c r="H162" s="10" t="s">
        <v>29</v>
      </c>
      <c r="I162" s="10" t="s">
        <v>1116</v>
      </c>
      <c r="J162" s="10" t="s">
        <v>1135</v>
      </c>
      <c r="K162" s="10" t="s">
        <v>1124</v>
      </c>
      <c r="L162" s="10" t="s">
        <v>947</v>
      </c>
      <c r="M162" s="10" t="s">
        <v>1119</v>
      </c>
      <c r="N162" s="10" t="s">
        <v>1104</v>
      </c>
      <c r="O162" s="10" t="s">
        <v>1146</v>
      </c>
      <c r="P162" s="10" t="s">
        <v>1105</v>
      </c>
      <c r="Q162" s="10" t="s">
        <v>1105</v>
      </c>
    </row>
    <row r="163" spans="1:17">
      <c r="A163" s="10" t="s">
        <v>813</v>
      </c>
      <c r="B163" s="10" t="s">
        <v>814</v>
      </c>
      <c r="C163" s="10" t="s">
        <v>59</v>
      </c>
      <c r="D163" s="10" t="s">
        <v>29</v>
      </c>
      <c r="E163" s="10" t="s">
        <v>29</v>
      </c>
      <c r="F163" s="10" t="s">
        <v>38</v>
      </c>
      <c r="G163" s="10" t="s">
        <v>38</v>
      </c>
      <c r="H163" s="10" t="s">
        <v>29</v>
      </c>
      <c r="I163" s="10" t="s">
        <v>1211</v>
      </c>
      <c r="J163" s="10" t="s">
        <v>1135</v>
      </c>
      <c r="K163" s="10" t="s">
        <v>1126</v>
      </c>
      <c r="L163" s="10" t="s">
        <v>947</v>
      </c>
      <c r="M163" s="10" t="s">
        <v>1119</v>
      </c>
      <c r="N163" s="10" t="s">
        <v>1104</v>
      </c>
      <c r="O163" s="10" t="s">
        <v>1134</v>
      </c>
      <c r="P163" s="10" t="s">
        <v>1105</v>
      </c>
      <c r="Q163" s="10" t="s">
        <v>1105</v>
      </c>
    </row>
    <row r="164" spans="1:17">
      <c r="A164" s="10" t="s">
        <v>811</v>
      </c>
      <c r="B164" s="10" t="s">
        <v>812</v>
      </c>
      <c r="C164" s="10" t="s">
        <v>59</v>
      </c>
      <c r="D164" s="10" t="s">
        <v>29</v>
      </c>
      <c r="E164" s="10" t="s">
        <v>29</v>
      </c>
      <c r="F164" s="10" t="s">
        <v>42</v>
      </c>
      <c r="G164" s="10" t="s">
        <v>42</v>
      </c>
      <c r="H164" s="10" t="s">
        <v>29</v>
      </c>
      <c r="I164" s="10" t="s">
        <v>1211</v>
      </c>
      <c r="J164" s="10" t="s">
        <v>1135</v>
      </c>
      <c r="K164" s="10" t="s">
        <v>1126</v>
      </c>
      <c r="L164" s="10" t="s">
        <v>947</v>
      </c>
      <c r="M164" s="10" t="s">
        <v>1119</v>
      </c>
      <c r="N164" s="10" t="s">
        <v>1104</v>
      </c>
      <c r="O164" s="10" t="s">
        <v>1134</v>
      </c>
      <c r="P164" s="10" t="s">
        <v>1105</v>
      </c>
      <c r="Q164" s="10" t="s">
        <v>1105</v>
      </c>
    </row>
    <row r="165" spans="1:17">
      <c r="A165" s="10" t="s">
        <v>809</v>
      </c>
      <c r="B165" s="10" t="s">
        <v>810</v>
      </c>
      <c r="C165" s="10" t="s">
        <v>59</v>
      </c>
      <c r="D165" s="10" t="s">
        <v>29</v>
      </c>
      <c r="E165" s="10" t="s">
        <v>29</v>
      </c>
      <c r="F165" s="10" t="s">
        <v>156</v>
      </c>
      <c r="G165" s="10" t="s">
        <v>156</v>
      </c>
      <c r="H165" s="10" t="s">
        <v>29</v>
      </c>
      <c r="I165" s="10" t="s">
        <v>1211</v>
      </c>
      <c r="J165" s="10" t="s">
        <v>1135</v>
      </c>
      <c r="K165" s="10" t="s">
        <v>1126</v>
      </c>
      <c r="L165" s="10" t="s">
        <v>947</v>
      </c>
      <c r="M165" s="10" t="s">
        <v>1119</v>
      </c>
      <c r="N165" s="10" t="s">
        <v>1104</v>
      </c>
      <c r="O165" s="10" t="s">
        <v>205</v>
      </c>
      <c r="P165" s="10" t="s">
        <v>1105</v>
      </c>
      <c r="Q165" s="10" t="s">
        <v>1105</v>
      </c>
    </row>
    <row r="166" spans="1:17">
      <c r="A166" s="10" t="s">
        <v>807</v>
      </c>
      <c r="B166" s="10" t="s">
        <v>808</v>
      </c>
      <c r="C166" s="10" t="s">
        <v>147</v>
      </c>
      <c r="D166" s="10" t="s">
        <v>29</v>
      </c>
      <c r="E166" s="10" t="s">
        <v>29</v>
      </c>
      <c r="F166" s="10" t="s">
        <v>21</v>
      </c>
      <c r="G166" s="10" t="s">
        <v>22</v>
      </c>
      <c r="H166" s="10" t="s">
        <v>29</v>
      </c>
      <c r="I166" s="10" t="s">
        <v>1116</v>
      </c>
      <c r="J166" s="10" t="s">
        <v>1135</v>
      </c>
      <c r="K166" s="10" t="s">
        <v>1124</v>
      </c>
      <c r="L166" s="10" t="s">
        <v>954</v>
      </c>
      <c r="M166" s="10" t="s">
        <v>1119</v>
      </c>
      <c r="N166" s="10" t="s">
        <v>1104</v>
      </c>
      <c r="O166" s="10" t="s">
        <v>1149</v>
      </c>
      <c r="P166" s="10" t="s">
        <v>1105</v>
      </c>
      <c r="Q166" s="10" t="s">
        <v>1105</v>
      </c>
    </row>
    <row r="167" spans="1:17">
      <c r="A167" s="10" t="s">
        <v>805</v>
      </c>
      <c r="B167" s="10" t="s">
        <v>806</v>
      </c>
      <c r="C167" s="10" t="s">
        <v>59</v>
      </c>
      <c r="D167" s="10" t="s">
        <v>29</v>
      </c>
      <c r="E167" s="10" t="s">
        <v>29</v>
      </c>
      <c r="F167" s="10" t="s">
        <v>156</v>
      </c>
      <c r="G167" s="10" t="s">
        <v>156</v>
      </c>
      <c r="H167" s="10" t="s">
        <v>29</v>
      </c>
      <c r="I167" s="10" t="s">
        <v>1211</v>
      </c>
      <c r="J167" s="10" t="s">
        <v>1135</v>
      </c>
      <c r="K167" s="10" t="s">
        <v>1126</v>
      </c>
      <c r="L167" s="10" t="s">
        <v>947</v>
      </c>
      <c r="M167" s="10" t="s">
        <v>1119</v>
      </c>
      <c r="N167" s="10" t="s">
        <v>1104</v>
      </c>
      <c r="O167" s="10" t="s">
        <v>205</v>
      </c>
      <c r="P167" s="10" t="s">
        <v>1105</v>
      </c>
      <c r="Q167" s="10" t="s">
        <v>1105</v>
      </c>
    </row>
    <row r="168" spans="1:17">
      <c r="A168" s="10" t="s">
        <v>803</v>
      </c>
      <c r="B168" s="10" t="s">
        <v>804</v>
      </c>
      <c r="C168" s="10" t="s">
        <v>147</v>
      </c>
      <c r="D168" s="10" t="s">
        <v>29</v>
      </c>
      <c r="E168" s="10" t="s">
        <v>29</v>
      </c>
      <c r="F168" s="10" t="s">
        <v>38</v>
      </c>
      <c r="G168" s="10" t="s">
        <v>38</v>
      </c>
      <c r="H168" s="10" t="s">
        <v>29</v>
      </c>
      <c r="I168" s="10" t="s">
        <v>1116</v>
      </c>
      <c r="J168" s="10" t="s">
        <v>1135</v>
      </c>
      <c r="K168" s="10" t="s">
        <v>1124</v>
      </c>
      <c r="L168" s="10" t="s">
        <v>954</v>
      </c>
      <c r="M168" s="10" t="s">
        <v>954</v>
      </c>
      <c r="N168" s="10" t="s">
        <v>1104</v>
      </c>
      <c r="O168" s="10" t="s">
        <v>1149</v>
      </c>
      <c r="P168" s="10" t="s">
        <v>1105</v>
      </c>
      <c r="Q168" s="10" t="s">
        <v>1105</v>
      </c>
    </row>
    <row r="169" spans="1:17">
      <c r="A169" s="10" t="s">
        <v>801</v>
      </c>
      <c r="B169" s="10" t="s">
        <v>802</v>
      </c>
      <c r="C169" s="10" t="s">
        <v>18</v>
      </c>
      <c r="D169" s="10" t="s">
        <v>80</v>
      </c>
      <c r="E169" s="10" t="s">
        <v>92</v>
      </c>
      <c r="F169" s="10" t="s">
        <v>93</v>
      </c>
      <c r="G169" s="10" t="s">
        <v>42</v>
      </c>
      <c r="H169" s="10" t="s">
        <v>83</v>
      </c>
      <c r="I169" s="10" t="s">
        <v>1154</v>
      </c>
      <c r="J169" s="10" t="s">
        <v>1123</v>
      </c>
      <c r="K169" s="10" t="s">
        <v>1155</v>
      </c>
      <c r="L169" s="10" t="s">
        <v>947</v>
      </c>
      <c r="M169" s="10" t="s">
        <v>1103</v>
      </c>
      <c r="N169" s="10" t="s">
        <v>1104</v>
      </c>
      <c r="O169" s="10" t="s">
        <v>1131</v>
      </c>
      <c r="P169" s="10" t="s">
        <v>1105</v>
      </c>
      <c r="Q169" s="10" t="s">
        <v>1105</v>
      </c>
    </row>
    <row r="170" spans="1:17">
      <c r="A170" s="10" t="s">
        <v>799</v>
      </c>
      <c r="B170" s="10" t="s">
        <v>800</v>
      </c>
      <c r="C170" s="10" t="s">
        <v>18</v>
      </c>
      <c r="D170" s="10" t="s">
        <v>80</v>
      </c>
      <c r="E170" s="10" t="s">
        <v>81</v>
      </c>
      <c r="F170" s="10" t="s">
        <v>82</v>
      </c>
      <c r="G170" s="10" t="s">
        <v>38</v>
      </c>
      <c r="H170" s="10" t="s">
        <v>83</v>
      </c>
      <c r="I170" s="10" t="s">
        <v>1154</v>
      </c>
      <c r="J170" s="10" t="s">
        <v>1123</v>
      </c>
      <c r="K170" s="10" t="s">
        <v>1155</v>
      </c>
      <c r="L170" s="10" t="s">
        <v>947</v>
      </c>
      <c r="M170" s="10" t="s">
        <v>1103</v>
      </c>
      <c r="N170" s="10" t="s">
        <v>1104</v>
      </c>
      <c r="O170" s="10" t="s">
        <v>1131</v>
      </c>
      <c r="P170" s="10" t="s">
        <v>1105</v>
      </c>
      <c r="Q170" s="10" t="s">
        <v>1105</v>
      </c>
    </row>
    <row r="171" spans="1:17">
      <c r="A171" s="10" t="s">
        <v>797</v>
      </c>
      <c r="B171" s="10" t="s">
        <v>798</v>
      </c>
      <c r="C171" s="10" t="s">
        <v>18</v>
      </c>
      <c r="D171" s="10" t="s">
        <v>80</v>
      </c>
      <c r="E171" s="10" t="s">
        <v>81</v>
      </c>
      <c r="F171" s="10" t="s">
        <v>82</v>
      </c>
      <c r="G171" s="10" t="s">
        <v>38</v>
      </c>
      <c r="H171" s="10" t="s">
        <v>83</v>
      </c>
      <c r="I171" s="10" t="s">
        <v>1148</v>
      </c>
      <c r="J171" s="10" t="s">
        <v>1114</v>
      </c>
      <c r="K171" s="10" t="s">
        <v>1124</v>
      </c>
      <c r="L171" s="10" t="s">
        <v>954</v>
      </c>
      <c r="M171" s="10" t="s">
        <v>954</v>
      </c>
      <c r="N171" s="10" t="s">
        <v>1104</v>
      </c>
      <c r="O171" s="10" t="s">
        <v>1149</v>
      </c>
      <c r="P171" s="10" t="s">
        <v>1105</v>
      </c>
      <c r="Q171" s="10" t="s">
        <v>1105</v>
      </c>
    </row>
    <row r="172" spans="1:17">
      <c r="A172" s="10" t="s">
        <v>795</v>
      </c>
      <c r="B172" s="10" t="s">
        <v>796</v>
      </c>
      <c r="C172" s="10" t="s">
        <v>18</v>
      </c>
      <c r="D172" s="10" t="s">
        <v>80</v>
      </c>
      <c r="E172" s="10" t="s">
        <v>92</v>
      </c>
      <c r="F172" s="10" t="s">
        <v>93</v>
      </c>
      <c r="G172" s="10" t="s">
        <v>42</v>
      </c>
      <c r="H172" s="10" t="s">
        <v>83</v>
      </c>
      <c r="I172" s="10" t="s">
        <v>1148</v>
      </c>
      <c r="J172" s="10" t="s">
        <v>1114</v>
      </c>
      <c r="K172" s="10" t="s">
        <v>1124</v>
      </c>
      <c r="L172" s="10" t="s">
        <v>954</v>
      </c>
      <c r="M172" s="10" t="s">
        <v>954</v>
      </c>
      <c r="N172" s="10" t="s">
        <v>1104</v>
      </c>
      <c r="O172" s="10" t="s">
        <v>1149</v>
      </c>
      <c r="P172" s="10" t="s">
        <v>1105</v>
      </c>
      <c r="Q172" s="10" t="s">
        <v>1105</v>
      </c>
    </row>
    <row r="173" spans="1:17">
      <c r="A173" s="10" t="s">
        <v>793</v>
      </c>
      <c r="B173" s="10" t="s">
        <v>794</v>
      </c>
      <c r="C173" s="10" t="s">
        <v>18</v>
      </c>
      <c r="D173" s="10" t="s">
        <v>80</v>
      </c>
      <c r="E173" s="10" t="s">
        <v>556</v>
      </c>
      <c r="F173" s="10" t="s">
        <v>238</v>
      </c>
      <c r="G173" s="10" t="s">
        <v>156</v>
      </c>
      <c r="H173" s="10" t="s">
        <v>83</v>
      </c>
      <c r="I173" s="10" t="s">
        <v>1148</v>
      </c>
      <c r="J173" s="10" t="s">
        <v>1114</v>
      </c>
      <c r="K173" s="10" t="s">
        <v>1124</v>
      </c>
      <c r="L173" s="10" t="s">
        <v>954</v>
      </c>
      <c r="M173" s="10" t="s">
        <v>954</v>
      </c>
      <c r="N173" s="10" t="s">
        <v>1104</v>
      </c>
      <c r="O173" s="10" t="s">
        <v>1149</v>
      </c>
      <c r="P173" s="10" t="s">
        <v>1105</v>
      </c>
      <c r="Q173" s="10" t="s">
        <v>1105</v>
      </c>
    </row>
    <row r="174" spans="1:17">
      <c r="A174" s="10" t="s">
        <v>791</v>
      </c>
      <c r="B174" s="10" t="s">
        <v>792</v>
      </c>
      <c r="C174" s="10" t="s">
        <v>18</v>
      </c>
      <c r="D174" s="10" t="s">
        <v>80</v>
      </c>
      <c r="E174" s="10" t="s">
        <v>556</v>
      </c>
      <c r="F174" s="10" t="s">
        <v>238</v>
      </c>
      <c r="G174" s="10" t="s">
        <v>156</v>
      </c>
      <c r="H174" s="10" t="s">
        <v>83</v>
      </c>
      <c r="I174" s="10" t="s">
        <v>1148</v>
      </c>
      <c r="J174" s="10" t="s">
        <v>1114</v>
      </c>
      <c r="K174" s="10" t="s">
        <v>1124</v>
      </c>
      <c r="L174" s="10" t="s">
        <v>954</v>
      </c>
      <c r="M174" s="10" t="s">
        <v>954</v>
      </c>
      <c r="N174" s="10" t="s">
        <v>1104</v>
      </c>
      <c r="O174" s="10" t="s">
        <v>1149</v>
      </c>
      <c r="P174" s="10" t="s">
        <v>1105</v>
      </c>
      <c r="Q174" s="10" t="s">
        <v>1105</v>
      </c>
    </row>
    <row r="175" spans="1:17">
      <c r="A175" s="10" t="s">
        <v>789</v>
      </c>
      <c r="B175" s="10" t="s">
        <v>790</v>
      </c>
      <c r="C175" s="10" t="s">
        <v>18</v>
      </c>
      <c r="D175" s="10" t="s">
        <v>80</v>
      </c>
      <c r="E175" s="10" t="s">
        <v>551</v>
      </c>
      <c r="F175" s="10" t="s">
        <v>238</v>
      </c>
      <c r="G175" s="10" t="s">
        <v>156</v>
      </c>
      <c r="H175" s="10" t="s">
        <v>83</v>
      </c>
      <c r="I175" s="10" t="s">
        <v>1148</v>
      </c>
      <c r="J175" s="10" t="s">
        <v>1114</v>
      </c>
      <c r="K175" s="10" t="s">
        <v>1124</v>
      </c>
      <c r="L175" s="10" t="s">
        <v>954</v>
      </c>
      <c r="M175" s="10" t="s">
        <v>954</v>
      </c>
      <c r="N175" s="10" t="s">
        <v>1104</v>
      </c>
      <c r="O175" s="10" t="s">
        <v>1149</v>
      </c>
      <c r="P175" s="10" t="s">
        <v>1105</v>
      </c>
      <c r="Q175" s="10" t="s">
        <v>1105</v>
      </c>
    </row>
    <row r="176" spans="1:17">
      <c r="A176" s="10" t="s">
        <v>787</v>
      </c>
      <c r="B176" s="10" t="s">
        <v>788</v>
      </c>
      <c r="C176" s="10" t="s">
        <v>18</v>
      </c>
      <c r="D176" s="10" t="s">
        <v>80</v>
      </c>
      <c r="E176" s="10" t="s">
        <v>551</v>
      </c>
      <c r="F176" s="10" t="s">
        <v>238</v>
      </c>
      <c r="G176" s="10" t="s">
        <v>156</v>
      </c>
      <c r="H176" s="10" t="s">
        <v>83</v>
      </c>
      <c r="I176" s="10" t="s">
        <v>1148</v>
      </c>
      <c r="J176" s="10" t="s">
        <v>1114</v>
      </c>
      <c r="K176" s="10" t="s">
        <v>1124</v>
      </c>
      <c r="L176" s="10" t="s">
        <v>954</v>
      </c>
      <c r="M176" s="10" t="s">
        <v>954</v>
      </c>
      <c r="N176" s="10" t="s">
        <v>1104</v>
      </c>
      <c r="O176" s="10" t="s">
        <v>1149</v>
      </c>
      <c r="P176" s="10" t="s">
        <v>1105</v>
      </c>
      <c r="Q176" s="10" t="s">
        <v>1105</v>
      </c>
    </row>
    <row r="177" spans="1:17">
      <c r="A177" s="10" t="s">
        <v>785</v>
      </c>
      <c r="B177" s="10" t="s">
        <v>786</v>
      </c>
      <c r="C177" s="10" t="s">
        <v>18</v>
      </c>
      <c r="D177" s="10" t="s">
        <v>80</v>
      </c>
      <c r="E177" s="10" t="s">
        <v>92</v>
      </c>
      <c r="F177" s="10" t="s">
        <v>93</v>
      </c>
      <c r="G177" s="10" t="s">
        <v>42</v>
      </c>
      <c r="H177" s="10" t="s">
        <v>83</v>
      </c>
      <c r="I177" s="10" t="s">
        <v>1212</v>
      </c>
      <c r="J177" s="10" t="s">
        <v>1135</v>
      </c>
      <c r="K177" s="10" t="s">
        <v>1118</v>
      </c>
      <c r="L177" s="10" t="s">
        <v>947</v>
      </c>
      <c r="M177" s="10" t="s">
        <v>1119</v>
      </c>
      <c r="N177" s="10" t="s">
        <v>1104</v>
      </c>
      <c r="O177" s="10" t="s">
        <v>1134</v>
      </c>
      <c r="P177" s="10" t="s">
        <v>1105</v>
      </c>
      <c r="Q177" s="10" t="s">
        <v>1105</v>
      </c>
    </row>
    <row r="178" spans="1:17">
      <c r="A178" s="10" t="s">
        <v>783</v>
      </c>
      <c r="B178" s="10" t="s">
        <v>784</v>
      </c>
      <c r="C178" s="10" t="s">
        <v>18</v>
      </c>
      <c r="D178" s="10" t="s">
        <v>80</v>
      </c>
      <c r="E178" s="10" t="s">
        <v>81</v>
      </c>
      <c r="F178" s="10" t="s">
        <v>82</v>
      </c>
      <c r="G178" s="10" t="s">
        <v>38</v>
      </c>
      <c r="H178" s="10" t="s">
        <v>83</v>
      </c>
      <c r="I178" s="10" t="s">
        <v>1212</v>
      </c>
      <c r="J178" s="10" t="s">
        <v>1135</v>
      </c>
      <c r="K178" s="10" t="s">
        <v>1118</v>
      </c>
      <c r="L178" s="10" t="s">
        <v>947</v>
      </c>
      <c r="M178" s="10" t="s">
        <v>1119</v>
      </c>
      <c r="N178" s="10" t="s">
        <v>1104</v>
      </c>
      <c r="O178" s="10" t="s">
        <v>1134</v>
      </c>
      <c r="P178" s="10" t="s">
        <v>1105</v>
      </c>
      <c r="Q178" s="10" t="s">
        <v>1105</v>
      </c>
    </row>
    <row r="179" spans="1:17">
      <c r="A179" s="10" t="s">
        <v>781</v>
      </c>
      <c r="B179" s="10" t="s">
        <v>782</v>
      </c>
      <c r="C179" s="10" t="s">
        <v>18</v>
      </c>
      <c r="D179" s="10" t="s">
        <v>80</v>
      </c>
      <c r="E179" s="10" t="s">
        <v>81</v>
      </c>
      <c r="F179" s="10" t="s">
        <v>82</v>
      </c>
      <c r="G179" s="10" t="s">
        <v>38</v>
      </c>
      <c r="H179" s="10" t="s">
        <v>83</v>
      </c>
      <c r="I179" s="10" t="s">
        <v>1213</v>
      </c>
      <c r="J179" s="10" t="s">
        <v>1135</v>
      </c>
      <c r="K179" s="10" t="s">
        <v>1214</v>
      </c>
      <c r="L179" s="10" t="s">
        <v>947</v>
      </c>
      <c r="M179" s="10" t="s">
        <v>1129</v>
      </c>
      <c r="N179" s="10" t="s">
        <v>1104</v>
      </c>
      <c r="O179" s="10" t="s">
        <v>1136</v>
      </c>
      <c r="P179" s="10" t="s">
        <v>1105</v>
      </c>
      <c r="Q179" s="10" t="s">
        <v>1105</v>
      </c>
    </row>
    <row r="180" spans="1:17">
      <c r="A180" s="10" t="s">
        <v>779</v>
      </c>
      <c r="B180" s="10" t="s">
        <v>780</v>
      </c>
      <c r="C180" s="10" t="s">
        <v>18</v>
      </c>
      <c r="D180" s="10" t="s">
        <v>80</v>
      </c>
      <c r="E180" s="10" t="s">
        <v>92</v>
      </c>
      <c r="F180" s="10" t="s">
        <v>93</v>
      </c>
      <c r="G180" s="10" t="s">
        <v>42</v>
      </c>
      <c r="H180" s="10" t="s">
        <v>83</v>
      </c>
      <c r="I180" s="10" t="s">
        <v>1213</v>
      </c>
      <c r="J180" s="10" t="s">
        <v>1135</v>
      </c>
      <c r="K180" s="10" t="s">
        <v>1214</v>
      </c>
      <c r="L180" s="10" t="s">
        <v>947</v>
      </c>
      <c r="M180" s="10" t="s">
        <v>1129</v>
      </c>
      <c r="N180" s="10" t="s">
        <v>1104</v>
      </c>
      <c r="O180" s="10" t="s">
        <v>1136</v>
      </c>
      <c r="P180" s="10" t="s">
        <v>1105</v>
      </c>
      <c r="Q180" s="10" t="s">
        <v>1105</v>
      </c>
    </row>
    <row r="181" spans="1:17">
      <c r="A181" s="10" t="s">
        <v>777</v>
      </c>
      <c r="B181" s="10" t="s">
        <v>778</v>
      </c>
      <c r="C181" s="10" t="s">
        <v>18</v>
      </c>
      <c r="D181" s="10" t="s">
        <v>80</v>
      </c>
      <c r="E181" s="10" t="s">
        <v>92</v>
      </c>
      <c r="F181" s="10" t="s">
        <v>93</v>
      </c>
      <c r="G181" s="10" t="s">
        <v>42</v>
      </c>
      <c r="H181" s="10" t="s">
        <v>83</v>
      </c>
      <c r="I181" s="10" t="s">
        <v>1215</v>
      </c>
      <c r="J181" s="10" t="s">
        <v>1114</v>
      </c>
      <c r="K181" s="10" t="s">
        <v>1216</v>
      </c>
      <c r="L181" s="10" t="s">
        <v>947</v>
      </c>
      <c r="M181" s="10" t="s">
        <v>1129</v>
      </c>
      <c r="N181" s="10" t="s">
        <v>1104</v>
      </c>
      <c r="O181" s="10" t="s">
        <v>1131</v>
      </c>
      <c r="P181" s="10" t="s">
        <v>1105</v>
      </c>
      <c r="Q181" s="10" t="s">
        <v>1105</v>
      </c>
    </row>
    <row r="182" spans="1:17">
      <c r="A182" s="10" t="s">
        <v>775</v>
      </c>
      <c r="B182" s="10" t="s">
        <v>776</v>
      </c>
      <c r="C182" s="10" t="s">
        <v>18</v>
      </c>
      <c r="D182" s="10" t="s">
        <v>80</v>
      </c>
      <c r="E182" s="10" t="s">
        <v>81</v>
      </c>
      <c r="F182" s="10" t="s">
        <v>82</v>
      </c>
      <c r="G182" s="10" t="s">
        <v>38</v>
      </c>
      <c r="H182" s="10" t="s">
        <v>83</v>
      </c>
      <c r="I182" s="10" t="s">
        <v>1215</v>
      </c>
      <c r="J182" s="10" t="s">
        <v>1114</v>
      </c>
      <c r="K182" s="10" t="s">
        <v>1216</v>
      </c>
      <c r="L182" s="10" t="s">
        <v>947</v>
      </c>
      <c r="M182" s="10" t="s">
        <v>1129</v>
      </c>
      <c r="N182" s="10" t="s">
        <v>1104</v>
      </c>
      <c r="O182" s="10" t="s">
        <v>1131</v>
      </c>
      <c r="P182" s="10" t="s">
        <v>1105</v>
      </c>
      <c r="Q182" s="10" t="s">
        <v>1105</v>
      </c>
    </row>
    <row r="183" spans="1:17">
      <c r="A183" s="10" t="s">
        <v>773</v>
      </c>
      <c r="B183" s="10" t="s">
        <v>774</v>
      </c>
      <c r="C183" s="10" t="s">
        <v>18</v>
      </c>
      <c r="D183" s="10" t="s">
        <v>80</v>
      </c>
      <c r="E183" s="10" t="s">
        <v>556</v>
      </c>
      <c r="F183" s="10" t="s">
        <v>238</v>
      </c>
      <c r="G183" s="10" t="s">
        <v>156</v>
      </c>
      <c r="H183" s="10" t="s">
        <v>83</v>
      </c>
      <c r="I183" s="10" t="s">
        <v>1120</v>
      </c>
      <c r="J183" s="10" t="s">
        <v>1121</v>
      </c>
      <c r="K183" s="10" t="s">
        <v>1114</v>
      </c>
      <c r="L183" s="10" t="s">
        <v>947</v>
      </c>
      <c r="M183" s="10" t="s">
        <v>1103</v>
      </c>
      <c r="N183" s="10" t="s">
        <v>1104</v>
      </c>
      <c r="O183" s="10" t="s">
        <v>665</v>
      </c>
      <c r="P183" s="10" t="s">
        <v>1105</v>
      </c>
      <c r="Q183" s="10" t="s">
        <v>1105</v>
      </c>
    </row>
    <row r="184" spans="1:17">
      <c r="A184" s="10" t="s">
        <v>771</v>
      </c>
      <c r="B184" s="10" t="s">
        <v>772</v>
      </c>
      <c r="C184" s="10" t="s">
        <v>18</v>
      </c>
      <c r="D184" s="10" t="s">
        <v>80</v>
      </c>
      <c r="E184" s="10" t="s">
        <v>556</v>
      </c>
      <c r="F184" s="10" t="s">
        <v>238</v>
      </c>
      <c r="G184" s="10" t="s">
        <v>156</v>
      </c>
      <c r="H184" s="10" t="s">
        <v>83</v>
      </c>
      <c r="I184" s="10" t="s">
        <v>1154</v>
      </c>
      <c r="J184" s="10" t="s">
        <v>1123</v>
      </c>
      <c r="K184" s="10" t="s">
        <v>1155</v>
      </c>
      <c r="L184" s="10" t="s">
        <v>947</v>
      </c>
      <c r="M184" s="10" t="s">
        <v>1103</v>
      </c>
      <c r="N184" s="10" t="s">
        <v>1104</v>
      </c>
      <c r="O184" s="10" t="s">
        <v>665</v>
      </c>
      <c r="P184" s="10" t="s">
        <v>1105</v>
      </c>
      <c r="Q184" s="10" t="s">
        <v>1105</v>
      </c>
    </row>
    <row r="185" spans="1:17">
      <c r="A185" s="10" t="s">
        <v>769</v>
      </c>
      <c r="B185" s="10" t="s">
        <v>770</v>
      </c>
      <c r="C185" s="10" t="s">
        <v>18</v>
      </c>
      <c r="D185" s="10" t="s">
        <v>80</v>
      </c>
      <c r="E185" s="10" t="s">
        <v>556</v>
      </c>
      <c r="F185" s="10" t="s">
        <v>238</v>
      </c>
      <c r="G185" s="10" t="s">
        <v>156</v>
      </c>
      <c r="H185" s="10" t="s">
        <v>83</v>
      </c>
      <c r="I185" s="10" t="s">
        <v>1130</v>
      </c>
      <c r="J185" s="10" t="s">
        <v>1101</v>
      </c>
      <c r="K185" s="10" t="s">
        <v>1101</v>
      </c>
      <c r="L185" s="10" t="s">
        <v>947</v>
      </c>
      <c r="M185" s="10" t="s">
        <v>1103</v>
      </c>
      <c r="N185" s="10" t="s">
        <v>1104</v>
      </c>
      <c r="O185" s="10" t="s">
        <v>216</v>
      </c>
      <c r="P185" s="10" t="s">
        <v>1105</v>
      </c>
      <c r="Q185" s="10" t="s">
        <v>1105</v>
      </c>
    </row>
    <row r="186" spans="1:17">
      <c r="A186" s="10" t="s">
        <v>767</v>
      </c>
      <c r="B186" s="10" t="s">
        <v>768</v>
      </c>
      <c r="C186" s="10" t="s">
        <v>18</v>
      </c>
      <c r="D186" s="10" t="s">
        <v>80</v>
      </c>
      <c r="E186" s="10" t="s">
        <v>556</v>
      </c>
      <c r="F186" s="10" t="s">
        <v>238</v>
      </c>
      <c r="G186" s="10" t="s">
        <v>156</v>
      </c>
      <c r="H186" s="10" t="s">
        <v>83</v>
      </c>
      <c r="I186" s="10" t="s">
        <v>1212</v>
      </c>
      <c r="J186" s="10" t="s">
        <v>1135</v>
      </c>
      <c r="K186" s="10" t="s">
        <v>1118</v>
      </c>
      <c r="L186" s="10" t="s">
        <v>947</v>
      </c>
      <c r="M186" s="10" t="s">
        <v>1119</v>
      </c>
      <c r="N186" s="10" t="s">
        <v>1104</v>
      </c>
      <c r="O186" s="10" t="s">
        <v>205</v>
      </c>
      <c r="P186" s="10" t="s">
        <v>1105</v>
      </c>
      <c r="Q186" s="10" t="s">
        <v>1105</v>
      </c>
    </row>
    <row r="187" spans="1:17">
      <c r="A187" s="10" t="s">
        <v>765</v>
      </c>
      <c r="B187" s="10" t="s">
        <v>766</v>
      </c>
      <c r="C187" s="10" t="s">
        <v>18</v>
      </c>
      <c r="D187" s="10" t="s">
        <v>80</v>
      </c>
      <c r="E187" s="10" t="s">
        <v>556</v>
      </c>
      <c r="F187" s="10" t="s">
        <v>238</v>
      </c>
      <c r="G187" s="10" t="s">
        <v>156</v>
      </c>
      <c r="H187" s="10" t="s">
        <v>83</v>
      </c>
      <c r="I187" s="10" t="s">
        <v>1120</v>
      </c>
      <c r="J187" s="10" t="s">
        <v>1121</v>
      </c>
      <c r="K187" s="10" t="s">
        <v>1114</v>
      </c>
      <c r="L187" s="10" t="s">
        <v>947</v>
      </c>
      <c r="M187" s="10" t="s">
        <v>1103</v>
      </c>
      <c r="N187" s="10" t="s">
        <v>1104</v>
      </c>
      <c r="O187" s="10" t="s">
        <v>665</v>
      </c>
      <c r="P187" s="10" t="s">
        <v>1105</v>
      </c>
      <c r="Q187" s="10" t="s">
        <v>1105</v>
      </c>
    </row>
    <row r="188" spans="1:17">
      <c r="A188" s="10" t="s">
        <v>763</v>
      </c>
      <c r="B188" s="10" t="s">
        <v>764</v>
      </c>
      <c r="C188" s="10" t="s">
        <v>18</v>
      </c>
      <c r="D188" s="10" t="s">
        <v>80</v>
      </c>
      <c r="E188" s="10" t="s">
        <v>556</v>
      </c>
      <c r="F188" s="10" t="s">
        <v>238</v>
      </c>
      <c r="G188" s="10" t="s">
        <v>156</v>
      </c>
      <c r="H188" s="10" t="s">
        <v>83</v>
      </c>
      <c r="I188" s="10" t="s">
        <v>1154</v>
      </c>
      <c r="J188" s="10" t="s">
        <v>1123</v>
      </c>
      <c r="K188" s="10" t="s">
        <v>1155</v>
      </c>
      <c r="L188" s="10" t="s">
        <v>947</v>
      </c>
      <c r="M188" s="10" t="s">
        <v>1103</v>
      </c>
      <c r="N188" s="10" t="s">
        <v>1104</v>
      </c>
      <c r="O188" s="10" t="s">
        <v>665</v>
      </c>
      <c r="P188" s="10" t="s">
        <v>1105</v>
      </c>
      <c r="Q188" s="10" t="s">
        <v>1105</v>
      </c>
    </row>
    <row r="189" spans="1:17">
      <c r="A189" s="10" t="s">
        <v>761</v>
      </c>
      <c r="B189" s="10" t="s">
        <v>762</v>
      </c>
      <c r="C189" s="10" t="s">
        <v>18</v>
      </c>
      <c r="D189" s="10" t="s">
        <v>80</v>
      </c>
      <c r="E189" s="10" t="s">
        <v>556</v>
      </c>
      <c r="F189" s="10" t="s">
        <v>238</v>
      </c>
      <c r="G189" s="10" t="s">
        <v>156</v>
      </c>
      <c r="H189" s="10" t="s">
        <v>83</v>
      </c>
      <c r="I189" s="10" t="s">
        <v>1130</v>
      </c>
      <c r="J189" s="10" t="s">
        <v>1101</v>
      </c>
      <c r="K189" s="10" t="s">
        <v>1101</v>
      </c>
      <c r="L189" s="10" t="s">
        <v>947</v>
      </c>
      <c r="M189" s="10" t="s">
        <v>1103</v>
      </c>
      <c r="N189" s="10" t="s">
        <v>1104</v>
      </c>
      <c r="O189" s="10" t="s">
        <v>216</v>
      </c>
      <c r="P189" s="10" t="s">
        <v>1105</v>
      </c>
      <c r="Q189" s="10" t="s">
        <v>1105</v>
      </c>
    </row>
    <row r="190" spans="1:17">
      <c r="A190" s="10" t="s">
        <v>759</v>
      </c>
      <c r="B190" s="10" t="s">
        <v>760</v>
      </c>
      <c r="C190" s="10" t="s">
        <v>18</v>
      </c>
      <c r="D190" s="10" t="s">
        <v>80</v>
      </c>
      <c r="E190" s="10" t="s">
        <v>556</v>
      </c>
      <c r="F190" s="10" t="s">
        <v>238</v>
      </c>
      <c r="G190" s="10" t="s">
        <v>156</v>
      </c>
      <c r="H190" s="10" t="s">
        <v>83</v>
      </c>
      <c r="I190" s="10" t="s">
        <v>1212</v>
      </c>
      <c r="J190" s="10" t="s">
        <v>1135</v>
      </c>
      <c r="K190" s="10" t="s">
        <v>1118</v>
      </c>
      <c r="L190" s="10" t="s">
        <v>947</v>
      </c>
      <c r="M190" s="10" t="s">
        <v>1119</v>
      </c>
      <c r="N190" s="10" t="s">
        <v>1104</v>
      </c>
      <c r="O190" s="10" t="s">
        <v>205</v>
      </c>
      <c r="P190" s="10" t="s">
        <v>1105</v>
      </c>
      <c r="Q190" s="10" t="s">
        <v>1105</v>
      </c>
    </row>
    <row r="191" spans="1:17">
      <c r="A191" s="10" t="s">
        <v>757</v>
      </c>
      <c r="B191" s="10" t="s">
        <v>758</v>
      </c>
      <c r="C191" s="10" t="s">
        <v>18</v>
      </c>
      <c r="D191" s="10" t="s">
        <v>80</v>
      </c>
      <c r="E191" s="10" t="s">
        <v>551</v>
      </c>
      <c r="F191" s="10" t="s">
        <v>238</v>
      </c>
      <c r="G191" s="10" t="s">
        <v>156</v>
      </c>
      <c r="H191" s="10" t="s">
        <v>83</v>
      </c>
      <c r="I191" s="10" t="s">
        <v>1120</v>
      </c>
      <c r="J191" s="10" t="s">
        <v>1121</v>
      </c>
      <c r="K191" s="10" t="s">
        <v>1114</v>
      </c>
      <c r="L191" s="10" t="s">
        <v>947</v>
      </c>
      <c r="M191" s="10" t="s">
        <v>1103</v>
      </c>
      <c r="N191" s="10" t="s">
        <v>1104</v>
      </c>
      <c r="O191" s="10" t="s">
        <v>665</v>
      </c>
      <c r="P191" s="10" t="s">
        <v>1105</v>
      </c>
      <c r="Q191" s="10" t="s">
        <v>1105</v>
      </c>
    </row>
    <row r="192" spans="1:17">
      <c r="A192" s="10" t="s">
        <v>755</v>
      </c>
      <c r="B192" s="10" t="s">
        <v>756</v>
      </c>
      <c r="C192" s="10" t="s">
        <v>18</v>
      </c>
      <c r="D192" s="10" t="s">
        <v>80</v>
      </c>
      <c r="E192" s="10" t="s">
        <v>551</v>
      </c>
      <c r="F192" s="10" t="s">
        <v>238</v>
      </c>
      <c r="G192" s="10" t="s">
        <v>156</v>
      </c>
      <c r="H192" s="10" t="s">
        <v>83</v>
      </c>
      <c r="I192" s="10" t="s">
        <v>1154</v>
      </c>
      <c r="J192" s="10" t="s">
        <v>1123</v>
      </c>
      <c r="K192" s="10" t="s">
        <v>1155</v>
      </c>
      <c r="L192" s="10" t="s">
        <v>947</v>
      </c>
      <c r="M192" s="10" t="s">
        <v>1103</v>
      </c>
      <c r="N192" s="10" t="s">
        <v>1104</v>
      </c>
      <c r="O192" s="10" t="s">
        <v>665</v>
      </c>
      <c r="P192" s="10" t="s">
        <v>1105</v>
      </c>
      <c r="Q192" s="10" t="s">
        <v>1105</v>
      </c>
    </row>
    <row r="193" spans="1:17">
      <c r="A193" s="10" t="s">
        <v>753</v>
      </c>
      <c r="B193" s="10" t="s">
        <v>754</v>
      </c>
      <c r="C193" s="10" t="s">
        <v>18</v>
      </c>
      <c r="D193" s="10" t="s">
        <v>80</v>
      </c>
      <c r="E193" s="10" t="s">
        <v>551</v>
      </c>
      <c r="F193" s="10" t="s">
        <v>238</v>
      </c>
      <c r="G193" s="10" t="s">
        <v>156</v>
      </c>
      <c r="H193" s="10" t="s">
        <v>83</v>
      </c>
      <c r="I193" s="10" t="s">
        <v>1130</v>
      </c>
      <c r="J193" s="10" t="s">
        <v>1101</v>
      </c>
      <c r="K193" s="10" t="s">
        <v>1101</v>
      </c>
      <c r="L193" s="10" t="s">
        <v>947</v>
      </c>
      <c r="M193" s="10" t="s">
        <v>1103</v>
      </c>
      <c r="N193" s="10" t="s">
        <v>1104</v>
      </c>
      <c r="O193" s="10" t="s">
        <v>216</v>
      </c>
      <c r="P193" s="10" t="s">
        <v>1105</v>
      </c>
      <c r="Q193" s="10" t="s">
        <v>1105</v>
      </c>
    </row>
    <row r="194" spans="1:17">
      <c r="A194" s="10" t="s">
        <v>751</v>
      </c>
      <c r="B194" s="10" t="s">
        <v>752</v>
      </c>
      <c r="C194" s="10" t="s">
        <v>18</v>
      </c>
      <c r="D194" s="10" t="s">
        <v>80</v>
      </c>
      <c r="E194" s="10" t="s">
        <v>551</v>
      </c>
      <c r="F194" s="10" t="s">
        <v>238</v>
      </c>
      <c r="G194" s="10" t="s">
        <v>156</v>
      </c>
      <c r="H194" s="10" t="s">
        <v>83</v>
      </c>
      <c r="I194" s="10" t="s">
        <v>1125</v>
      </c>
      <c r="J194" s="10" t="s">
        <v>1114</v>
      </c>
      <c r="K194" s="10" t="s">
        <v>1126</v>
      </c>
      <c r="L194" s="10" t="s">
        <v>947</v>
      </c>
      <c r="M194" s="10" t="s">
        <v>1119</v>
      </c>
      <c r="N194" s="10" t="s">
        <v>1104</v>
      </c>
      <c r="O194" s="10" t="s">
        <v>351</v>
      </c>
      <c r="P194" s="10" t="s">
        <v>1105</v>
      </c>
      <c r="Q194" s="10" t="s">
        <v>1105</v>
      </c>
    </row>
    <row r="195" spans="1:17">
      <c r="A195" s="10" t="s">
        <v>749</v>
      </c>
      <c r="B195" s="10" t="s">
        <v>750</v>
      </c>
      <c r="C195" s="10" t="s">
        <v>18</v>
      </c>
      <c r="D195" s="10" t="s">
        <v>80</v>
      </c>
      <c r="E195" s="10" t="s">
        <v>551</v>
      </c>
      <c r="F195" s="10" t="s">
        <v>238</v>
      </c>
      <c r="G195" s="10" t="s">
        <v>156</v>
      </c>
      <c r="H195" s="10" t="s">
        <v>83</v>
      </c>
      <c r="I195" s="10" t="s">
        <v>1212</v>
      </c>
      <c r="J195" s="10" t="s">
        <v>1135</v>
      </c>
      <c r="K195" s="10" t="s">
        <v>1118</v>
      </c>
      <c r="L195" s="10" t="s">
        <v>947</v>
      </c>
      <c r="M195" s="10" t="s">
        <v>1119</v>
      </c>
      <c r="N195" s="10" t="s">
        <v>1104</v>
      </c>
      <c r="O195" s="10" t="s">
        <v>205</v>
      </c>
      <c r="P195" s="10" t="s">
        <v>1105</v>
      </c>
      <c r="Q195" s="10" t="s">
        <v>1105</v>
      </c>
    </row>
    <row r="196" spans="1:17">
      <c r="A196" s="10" t="s">
        <v>747</v>
      </c>
      <c r="B196" s="10" t="s">
        <v>748</v>
      </c>
      <c r="C196" s="10" t="s">
        <v>18</v>
      </c>
      <c r="D196" s="10" t="s">
        <v>80</v>
      </c>
      <c r="E196" s="10" t="s">
        <v>551</v>
      </c>
      <c r="F196" s="10" t="s">
        <v>238</v>
      </c>
      <c r="G196" s="10" t="s">
        <v>156</v>
      </c>
      <c r="H196" s="10" t="s">
        <v>83</v>
      </c>
      <c r="I196" s="10" t="s">
        <v>1120</v>
      </c>
      <c r="J196" s="10" t="s">
        <v>1121</v>
      </c>
      <c r="K196" s="10" t="s">
        <v>1114</v>
      </c>
      <c r="L196" s="10" t="s">
        <v>947</v>
      </c>
      <c r="M196" s="10" t="s">
        <v>1103</v>
      </c>
      <c r="N196" s="10" t="s">
        <v>1104</v>
      </c>
      <c r="O196" s="10" t="s">
        <v>665</v>
      </c>
      <c r="P196" s="10" t="s">
        <v>1105</v>
      </c>
      <c r="Q196" s="10" t="s">
        <v>1105</v>
      </c>
    </row>
    <row r="197" spans="1:17">
      <c r="A197" s="10" t="s">
        <v>745</v>
      </c>
      <c r="B197" s="10" t="s">
        <v>746</v>
      </c>
      <c r="C197" s="10" t="s">
        <v>18</v>
      </c>
      <c r="D197" s="10" t="s">
        <v>80</v>
      </c>
      <c r="E197" s="10" t="s">
        <v>551</v>
      </c>
      <c r="F197" s="10" t="s">
        <v>238</v>
      </c>
      <c r="G197" s="10" t="s">
        <v>156</v>
      </c>
      <c r="H197" s="10" t="s">
        <v>83</v>
      </c>
      <c r="I197" s="10" t="s">
        <v>1125</v>
      </c>
      <c r="J197" s="10" t="s">
        <v>1114</v>
      </c>
      <c r="K197" s="10" t="s">
        <v>1126</v>
      </c>
      <c r="L197" s="10" t="s">
        <v>947</v>
      </c>
      <c r="M197" s="10" t="s">
        <v>1119</v>
      </c>
      <c r="N197" s="10" t="s">
        <v>1104</v>
      </c>
      <c r="O197" s="10" t="s">
        <v>351</v>
      </c>
      <c r="P197" s="10" t="s">
        <v>1105</v>
      </c>
      <c r="Q197" s="10" t="s">
        <v>1105</v>
      </c>
    </row>
    <row r="198" spans="1:17">
      <c r="A198" s="10" t="s">
        <v>743</v>
      </c>
      <c r="B198" s="10" t="s">
        <v>744</v>
      </c>
      <c r="C198" s="10" t="s">
        <v>18</v>
      </c>
      <c r="D198" s="10" t="s">
        <v>80</v>
      </c>
      <c r="E198" s="10" t="s">
        <v>551</v>
      </c>
      <c r="F198" s="10" t="s">
        <v>238</v>
      </c>
      <c r="G198" s="10" t="s">
        <v>156</v>
      </c>
      <c r="H198" s="10" t="s">
        <v>83</v>
      </c>
      <c r="I198" s="10" t="s">
        <v>1154</v>
      </c>
      <c r="J198" s="10" t="s">
        <v>1123</v>
      </c>
      <c r="K198" s="10" t="s">
        <v>1155</v>
      </c>
      <c r="L198" s="10" t="s">
        <v>947</v>
      </c>
      <c r="M198" s="10" t="s">
        <v>1103</v>
      </c>
      <c r="N198" s="10" t="s">
        <v>1104</v>
      </c>
      <c r="O198" s="10" t="s">
        <v>665</v>
      </c>
      <c r="P198" s="10" t="s">
        <v>1105</v>
      </c>
      <c r="Q198" s="10" t="s">
        <v>1105</v>
      </c>
    </row>
    <row r="199" spans="1:17">
      <c r="A199" s="10" t="s">
        <v>741</v>
      </c>
      <c r="B199" s="10" t="s">
        <v>742</v>
      </c>
      <c r="C199" s="10" t="s">
        <v>18</v>
      </c>
      <c r="D199" s="10" t="s">
        <v>80</v>
      </c>
      <c r="E199" s="10" t="s">
        <v>551</v>
      </c>
      <c r="F199" s="10" t="s">
        <v>238</v>
      </c>
      <c r="G199" s="10" t="s">
        <v>156</v>
      </c>
      <c r="H199" s="10" t="s">
        <v>83</v>
      </c>
      <c r="I199" s="10" t="s">
        <v>1130</v>
      </c>
      <c r="J199" s="10" t="s">
        <v>1101</v>
      </c>
      <c r="K199" s="10" t="s">
        <v>1101</v>
      </c>
      <c r="L199" s="10" t="s">
        <v>947</v>
      </c>
      <c r="M199" s="10" t="s">
        <v>1103</v>
      </c>
      <c r="N199" s="10" t="s">
        <v>1104</v>
      </c>
      <c r="O199" s="10" t="s">
        <v>216</v>
      </c>
      <c r="P199" s="10" t="s">
        <v>1105</v>
      </c>
      <c r="Q199" s="10" t="s">
        <v>1105</v>
      </c>
    </row>
    <row r="200" spans="1:17">
      <c r="A200" s="10" t="s">
        <v>739</v>
      </c>
      <c r="B200" s="10" t="s">
        <v>740</v>
      </c>
      <c r="C200" s="10" t="s">
        <v>18</v>
      </c>
      <c r="D200" s="10" t="s">
        <v>80</v>
      </c>
      <c r="E200" s="10" t="s">
        <v>551</v>
      </c>
      <c r="F200" s="10" t="s">
        <v>238</v>
      </c>
      <c r="G200" s="10" t="s">
        <v>156</v>
      </c>
      <c r="H200" s="10" t="s">
        <v>83</v>
      </c>
      <c r="I200" s="10" t="s">
        <v>1212</v>
      </c>
      <c r="J200" s="10" t="s">
        <v>1135</v>
      </c>
      <c r="K200" s="10" t="s">
        <v>1118</v>
      </c>
      <c r="L200" s="10" t="s">
        <v>947</v>
      </c>
      <c r="M200" s="10" t="s">
        <v>1119</v>
      </c>
      <c r="N200" s="10" t="s">
        <v>1104</v>
      </c>
      <c r="O200" s="10" t="s">
        <v>205</v>
      </c>
      <c r="P200" s="10" t="s">
        <v>1105</v>
      </c>
      <c r="Q200" s="10" t="s">
        <v>1105</v>
      </c>
    </row>
    <row r="201" spans="1:17">
      <c r="A201" s="10" t="s">
        <v>737</v>
      </c>
      <c r="B201" s="10" t="s">
        <v>738</v>
      </c>
      <c r="C201" s="10" t="s">
        <v>18</v>
      </c>
      <c r="D201" s="10" t="s">
        <v>80</v>
      </c>
      <c r="E201" s="10" t="s">
        <v>551</v>
      </c>
      <c r="F201" s="10" t="s">
        <v>238</v>
      </c>
      <c r="G201" s="10" t="s">
        <v>156</v>
      </c>
      <c r="H201" s="10" t="s">
        <v>83</v>
      </c>
      <c r="I201" s="10" t="s">
        <v>1213</v>
      </c>
      <c r="J201" s="10" t="s">
        <v>1135</v>
      </c>
      <c r="K201" s="10" t="s">
        <v>1214</v>
      </c>
      <c r="L201" s="10" t="s">
        <v>947</v>
      </c>
      <c r="M201" s="10" t="s">
        <v>1129</v>
      </c>
      <c r="N201" s="10" t="s">
        <v>1104</v>
      </c>
      <c r="O201" s="10" t="s">
        <v>351</v>
      </c>
      <c r="P201" s="10" t="s">
        <v>1105</v>
      </c>
      <c r="Q201" s="10" t="s">
        <v>1105</v>
      </c>
    </row>
    <row r="202" spans="1:17">
      <c r="A202" s="10" t="s">
        <v>735</v>
      </c>
      <c r="B202" s="10" t="s">
        <v>736</v>
      </c>
      <c r="C202" s="10" t="s">
        <v>18</v>
      </c>
      <c r="D202" s="10" t="s">
        <v>80</v>
      </c>
      <c r="E202" s="10" t="s">
        <v>92</v>
      </c>
      <c r="F202" s="10" t="s">
        <v>93</v>
      </c>
      <c r="G202" s="10" t="s">
        <v>42</v>
      </c>
      <c r="H202" s="10" t="s">
        <v>83</v>
      </c>
      <c r="I202" s="10" t="s">
        <v>1215</v>
      </c>
      <c r="J202" s="10" t="s">
        <v>1114</v>
      </c>
      <c r="K202" s="10" t="s">
        <v>1216</v>
      </c>
      <c r="L202" s="10" t="s">
        <v>947</v>
      </c>
      <c r="M202" s="10" t="s">
        <v>1129</v>
      </c>
      <c r="N202" s="10" t="s">
        <v>1104</v>
      </c>
      <c r="O202" s="10" t="s">
        <v>1131</v>
      </c>
      <c r="P202" s="10" t="s">
        <v>1105</v>
      </c>
      <c r="Q202" s="10" t="s">
        <v>1105</v>
      </c>
    </row>
    <row r="203" spans="1:17">
      <c r="A203" s="10" t="s">
        <v>733</v>
      </c>
      <c r="B203" s="10" t="s">
        <v>734</v>
      </c>
      <c r="C203" s="10" t="s">
        <v>18</v>
      </c>
      <c r="D203" s="10" t="s">
        <v>80</v>
      </c>
      <c r="E203" s="10" t="s">
        <v>81</v>
      </c>
      <c r="F203" s="10" t="s">
        <v>82</v>
      </c>
      <c r="G203" s="10" t="s">
        <v>38</v>
      </c>
      <c r="H203" s="10" t="s">
        <v>83</v>
      </c>
      <c r="I203" s="10" t="s">
        <v>1215</v>
      </c>
      <c r="J203" s="10" t="s">
        <v>1114</v>
      </c>
      <c r="K203" s="10" t="s">
        <v>1216</v>
      </c>
      <c r="L203" s="10" t="s">
        <v>947</v>
      </c>
      <c r="M203" s="10" t="s">
        <v>1129</v>
      </c>
      <c r="N203" s="10" t="s">
        <v>1104</v>
      </c>
      <c r="O203" s="10" t="s">
        <v>1131</v>
      </c>
      <c r="P203" s="10" t="s">
        <v>1105</v>
      </c>
      <c r="Q203" s="10" t="s">
        <v>1105</v>
      </c>
    </row>
    <row r="204" spans="1:17" ht="36">
      <c r="A204" s="10" t="s">
        <v>731</v>
      </c>
      <c r="B204" s="10" t="s">
        <v>732</v>
      </c>
      <c r="C204" s="10" t="s">
        <v>18</v>
      </c>
      <c r="D204" s="10" t="s">
        <v>721</v>
      </c>
      <c r="E204" s="10" t="s">
        <v>722</v>
      </c>
      <c r="F204" s="10" t="s">
        <v>722</v>
      </c>
      <c r="G204" s="10" t="s">
        <v>723</v>
      </c>
      <c r="H204" s="10" t="s">
        <v>83</v>
      </c>
      <c r="I204" s="10" t="s">
        <v>1140</v>
      </c>
      <c r="J204" s="10" t="s">
        <v>1135</v>
      </c>
      <c r="K204" s="10" t="s">
        <v>1141</v>
      </c>
      <c r="L204" s="10" t="s">
        <v>723</v>
      </c>
      <c r="M204" s="10" t="s">
        <v>1129</v>
      </c>
      <c r="N204" s="10" t="s">
        <v>1142</v>
      </c>
      <c r="O204" s="10" t="s">
        <v>1143</v>
      </c>
      <c r="P204" s="10" t="s">
        <v>1105</v>
      </c>
      <c r="Q204" s="10" t="s">
        <v>1105</v>
      </c>
    </row>
    <row r="205" spans="1:17" ht="36">
      <c r="A205" s="10" t="s">
        <v>729</v>
      </c>
      <c r="B205" s="10" t="s">
        <v>730</v>
      </c>
      <c r="C205" s="10" t="s">
        <v>18</v>
      </c>
      <c r="D205" s="10" t="s">
        <v>721</v>
      </c>
      <c r="E205" s="10" t="s">
        <v>722</v>
      </c>
      <c r="F205" s="10" t="s">
        <v>722</v>
      </c>
      <c r="G205" s="10" t="s">
        <v>723</v>
      </c>
      <c r="H205" s="10" t="s">
        <v>83</v>
      </c>
      <c r="I205" s="10" t="s">
        <v>1140</v>
      </c>
      <c r="J205" s="10" t="s">
        <v>1135</v>
      </c>
      <c r="K205" s="10" t="s">
        <v>1141</v>
      </c>
      <c r="L205" s="10" t="s">
        <v>723</v>
      </c>
      <c r="M205" s="10" t="s">
        <v>1129</v>
      </c>
      <c r="N205" s="10" t="s">
        <v>1142</v>
      </c>
      <c r="O205" s="10" t="s">
        <v>1143</v>
      </c>
      <c r="P205" s="10" t="s">
        <v>1105</v>
      </c>
      <c r="Q205" s="10" t="s">
        <v>1105</v>
      </c>
    </row>
    <row r="206" spans="1:17" ht="36">
      <c r="A206" s="10" t="s">
        <v>727</v>
      </c>
      <c r="B206" s="10" t="s">
        <v>728</v>
      </c>
      <c r="C206" s="10" t="s">
        <v>18</v>
      </c>
      <c r="D206" s="10" t="s">
        <v>721</v>
      </c>
      <c r="E206" s="10" t="s">
        <v>722</v>
      </c>
      <c r="F206" s="10" t="s">
        <v>722</v>
      </c>
      <c r="G206" s="10" t="s">
        <v>723</v>
      </c>
      <c r="H206" s="10" t="s">
        <v>83</v>
      </c>
      <c r="I206" s="10" t="s">
        <v>1200</v>
      </c>
      <c r="J206" s="10" t="s">
        <v>1201</v>
      </c>
      <c r="K206" s="10" t="s">
        <v>1202</v>
      </c>
      <c r="L206" s="10" t="s">
        <v>723</v>
      </c>
      <c r="M206" s="10" t="s">
        <v>1129</v>
      </c>
      <c r="N206" s="10" t="s">
        <v>1142</v>
      </c>
      <c r="O206" s="10" t="s">
        <v>1143</v>
      </c>
      <c r="P206" s="10" t="s">
        <v>1105</v>
      </c>
      <c r="Q206" s="10" t="s">
        <v>1105</v>
      </c>
    </row>
    <row r="207" spans="1:17" ht="36">
      <c r="A207" s="10" t="s">
        <v>719</v>
      </c>
      <c r="B207" s="10" t="s">
        <v>720</v>
      </c>
      <c r="C207" s="10" t="s">
        <v>18</v>
      </c>
      <c r="D207" s="10" t="s">
        <v>721</v>
      </c>
      <c r="E207" s="10" t="s">
        <v>722</v>
      </c>
      <c r="F207" s="10" t="s">
        <v>722</v>
      </c>
      <c r="G207" s="10" t="s">
        <v>723</v>
      </c>
      <c r="H207" s="10" t="s">
        <v>83</v>
      </c>
      <c r="I207" s="10" t="s">
        <v>1200</v>
      </c>
      <c r="J207" s="10" t="s">
        <v>1201</v>
      </c>
      <c r="K207" s="10" t="s">
        <v>1202</v>
      </c>
      <c r="L207" s="10" t="s">
        <v>723</v>
      </c>
      <c r="M207" s="10" t="s">
        <v>1129</v>
      </c>
      <c r="N207" s="10" t="s">
        <v>1142</v>
      </c>
      <c r="O207" s="10" t="s">
        <v>1143</v>
      </c>
      <c r="P207" s="10" t="s">
        <v>1105</v>
      </c>
      <c r="Q207" s="10" t="s">
        <v>1105</v>
      </c>
    </row>
    <row r="208" spans="1:17">
      <c r="A208" s="10" t="s">
        <v>717</v>
      </c>
      <c r="B208" s="10" t="s">
        <v>718</v>
      </c>
      <c r="C208" s="10" t="s">
        <v>147</v>
      </c>
      <c r="D208" s="10" t="s">
        <v>29</v>
      </c>
      <c r="E208" s="10" t="s">
        <v>29</v>
      </c>
      <c r="F208" s="10" t="s">
        <v>42</v>
      </c>
      <c r="G208" s="10" t="s">
        <v>42</v>
      </c>
      <c r="H208" s="10" t="s">
        <v>29</v>
      </c>
      <c r="I208" s="10" t="s">
        <v>1116</v>
      </c>
      <c r="J208" s="10" t="s">
        <v>1135</v>
      </c>
      <c r="K208" s="10" t="s">
        <v>1124</v>
      </c>
      <c r="L208" s="10" t="s">
        <v>954</v>
      </c>
      <c r="M208" s="10" t="s">
        <v>954</v>
      </c>
      <c r="N208" s="10" t="s">
        <v>1104</v>
      </c>
      <c r="O208" s="10" t="s">
        <v>1203</v>
      </c>
      <c r="P208" s="10" t="s">
        <v>1105</v>
      </c>
      <c r="Q208" s="10" t="s">
        <v>1105</v>
      </c>
    </row>
    <row r="209" spans="1:17">
      <c r="A209" s="10" t="s">
        <v>715</v>
      </c>
      <c r="B209" s="10" t="s">
        <v>716</v>
      </c>
      <c r="C209" s="10" t="s">
        <v>147</v>
      </c>
      <c r="D209" s="10" t="s">
        <v>29</v>
      </c>
      <c r="E209" s="10" t="s">
        <v>29</v>
      </c>
      <c r="F209" s="10" t="s">
        <v>38</v>
      </c>
      <c r="G209" s="10" t="s">
        <v>38</v>
      </c>
      <c r="H209" s="10" t="s">
        <v>29</v>
      </c>
      <c r="I209" s="10" t="s">
        <v>1116</v>
      </c>
      <c r="J209" s="10" t="s">
        <v>1135</v>
      </c>
      <c r="K209" s="10" t="s">
        <v>1124</v>
      </c>
      <c r="L209" s="10" t="s">
        <v>954</v>
      </c>
      <c r="M209" s="10" t="s">
        <v>954</v>
      </c>
      <c r="N209" s="10" t="s">
        <v>1104</v>
      </c>
      <c r="O209" s="10" t="s">
        <v>1203</v>
      </c>
      <c r="P209" s="10" t="s">
        <v>1105</v>
      </c>
      <c r="Q209" s="10" t="s">
        <v>1105</v>
      </c>
    </row>
    <row r="210" spans="1:17">
      <c r="A210" s="10" t="s">
        <v>713</v>
      </c>
      <c r="B210" s="10" t="s">
        <v>714</v>
      </c>
      <c r="C210" s="10" t="s">
        <v>18</v>
      </c>
      <c r="D210" s="10" t="s">
        <v>80</v>
      </c>
      <c r="E210" s="10" t="s">
        <v>201</v>
      </c>
      <c r="F210" s="10" t="s">
        <v>30</v>
      </c>
      <c r="G210" s="10" t="s">
        <v>22</v>
      </c>
      <c r="H210" s="10" t="s">
        <v>83</v>
      </c>
      <c r="I210" s="10" t="s">
        <v>1217</v>
      </c>
      <c r="J210" s="10" t="s">
        <v>1101</v>
      </c>
      <c r="K210" s="10" t="s">
        <v>1218</v>
      </c>
      <c r="L210" s="10" t="s">
        <v>947</v>
      </c>
      <c r="M210" s="10" t="s">
        <v>1103</v>
      </c>
      <c r="N210" s="10" t="s">
        <v>1104</v>
      </c>
      <c r="O210" s="10" t="s">
        <v>205</v>
      </c>
      <c r="P210" s="10" t="s">
        <v>1105</v>
      </c>
      <c r="Q210" s="10" t="s">
        <v>1105</v>
      </c>
    </row>
    <row r="211" spans="1:17">
      <c r="A211" s="10" t="s">
        <v>711</v>
      </c>
      <c r="B211" s="10" t="s">
        <v>712</v>
      </c>
      <c r="C211" s="10" t="s">
        <v>18</v>
      </c>
      <c r="D211" s="10" t="s">
        <v>80</v>
      </c>
      <c r="E211" s="10" t="s">
        <v>201</v>
      </c>
      <c r="F211" s="10" t="s">
        <v>30</v>
      </c>
      <c r="G211" s="10" t="s">
        <v>22</v>
      </c>
      <c r="H211" s="10" t="s">
        <v>83</v>
      </c>
      <c r="I211" s="10" t="s">
        <v>1217</v>
      </c>
      <c r="J211" s="10" t="s">
        <v>1101</v>
      </c>
      <c r="K211" s="10" t="s">
        <v>1218</v>
      </c>
      <c r="L211" s="10" t="s">
        <v>947</v>
      </c>
      <c r="M211" s="10" t="s">
        <v>1103</v>
      </c>
      <c r="N211" s="10" t="s">
        <v>1104</v>
      </c>
      <c r="O211" s="10" t="s">
        <v>205</v>
      </c>
      <c r="P211" s="10" t="s">
        <v>1105</v>
      </c>
      <c r="Q211" s="10" t="s">
        <v>1105</v>
      </c>
    </row>
    <row r="212" spans="1:17">
      <c r="A212" s="10" t="s">
        <v>709</v>
      </c>
      <c r="B212" s="10" t="s">
        <v>710</v>
      </c>
      <c r="C212" s="10" t="s">
        <v>18</v>
      </c>
      <c r="D212" s="10" t="s">
        <v>80</v>
      </c>
      <c r="E212" s="10" t="s">
        <v>201</v>
      </c>
      <c r="F212" s="10" t="s">
        <v>30</v>
      </c>
      <c r="G212" s="10" t="s">
        <v>22</v>
      </c>
      <c r="H212" s="10" t="s">
        <v>83</v>
      </c>
      <c r="I212" s="10" t="s">
        <v>1219</v>
      </c>
      <c r="J212" s="10" t="s">
        <v>1135</v>
      </c>
      <c r="K212" s="10" t="s">
        <v>1220</v>
      </c>
      <c r="L212" s="10" t="s">
        <v>947</v>
      </c>
      <c r="M212" s="10" t="s">
        <v>1119</v>
      </c>
      <c r="N212" s="10" t="s">
        <v>1104</v>
      </c>
      <c r="O212" s="10" t="s">
        <v>205</v>
      </c>
      <c r="P212" s="10" t="s">
        <v>1105</v>
      </c>
      <c r="Q212" s="10" t="s">
        <v>1105</v>
      </c>
    </row>
    <row r="213" spans="1:17">
      <c r="A213" s="10" t="s">
        <v>707</v>
      </c>
      <c r="B213" s="10" t="s">
        <v>708</v>
      </c>
      <c r="C213" s="10" t="s">
        <v>18</v>
      </c>
      <c r="D213" s="10" t="s">
        <v>80</v>
      </c>
      <c r="E213" s="10" t="s">
        <v>556</v>
      </c>
      <c r="F213" s="10" t="s">
        <v>238</v>
      </c>
      <c r="G213" s="10" t="s">
        <v>156</v>
      </c>
      <c r="H213" s="10" t="s">
        <v>83</v>
      </c>
      <c r="I213" s="10" t="s">
        <v>1148</v>
      </c>
      <c r="J213" s="10" t="s">
        <v>1114</v>
      </c>
      <c r="K213" s="10" t="s">
        <v>1124</v>
      </c>
      <c r="L213" s="10" t="s">
        <v>954</v>
      </c>
      <c r="M213" s="10" t="s">
        <v>954</v>
      </c>
      <c r="N213" s="10" t="s">
        <v>1104</v>
      </c>
      <c r="O213" s="10" t="s">
        <v>1149</v>
      </c>
      <c r="P213" s="10" t="s">
        <v>1105</v>
      </c>
      <c r="Q213" s="10" t="s">
        <v>1105</v>
      </c>
    </row>
    <row r="214" spans="1:17">
      <c r="A214" s="10" t="s">
        <v>705</v>
      </c>
      <c r="B214" s="10" t="s">
        <v>706</v>
      </c>
      <c r="C214" s="10" t="s">
        <v>18</v>
      </c>
      <c r="D214" s="10" t="s">
        <v>80</v>
      </c>
      <c r="E214" s="10" t="s">
        <v>556</v>
      </c>
      <c r="F214" s="10" t="s">
        <v>238</v>
      </c>
      <c r="G214" s="10" t="s">
        <v>156</v>
      </c>
      <c r="H214" s="10" t="s">
        <v>83</v>
      </c>
      <c r="I214" s="10" t="s">
        <v>1148</v>
      </c>
      <c r="J214" s="10" t="s">
        <v>1114</v>
      </c>
      <c r="K214" s="10" t="s">
        <v>1124</v>
      </c>
      <c r="L214" s="10" t="s">
        <v>954</v>
      </c>
      <c r="M214" s="10" t="s">
        <v>954</v>
      </c>
      <c r="N214" s="10" t="s">
        <v>1104</v>
      </c>
      <c r="O214" s="10" t="s">
        <v>1149</v>
      </c>
      <c r="P214" s="10" t="s">
        <v>1105</v>
      </c>
      <c r="Q214" s="10" t="s">
        <v>1105</v>
      </c>
    </row>
    <row r="215" spans="1:17">
      <c r="A215" s="10" t="s">
        <v>703</v>
      </c>
      <c r="B215" s="10" t="s">
        <v>704</v>
      </c>
      <c r="C215" s="10" t="s">
        <v>18</v>
      </c>
      <c r="D215" s="10" t="s">
        <v>80</v>
      </c>
      <c r="E215" s="10" t="s">
        <v>551</v>
      </c>
      <c r="F215" s="10" t="s">
        <v>238</v>
      </c>
      <c r="G215" s="10" t="s">
        <v>156</v>
      </c>
      <c r="H215" s="10" t="s">
        <v>83</v>
      </c>
      <c r="I215" s="10" t="s">
        <v>1148</v>
      </c>
      <c r="J215" s="10" t="s">
        <v>1114</v>
      </c>
      <c r="K215" s="10" t="s">
        <v>1124</v>
      </c>
      <c r="L215" s="10" t="s">
        <v>954</v>
      </c>
      <c r="M215" s="10" t="s">
        <v>954</v>
      </c>
      <c r="N215" s="10" t="s">
        <v>1104</v>
      </c>
      <c r="O215" s="10" t="s">
        <v>1149</v>
      </c>
      <c r="P215" s="10" t="s">
        <v>1105</v>
      </c>
      <c r="Q215" s="10" t="s">
        <v>1105</v>
      </c>
    </row>
    <row r="216" spans="1:17">
      <c r="A216" s="10" t="s">
        <v>701</v>
      </c>
      <c r="B216" s="10" t="s">
        <v>702</v>
      </c>
      <c r="C216" s="10" t="s">
        <v>18</v>
      </c>
      <c r="D216" s="10" t="s">
        <v>80</v>
      </c>
      <c r="E216" s="10" t="s">
        <v>551</v>
      </c>
      <c r="F216" s="10" t="s">
        <v>238</v>
      </c>
      <c r="G216" s="10" t="s">
        <v>156</v>
      </c>
      <c r="H216" s="10" t="s">
        <v>83</v>
      </c>
      <c r="I216" s="10" t="s">
        <v>1148</v>
      </c>
      <c r="J216" s="10" t="s">
        <v>1114</v>
      </c>
      <c r="K216" s="10" t="s">
        <v>1124</v>
      </c>
      <c r="L216" s="10" t="s">
        <v>954</v>
      </c>
      <c r="M216" s="10" t="s">
        <v>954</v>
      </c>
      <c r="N216" s="10" t="s">
        <v>1104</v>
      </c>
      <c r="O216" s="10" t="s">
        <v>1149</v>
      </c>
      <c r="P216" s="10" t="s">
        <v>1105</v>
      </c>
      <c r="Q216" s="10" t="s">
        <v>1105</v>
      </c>
    </row>
    <row r="217" spans="1:17">
      <c r="A217" s="10" t="s">
        <v>1221</v>
      </c>
      <c r="B217" s="10" t="s">
        <v>1222</v>
      </c>
      <c r="C217" s="10" t="s">
        <v>18</v>
      </c>
      <c r="D217" s="10" t="s">
        <v>80</v>
      </c>
      <c r="E217" s="10" t="s">
        <v>556</v>
      </c>
      <c r="F217" s="10" t="s">
        <v>238</v>
      </c>
      <c r="G217" s="10" t="s">
        <v>156</v>
      </c>
      <c r="H217" s="10" t="s">
        <v>83</v>
      </c>
      <c r="I217" s="10" t="s">
        <v>1120</v>
      </c>
      <c r="J217" s="10" t="s">
        <v>1121</v>
      </c>
      <c r="K217" s="10" t="s">
        <v>1114</v>
      </c>
      <c r="L217" s="10" t="s">
        <v>947</v>
      </c>
      <c r="M217" s="10" t="s">
        <v>1103</v>
      </c>
      <c r="N217" s="10" t="s">
        <v>1104</v>
      </c>
      <c r="O217" s="10" t="s">
        <v>205</v>
      </c>
      <c r="P217" s="10" t="s">
        <v>1105</v>
      </c>
      <c r="Q217" s="10" t="s">
        <v>1105</v>
      </c>
    </row>
    <row r="218" spans="1:17">
      <c r="A218" s="10" t="s">
        <v>1223</v>
      </c>
      <c r="B218" s="10" t="s">
        <v>1224</v>
      </c>
      <c r="C218" s="10" t="s">
        <v>18</v>
      </c>
      <c r="D218" s="10" t="s">
        <v>80</v>
      </c>
      <c r="E218" s="10" t="s">
        <v>556</v>
      </c>
      <c r="F218" s="10" t="s">
        <v>238</v>
      </c>
      <c r="G218" s="10" t="s">
        <v>156</v>
      </c>
      <c r="H218" s="10" t="s">
        <v>83</v>
      </c>
      <c r="I218" s="10" t="s">
        <v>1154</v>
      </c>
      <c r="J218" s="10" t="s">
        <v>1123</v>
      </c>
      <c r="K218" s="10" t="s">
        <v>1155</v>
      </c>
      <c r="L218" s="10" t="s">
        <v>947</v>
      </c>
      <c r="M218" s="10" t="s">
        <v>1103</v>
      </c>
      <c r="N218" s="10" t="s">
        <v>1104</v>
      </c>
      <c r="O218" s="10" t="s">
        <v>665</v>
      </c>
      <c r="P218" s="10" t="s">
        <v>1105</v>
      </c>
      <c r="Q218" s="10" t="s">
        <v>1105</v>
      </c>
    </row>
    <row r="219" spans="1:17">
      <c r="A219" s="10" t="s">
        <v>1225</v>
      </c>
      <c r="B219" s="10" t="s">
        <v>1226</v>
      </c>
      <c r="C219" s="10" t="s">
        <v>18</v>
      </c>
      <c r="D219" s="10" t="s">
        <v>80</v>
      </c>
      <c r="E219" s="10" t="s">
        <v>556</v>
      </c>
      <c r="F219" s="10" t="s">
        <v>238</v>
      </c>
      <c r="G219" s="10" t="s">
        <v>156</v>
      </c>
      <c r="H219" s="10" t="s">
        <v>83</v>
      </c>
      <c r="I219" s="10" t="s">
        <v>1130</v>
      </c>
      <c r="J219" s="10" t="s">
        <v>1101</v>
      </c>
      <c r="K219" s="10" t="s">
        <v>1101</v>
      </c>
      <c r="L219" s="10" t="s">
        <v>947</v>
      </c>
      <c r="M219" s="10" t="s">
        <v>1103</v>
      </c>
      <c r="N219" s="10" t="s">
        <v>1104</v>
      </c>
      <c r="O219" s="10" t="s">
        <v>351</v>
      </c>
      <c r="P219" s="10" t="s">
        <v>1105</v>
      </c>
      <c r="Q219" s="10" t="s">
        <v>1105</v>
      </c>
    </row>
    <row r="220" spans="1:17">
      <c r="A220" s="10" t="s">
        <v>1227</v>
      </c>
      <c r="B220" s="10" t="s">
        <v>1228</v>
      </c>
      <c r="C220" s="10" t="s">
        <v>18</v>
      </c>
      <c r="D220" s="10" t="s">
        <v>80</v>
      </c>
      <c r="E220" s="10" t="s">
        <v>556</v>
      </c>
      <c r="F220" s="10" t="s">
        <v>238</v>
      </c>
      <c r="G220" s="10" t="s">
        <v>156</v>
      </c>
      <c r="H220" s="10" t="s">
        <v>83</v>
      </c>
      <c r="I220" s="10" t="s">
        <v>1116</v>
      </c>
      <c r="J220" s="10" t="s">
        <v>1135</v>
      </c>
      <c r="K220" s="10" t="s">
        <v>1124</v>
      </c>
      <c r="L220" s="10" t="s">
        <v>947</v>
      </c>
      <c r="M220" s="10" t="s">
        <v>1119</v>
      </c>
      <c r="N220" s="10" t="s">
        <v>1104</v>
      </c>
      <c r="O220" s="10" t="s">
        <v>351</v>
      </c>
      <c r="P220" s="10" t="s">
        <v>1105</v>
      </c>
      <c r="Q220" s="10" t="s">
        <v>1105</v>
      </c>
    </row>
    <row r="221" spans="1:17">
      <c r="A221" s="10" t="s">
        <v>1229</v>
      </c>
      <c r="B221" s="10" t="s">
        <v>1230</v>
      </c>
      <c r="C221" s="10" t="s">
        <v>18</v>
      </c>
      <c r="D221" s="10" t="s">
        <v>80</v>
      </c>
      <c r="E221" s="10" t="s">
        <v>556</v>
      </c>
      <c r="F221" s="10" t="s">
        <v>238</v>
      </c>
      <c r="G221" s="10" t="s">
        <v>156</v>
      </c>
      <c r="H221" s="10" t="s">
        <v>83</v>
      </c>
      <c r="I221" s="10" t="s">
        <v>1120</v>
      </c>
      <c r="J221" s="10" t="s">
        <v>1121</v>
      </c>
      <c r="K221" s="10" t="s">
        <v>1114</v>
      </c>
      <c r="L221" s="10" t="s">
        <v>947</v>
      </c>
      <c r="M221" s="10" t="s">
        <v>1103</v>
      </c>
      <c r="N221" s="10" t="s">
        <v>1104</v>
      </c>
      <c r="O221" s="10" t="s">
        <v>205</v>
      </c>
      <c r="P221" s="10" t="s">
        <v>1105</v>
      </c>
      <c r="Q221" s="10" t="s">
        <v>1105</v>
      </c>
    </row>
    <row r="222" spans="1:17">
      <c r="A222" s="10" t="s">
        <v>1231</v>
      </c>
      <c r="B222" s="10" t="s">
        <v>1232</v>
      </c>
      <c r="C222" s="10" t="s">
        <v>18</v>
      </c>
      <c r="D222" s="10" t="s">
        <v>80</v>
      </c>
      <c r="E222" s="10" t="s">
        <v>556</v>
      </c>
      <c r="F222" s="10" t="s">
        <v>238</v>
      </c>
      <c r="G222" s="10" t="s">
        <v>156</v>
      </c>
      <c r="H222" s="10" t="s">
        <v>83</v>
      </c>
      <c r="I222" s="10" t="s">
        <v>1154</v>
      </c>
      <c r="J222" s="10" t="s">
        <v>1123</v>
      </c>
      <c r="K222" s="10" t="s">
        <v>1155</v>
      </c>
      <c r="L222" s="10" t="s">
        <v>947</v>
      </c>
      <c r="M222" s="10" t="s">
        <v>1103</v>
      </c>
      <c r="N222" s="10" t="s">
        <v>1104</v>
      </c>
      <c r="O222" s="10" t="s">
        <v>665</v>
      </c>
      <c r="P222" s="10" t="s">
        <v>1105</v>
      </c>
      <c r="Q222" s="10" t="s">
        <v>1105</v>
      </c>
    </row>
    <row r="223" spans="1:17">
      <c r="A223" s="10" t="s">
        <v>1233</v>
      </c>
      <c r="B223" s="10" t="s">
        <v>1234</v>
      </c>
      <c r="C223" s="10" t="s">
        <v>18</v>
      </c>
      <c r="D223" s="10" t="s">
        <v>80</v>
      </c>
      <c r="E223" s="10" t="s">
        <v>556</v>
      </c>
      <c r="F223" s="10" t="s">
        <v>238</v>
      </c>
      <c r="G223" s="10" t="s">
        <v>156</v>
      </c>
      <c r="H223" s="10" t="s">
        <v>83</v>
      </c>
      <c r="I223" s="10" t="s">
        <v>1130</v>
      </c>
      <c r="J223" s="10" t="s">
        <v>1101</v>
      </c>
      <c r="K223" s="10" t="s">
        <v>1101</v>
      </c>
      <c r="L223" s="10" t="s">
        <v>947</v>
      </c>
      <c r="M223" s="10" t="s">
        <v>1103</v>
      </c>
      <c r="N223" s="10" t="s">
        <v>1104</v>
      </c>
      <c r="O223" s="10" t="s">
        <v>351</v>
      </c>
      <c r="P223" s="10" t="s">
        <v>1105</v>
      </c>
      <c r="Q223" s="10" t="s">
        <v>1105</v>
      </c>
    </row>
    <row r="224" spans="1:17">
      <c r="A224" s="10" t="s">
        <v>1235</v>
      </c>
      <c r="B224" s="10" t="s">
        <v>1236</v>
      </c>
      <c r="C224" s="10" t="s">
        <v>18</v>
      </c>
      <c r="D224" s="10" t="s">
        <v>80</v>
      </c>
      <c r="E224" s="10" t="s">
        <v>556</v>
      </c>
      <c r="F224" s="10" t="s">
        <v>238</v>
      </c>
      <c r="G224" s="10" t="s">
        <v>156</v>
      </c>
      <c r="H224" s="10" t="s">
        <v>83</v>
      </c>
      <c r="I224" s="10" t="s">
        <v>1116</v>
      </c>
      <c r="J224" s="10" t="s">
        <v>1135</v>
      </c>
      <c r="K224" s="10" t="s">
        <v>1124</v>
      </c>
      <c r="L224" s="10" t="s">
        <v>947</v>
      </c>
      <c r="M224" s="10" t="s">
        <v>1119</v>
      </c>
      <c r="N224" s="10" t="s">
        <v>1104</v>
      </c>
      <c r="O224" s="10" t="s">
        <v>351</v>
      </c>
      <c r="P224" s="10" t="s">
        <v>1105</v>
      </c>
      <c r="Q224" s="10" t="s">
        <v>1105</v>
      </c>
    </row>
    <row r="225" spans="1:17">
      <c r="A225" s="10" t="s">
        <v>1237</v>
      </c>
      <c r="B225" s="10" t="s">
        <v>1238</v>
      </c>
      <c r="C225" s="10" t="s">
        <v>18</v>
      </c>
      <c r="D225" s="10" t="s">
        <v>80</v>
      </c>
      <c r="E225" s="10" t="s">
        <v>551</v>
      </c>
      <c r="F225" s="10" t="s">
        <v>238</v>
      </c>
      <c r="G225" s="10" t="s">
        <v>156</v>
      </c>
      <c r="H225" s="10" t="s">
        <v>83</v>
      </c>
      <c r="I225" s="10" t="s">
        <v>1120</v>
      </c>
      <c r="J225" s="10" t="s">
        <v>1121</v>
      </c>
      <c r="K225" s="10" t="s">
        <v>1114</v>
      </c>
      <c r="L225" s="10" t="s">
        <v>947</v>
      </c>
      <c r="M225" s="10" t="s">
        <v>1103</v>
      </c>
      <c r="N225" s="10" t="s">
        <v>1104</v>
      </c>
      <c r="O225" s="10" t="s">
        <v>205</v>
      </c>
      <c r="P225" s="10" t="s">
        <v>1105</v>
      </c>
      <c r="Q225" s="10" t="s">
        <v>1105</v>
      </c>
    </row>
    <row r="226" spans="1:17">
      <c r="A226" s="10" t="s">
        <v>1239</v>
      </c>
      <c r="B226" s="10" t="s">
        <v>1240</v>
      </c>
      <c r="C226" s="10" t="s">
        <v>18</v>
      </c>
      <c r="D226" s="10" t="s">
        <v>80</v>
      </c>
      <c r="E226" s="10" t="s">
        <v>551</v>
      </c>
      <c r="F226" s="10" t="s">
        <v>238</v>
      </c>
      <c r="G226" s="10" t="s">
        <v>156</v>
      </c>
      <c r="H226" s="10" t="s">
        <v>83</v>
      </c>
      <c r="I226" s="10" t="s">
        <v>1154</v>
      </c>
      <c r="J226" s="10" t="s">
        <v>1123</v>
      </c>
      <c r="K226" s="10" t="s">
        <v>1155</v>
      </c>
      <c r="L226" s="10" t="s">
        <v>947</v>
      </c>
      <c r="M226" s="10" t="s">
        <v>1103</v>
      </c>
      <c r="N226" s="10" t="s">
        <v>1104</v>
      </c>
      <c r="O226" s="10" t="s">
        <v>665</v>
      </c>
      <c r="P226" s="10" t="s">
        <v>1105</v>
      </c>
      <c r="Q226" s="10" t="s">
        <v>1105</v>
      </c>
    </row>
    <row r="227" spans="1:17">
      <c r="A227" s="10" t="s">
        <v>1241</v>
      </c>
      <c r="B227" s="10" t="s">
        <v>1242</v>
      </c>
      <c r="C227" s="10" t="s">
        <v>18</v>
      </c>
      <c r="D227" s="10" t="s">
        <v>80</v>
      </c>
      <c r="E227" s="10" t="s">
        <v>551</v>
      </c>
      <c r="F227" s="10" t="s">
        <v>238</v>
      </c>
      <c r="G227" s="10" t="s">
        <v>156</v>
      </c>
      <c r="H227" s="10" t="s">
        <v>83</v>
      </c>
      <c r="I227" s="10" t="s">
        <v>1130</v>
      </c>
      <c r="J227" s="10" t="s">
        <v>1101</v>
      </c>
      <c r="K227" s="10" t="s">
        <v>1101</v>
      </c>
      <c r="L227" s="10" t="s">
        <v>947</v>
      </c>
      <c r="M227" s="10" t="s">
        <v>1103</v>
      </c>
      <c r="N227" s="10" t="s">
        <v>1104</v>
      </c>
      <c r="O227" s="10" t="s">
        <v>351</v>
      </c>
      <c r="P227" s="10" t="s">
        <v>1105</v>
      </c>
      <c r="Q227" s="10" t="s">
        <v>1105</v>
      </c>
    </row>
    <row r="228" spans="1:17">
      <c r="A228" s="10" t="s">
        <v>1243</v>
      </c>
      <c r="B228" s="10" t="s">
        <v>1244</v>
      </c>
      <c r="C228" s="10" t="s">
        <v>18</v>
      </c>
      <c r="D228" s="10" t="s">
        <v>80</v>
      </c>
      <c r="E228" s="10" t="s">
        <v>551</v>
      </c>
      <c r="F228" s="10" t="s">
        <v>238</v>
      </c>
      <c r="G228" s="10" t="s">
        <v>156</v>
      </c>
      <c r="H228" s="10" t="s">
        <v>83</v>
      </c>
      <c r="I228" s="10" t="s">
        <v>1215</v>
      </c>
      <c r="J228" s="10" t="s">
        <v>1114</v>
      </c>
      <c r="K228" s="10" t="s">
        <v>1216</v>
      </c>
      <c r="L228" s="10" t="s">
        <v>947</v>
      </c>
      <c r="M228" s="10" t="s">
        <v>1119</v>
      </c>
      <c r="N228" s="10" t="s">
        <v>1104</v>
      </c>
      <c r="O228" s="10" t="s">
        <v>351</v>
      </c>
      <c r="P228" s="10" t="s">
        <v>1105</v>
      </c>
      <c r="Q228" s="10" t="s">
        <v>1105</v>
      </c>
    </row>
    <row r="229" spans="1:17">
      <c r="A229" s="10" t="s">
        <v>1245</v>
      </c>
      <c r="B229" s="10" t="s">
        <v>1246</v>
      </c>
      <c r="C229" s="10" t="s">
        <v>18</v>
      </c>
      <c r="D229" s="10" t="s">
        <v>80</v>
      </c>
      <c r="E229" s="10" t="s">
        <v>551</v>
      </c>
      <c r="F229" s="10" t="s">
        <v>238</v>
      </c>
      <c r="G229" s="10" t="s">
        <v>156</v>
      </c>
      <c r="H229" s="10" t="s">
        <v>83</v>
      </c>
      <c r="I229" s="10" t="s">
        <v>1116</v>
      </c>
      <c r="J229" s="10" t="s">
        <v>1135</v>
      </c>
      <c r="K229" s="10" t="s">
        <v>1124</v>
      </c>
      <c r="L229" s="10" t="s">
        <v>947</v>
      </c>
      <c r="M229" s="10" t="s">
        <v>1119</v>
      </c>
      <c r="N229" s="10" t="s">
        <v>1104</v>
      </c>
      <c r="O229" s="10" t="s">
        <v>351</v>
      </c>
      <c r="P229" s="10" t="s">
        <v>1105</v>
      </c>
      <c r="Q229" s="10" t="s">
        <v>1105</v>
      </c>
    </row>
    <row r="230" spans="1:17">
      <c r="A230" s="10" t="s">
        <v>1247</v>
      </c>
      <c r="B230" s="10" t="s">
        <v>1248</v>
      </c>
      <c r="C230" s="10" t="s">
        <v>18</v>
      </c>
      <c r="D230" s="10" t="s">
        <v>80</v>
      </c>
      <c r="E230" s="10" t="s">
        <v>551</v>
      </c>
      <c r="F230" s="10" t="s">
        <v>238</v>
      </c>
      <c r="G230" s="10" t="s">
        <v>156</v>
      </c>
      <c r="H230" s="10" t="s">
        <v>83</v>
      </c>
      <c r="I230" s="10" t="s">
        <v>1120</v>
      </c>
      <c r="J230" s="10" t="s">
        <v>1121</v>
      </c>
      <c r="K230" s="10" t="s">
        <v>1114</v>
      </c>
      <c r="L230" s="10" t="s">
        <v>947</v>
      </c>
      <c r="M230" s="10" t="s">
        <v>1103</v>
      </c>
      <c r="N230" s="10" t="s">
        <v>1104</v>
      </c>
      <c r="O230" s="10" t="s">
        <v>205</v>
      </c>
      <c r="P230" s="10" t="s">
        <v>1105</v>
      </c>
      <c r="Q230" s="10" t="s">
        <v>1105</v>
      </c>
    </row>
    <row r="231" spans="1:17">
      <c r="A231" s="10" t="s">
        <v>1249</v>
      </c>
      <c r="B231" s="10" t="s">
        <v>1250</v>
      </c>
      <c r="C231" s="10" t="s">
        <v>18</v>
      </c>
      <c r="D231" s="10" t="s">
        <v>80</v>
      </c>
      <c r="E231" s="10" t="s">
        <v>551</v>
      </c>
      <c r="F231" s="10" t="s">
        <v>238</v>
      </c>
      <c r="G231" s="10" t="s">
        <v>156</v>
      </c>
      <c r="H231" s="10" t="s">
        <v>83</v>
      </c>
      <c r="I231" s="10" t="s">
        <v>1154</v>
      </c>
      <c r="J231" s="10" t="s">
        <v>1123</v>
      </c>
      <c r="K231" s="10" t="s">
        <v>1155</v>
      </c>
      <c r="L231" s="10" t="s">
        <v>947</v>
      </c>
      <c r="M231" s="10" t="s">
        <v>1103</v>
      </c>
      <c r="N231" s="10" t="s">
        <v>1104</v>
      </c>
      <c r="O231" s="10" t="s">
        <v>665</v>
      </c>
      <c r="P231" s="10" t="s">
        <v>1105</v>
      </c>
      <c r="Q231" s="10" t="s">
        <v>1105</v>
      </c>
    </row>
    <row r="232" spans="1:17">
      <c r="A232" s="10" t="s">
        <v>1251</v>
      </c>
      <c r="B232" s="10" t="s">
        <v>1252</v>
      </c>
      <c r="C232" s="10" t="s">
        <v>18</v>
      </c>
      <c r="D232" s="10" t="s">
        <v>80</v>
      </c>
      <c r="E232" s="10" t="s">
        <v>551</v>
      </c>
      <c r="F232" s="10" t="s">
        <v>238</v>
      </c>
      <c r="G232" s="10" t="s">
        <v>156</v>
      </c>
      <c r="H232" s="10" t="s">
        <v>83</v>
      </c>
      <c r="I232" s="10" t="s">
        <v>1130</v>
      </c>
      <c r="J232" s="10" t="s">
        <v>1101</v>
      </c>
      <c r="K232" s="10" t="s">
        <v>1101</v>
      </c>
      <c r="L232" s="10" t="s">
        <v>947</v>
      </c>
      <c r="M232" s="10" t="s">
        <v>1103</v>
      </c>
      <c r="N232" s="10" t="s">
        <v>1104</v>
      </c>
      <c r="O232" s="10" t="s">
        <v>351</v>
      </c>
      <c r="P232" s="10" t="s">
        <v>1105</v>
      </c>
      <c r="Q232" s="10" t="s">
        <v>1105</v>
      </c>
    </row>
    <row r="233" spans="1:17">
      <c r="A233" s="10" t="s">
        <v>1253</v>
      </c>
      <c r="B233" s="10" t="s">
        <v>1254</v>
      </c>
      <c r="C233" s="10" t="s">
        <v>18</v>
      </c>
      <c r="D233" s="10" t="s">
        <v>80</v>
      </c>
      <c r="E233" s="10" t="s">
        <v>551</v>
      </c>
      <c r="F233" s="10" t="s">
        <v>238</v>
      </c>
      <c r="G233" s="10" t="s">
        <v>156</v>
      </c>
      <c r="H233" s="10" t="s">
        <v>83</v>
      </c>
      <c r="I233" s="10" t="s">
        <v>1215</v>
      </c>
      <c r="J233" s="10" t="s">
        <v>1114</v>
      </c>
      <c r="K233" s="10" t="s">
        <v>1216</v>
      </c>
      <c r="L233" s="10" t="s">
        <v>947</v>
      </c>
      <c r="M233" s="10" t="s">
        <v>1119</v>
      </c>
      <c r="N233" s="10" t="s">
        <v>1104</v>
      </c>
      <c r="O233" s="10" t="s">
        <v>351</v>
      </c>
      <c r="P233" s="10" t="s">
        <v>1105</v>
      </c>
      <c r="Q233" s="10" t="s">
        <v>1105</v>
      </c>
    </row>
    <row r="234" spans="1:17">
      <c r="A234" s="10" t="s">
        <v>1255</v>
      </c>
      <c r="B234" s="10" t="s">
        <v>1256</v>
      </c>
      <c r="C234" s="10" t="s">
        <v>18</v>
      </c>
      <c r="D234" s="10" t="s">
        <v>80</v>
      </c>
      <c r="E234" s="10" t="s">
        <v>551</v>
      </c>
      <c r="F234" s="10" t="s">
        <v>238</v>
      </c>
      <c r="G234" s="10" t="s">
        <v>156</v>
      </c>
      <c r="H234" s="10" t="s">
        <v>83</v>
      </c>
      <c r="I234" s="10" t="s">
        <v>1257</v>
      </c>
      <c r="J234" s="10" t="s">
        <v>1135</v>
      </c>
      <c r="K234" s="10" t="s">
        <v>1210</v>
      </c>
      <c r="L234" s="10" t="s">
        <v>947</v>
      </c>
      <c r="M234" s="10" t="s">
        <v>1129</v>
      </c>
      <c r="N234" s="10" t="s">
        <v>1104</v>
      </c>
      <c r="O234" s="10" t="s">
        <v>351</v>
      </c>
      <c r="P234" s="10" t="s">
        <v>1105</v>
      </c>
      <c r="Q234" s="10" t="s">
        <v>1105</v>
      </c>
    </row>
    <row r="235" spans="1:17">
      <c r="A235" s="10" t="s">
        <v>1258</v>
      </c>
      <c r="B235" s="10" t="s">
        <v>1259</v>
      </c>
      <c r="C235" s="10" t="s">
        <v>18</v>
      </c>
      <c r="D235" s="10" t="s">
        <v>80</v>
      </c>
      <c r="E235" s="10" t="s">
        <v>551</v>
      </c>
      <c r="F235" s="10" t="s">
        <v>238</v>
      </c>
      <c r="G235" s="10" t="s">
        <v>156</v>
      </c>
      <c r="H235" s="10" t="s">
        <v>83</v>
      </c>
      <c r="I235" s="10" t="s">
        <v>1116</v>
      </c>
      <c r="J235" s="10" t="s">
        <v>1135</v>
      </c>
      <c r="K235" s="10" t="s">
        <v>1124</v>
      </c>
      <c r="L235" s="10" t="s">
        <v>947</v>
      </c>
      <c r="M235" s="10" t="s">
        <v>1119</v>
      </c>
      <c r="N235" s="10" t="s">
        <v>1104</v>
      </c>
      <c r="O235" s="10" t="s">
        <v>351</v>
      </c>
      <c r="P235" s="10" t="s">
        <v>1105</v>
      </c>
      <c r="Q235" s="10" t="s">
        <v>1105</v>
      </c>
    </row>
    <row r="236" spans="1:17">
      <c r="A236" s="10" t="s">
        <v>699</v>
      </c>
      <c r="B236" s="10" t="s">
        <v>700</v>
      </c>
      <c r="C236" s="10" t="s">
        <v>18</v>
      </c>
      <c r="D236" s="10" t="s">
        <v>535</v>
      </c>
      <c r="E236" s="10" t="s">
        <v>536</v>
      </c>
      <c r="F236" s="10" t="s">
        <v>535</v>
      </c>
      <c r="G236" s="10" t="s">
        <v>22</v>
      </c>
      <c r="H236" s="10" t="s">
        <v>535</v>
      </c>
      <c r="I236" s="10" t="s">
        <v>1116</v>
      </c>
      <c r="J236" s="10" t="s">
        <v>1135</v>
      </c>
      <c r="K236" s="10" t="s">
        <v>1124</v>
      </c>
      <c r="L236" s="10" t="s">
        <v>954</v>
      </c>
      <c r="M236" s="10" t="s">
        <v>1119</v>
      </c>
      <c r="N236" s="10" t="s">
        <v>1104</v>
      </c>
      <c r="O236" s="10" t="s">
        <v>1149</v>
      </c>
      <c r="P236" s="10" t="s">
        <v>1105</v>
      </c>
      <c r="Q236" s="10" t="s">
        <v>1105</v>
      </c>
    </row>
    <row r="237" spans="1:17">
      <c r="A237" s="10" t="s">
        <v>696</v>
      </c>
      <c r="B237" s="10" t="s">
        <v>697</v>
      </c>
      <c r="C237" s="10" t="s">
        <v>18</v>
      </c>
      <c r="D237" s="10" t="s">
        <v>535</v>
      </c>
      <c r="E237" s="10" t="s">
        <v>698</v>
      </c>
      <c r="F237" s="10" t="s">
        <v>535</v>
      </c>
      <c r="G237" s="10" t="s">
        <v>22</v>
      </c>
      <c r="H237" s="10" t="s">
        <v>535</v>
      </c>
      <c r="I237" s="10" t="s">
        <v>1116</v>
      </c>
      <c r="J237" s="10" t="s">
        <v>1135</v>
      </c>
      <c r="K237" s="10" t="s">
        <v>1124</v>
      </c>
      <c r="L237" s="10" t="s">
        <v>954</v>
      </c>
      <c r="M237" s="10" t="s">
        <v>1119</v>
      </c>
      <c r="N237" s="10" t="s">
        <v>1104</v>
      </c>
      <c r="O237" s="10" t="s">
        <v>1149</v>
      </c>
      <c r="P237" s="10" t="s">
        <v>1105</v>
      </c>
      <c r="Q237" s="10" t="s">
        <v>1105</v>
      </c>
    </row>
    <row r="238" spans="1:17">
      <c r="A238" s="10" t="s">
        <v>694</v>
      </c>
      <c r="B238" s="10" t="s">
        <v>695</v>
      </c>
      <c r="C238" s="10" t="s">
        <v>691</v>
      </c>
      <c r="D238" s="10" t="s">
        <v>29</v>
      </c>
      <c r="E238" s="10" t="s">
        <v>29</v>
      </c>
      <c r="F238" s="10" t="s">
        <v>29</v>
      </c>
      <c r="G238" s="10" t="s">
        <v>156</v>
      </c>
      <c r="H238" s="10" t="s">
        <v>29</v>
      </c>
      <c r="I238" s="10" t="s">
        <v>1116</v>
      </c>
      <c r="J238" s="10" t="s">
        <v>1260</v>
      </c>
      <c r="K238" s="10" t="s">
        <v>1114</v>
      </c>
      <c r="L238" s="10" t="s">
        <v>947</v>
      </c>
      <c r="M238" s="10" t="s">
        <v>1119</v>
      </c>
      <c r="N238" s="10" t="s">
        <v>1104</v>
      </c>
      <c r="O238" s="10" t="s">
        <v>351</v>
      </c>
      <c r="P238" s="10" t="s">
        <v>1105</v>
      </c>
      <c r="Q238" s="10" t="s">
        <v>1105</v>
      </c>
    </row>
    <row r="239" spans="1:17">
      <c r="A239" s="10" t="s">
        <v>692</v>
      </c>
      <c r="B239" s="10" t="s">
        <v>693</v>
      </c>
      <c r="C239" s="10" t="s">
        <v>691</v>
      </c>
      <c r="D239" s="10" t="s">
        <v>29</v>
      </c>
      <c r="E239" s="10" t="s">
        <v>29</v>
      </c>
      <c r="F239" s="10" t="s">
        <v>29</v>
      </c>
      <c r="G239" s="10" t="s">
        <v>156</v>
      </c>
      <c r="H239" s="10" t="s">
        <v>29</v>
      </c>
      <c r="I239" s="10" t="s">
        <v>1116</v>
      </c>
      <c r="J239" s="10" t="s">
        <v>1260</v>
      </c>
      <c r="K239" s="10" t="s">
        <v>1114</v>
      </c>
      <c r="L239" s="10" t="s">
        <v>947</v>
      </c>
      <c r="M239" s="10" t="s">
        <v>1119</v>
      </c>
      <c r="N239" s="10" t="s">
        <v>1104</v>
      </c>
      <c r="O239" s="10" t="s">
        <v>351</v>
      </c>
      <c r="P239" s="10" t="s">
        <v>1105</v>
      </c>
      <c r="Q239" s="10" t="s">
        <v>1105</v>
      </c>
    </row>
    <row r="240" spans="1:17">
      <c r="A240" s="10" t="s">
        <v>689</v>
      </c>
      <c r="B240" s="10" t="s">
        <v>690</v>
      </c>
      <c r="C240" s="10" t="s">
        <v>691</v>
      </c>
      <c r="D240" s="10" t="s">
        <v>29</v>
      </c>
      <c r="E240" s="10" t="s">
        <v>29</v>
      </c>
      <c r="F240" s="10" t="s">
        <v>29</v>
      </c>
      <c r="G240" s="10" t="s">
        <v>42</v>
      </c>
      <c r="H240" s="10" t="s">
        <v>29</v>
      </c>
      <c r="I240" s="10" t="s">
        <v>1116</v>
      </c>
      <c r="J240" s="10" t="s">
        <v>1260</v>
      </c>
      <c r="K240" s="10" t="s">
        <v>1114</v>
      </c>
      <c r="L240" s="10" t="s">
        <v>947</v>
      </c>
      <c r="M240" s="10" t="s">
        <v>1119</v>
      </c>
      <c r="N240" s="10" t="s">
        <v>1104</v>
      </c>
      <c r="O240" s="10" t="s">
        <v>351</v>
      </c>
      <c r="P240" s="10" t="s">
        <v>1105</v>
      </c>
      <c r="Q240" s="10" t="s">
        <v>1105</v>
      </c>
    </row>
    <row r="241" spans="1:17">
      <c r="A241" s="10" t="s">
        <v>1261</v>
      </c>
      <c r="B241" s="10" t="s">
        <v>1262</v>
      </c>
      <c r="C241" s="10" t="s">
        <v>18</v>
      </c>
      <c r="D241" s="10" t="s">
        <v>107</v>
      </c>
      <c r="E241" s="10" t="s">
        <v>676</v>
      </c>
      <c r="F241" s="10" t="s">
        <v>618</v>
      </c>
      <c r="G241" s="10" t="s">
        <v>156</v>
      </c>
      <c r="H241" s="10" t="s">
        <v>110</v>
      </c>
      <c r="I241" s="10" t="s">
        <v>1111</v>
      </c>
      <c r="J241" s="10" t="s">
        <v>1101</v>
      </c>
      <c r="K241" s="10" t="s">
        <v>1112</v>
      </c>
      <c r="L241" s="10" t="s">
        <v>947</v>
      </c>
      <c r="M241" s="10" t="s">
        <v>1103</v>
      </c>
      <c r="N241" s="10" t="s">
        <v>1104</v>
      </c>
      <c r="O241" s="10" t="s">
        <v>205</v>
      </c>
      <c r="P241" s="10" t="s">
        <v>1105</v>
      </c>
      <c r="Q241" s="10" t="s">
        <v>1105</v>
      </c>
    </row>
    <row r="242" spans="1:17">
      <c r="A242" s="10" t="s">
        <v>1263</v>
      </c>
      <c r="B242" s="10" t="s">
        <v>1264</v>
      </c>
      <c r="C242" s="10" t="s">
        <v>18</v>
      </c>
      <c r="D242" s="10" t="s">
        <v>107</v>
      </c>
      <c r="E242" s="10" t="s">
        <v>676</v>
      </c>
      <c r="F242" s="10" t="s">
        <v>618</v>
      </c>
      <c r="G242" s="10" t="s">
        <v>156</v>
      </c>
      <c r="H242" s="10" t="s">
        <v>110</v>
      </c>
      <c r="I242" s="10" t="s">
        <v>1116</v>
      </c>
      <c r="J242" s="10" t="s">
        <v>1117</v>
      </c>
      <c r="K242" s="10" t="s">
        <v>1118</v>
      </c>
      <c r="L242" s="10" t="s">
        <v>947</v>
      </c>
      <c r="M242" s="10" t="s">
        <v>1119</v>
      </c>
      <c r="N242" s="10" t="s">
        <v>1104</v>
      </c>
      <c r="O242" s="10" t="s">
        <v>205</v>
      </c>
      <c r="P242" s="10" t="s">
        <v>1105</v>
      </c>
      <c r="Q242" s="10" t="s">
        <v>1105</v>
      </c>
    </row>
    <row r="243" spans="1:17">
      <c r="A243" s="10" t="s">
        <v>685</v>
      </c>
      <c r="B243" s="10" t="s">
        <v>686</v>
      </c>
      <c r="C243" s="10" t="s">
        <v>18</v>
      </c>
      <c r="D243" s="10" t="s">
        <v>80</v>
      </c>
      <c r="E243" s="10" t="s">
        <v>92</v>
      </c>
      <c r="F243" s="10" t="s">
        <v>93</v>
      </c>
      <c r="G243" s="10" t="s">
        <v>42</v>
      </c>
      <c r="H243" s="10" t="s">
        <v>83</v>
      </c>
      <c r="I243" s="10" t="s">
        <v>1257</v>
      </c>
      <c r="J243" s="10" t="s">
        <v>1135</v>
      </c>
      <c r="K243" s="10" t="s">
        <v>1210</v>
      </c>
      <c r="L243" s="10" t="s">
        <v>947</v>
      </c>
      <c r="M243" s="10" t="s">
        <v>1129</v>
      </c>
      <c r="N243" s="10" t="s">
        <v>1104</v>
      </c>
      <c r="O243" s="10" t="s">
        <v>1136</v>
      </c>
      <c r="P243" s="10" t="s">
        <v>1105</v>
      </c>
      <c r="Q243" s="10" t="s">
        <v>1105</v>
      </c>
    </row>
    <row r="244" spans="1:17">
      <c r="A244" s="10" t="s">
        <v>683</v>
      </c>
      <c r="B244" s="10" t="s">
        <v>684</v>
      </c>
      <c r="C244" s="10" t="s">
        <v>18</v>
      </c>
      <c r="D244" s="10" t="s">
        <v>80</v>
      </c>
      <c r="E244" s="10" t="s">
        <v>92</v>
      </c>
      <c r="F244" s="10" t="s">
        <v>93</v>
      </c>
      <c r="G244" s="10" t="s">
        <v>42</v>
      </c>
      <c r="H244" s="10" t="s">
        <v>83</v>
      </c>
      <c r="I244" s="10" t="s">
        <v>1116</v>
      </c>
      <c r="J244" s="10" t="s">
        <v>1135</v>
      </c>
      <c r="K244" s="10" t="s">
        <v>1124</v>
      </c>
      <c r="L244" s="10" t="s">
        <v>947</v>
      </c>
      <c r="M244" s="10" t="s">
        <v>1119</v>
      </c>
      <c r="N244" s="10" t="s">
        <v>1104</v>
      </c>
      <c r="O244" s="10" t="s">
        <v>1146</v>
      </c>
      <c r="P244" s="10" t="s">
        <v>1105</v>
      </c>
      <c r="Q244" s="10" t="s">
        <v>1105</v>
      </c>
    </row>
    <row r="245" spans="1:17">
      <c r="A245" s="10" t="s">
        <v>681</v>
      </c>
      <c r="B245" s="10" t="s">
        <v>682</v>
      </c>
      <c r="C245" s="10" t="s">
        <v>18</v>
      </c>
      <c r="D245" s="10" t="s">
        <v>80</v>
      </c>
      <c r="E245" s="10" t="s">
        <v>92</v>
      </c>
      <c r="F245" s="10" t="s">
        <v>93</v>
      </c>
      <c r="G245" s="10" t="s">
        <v>42</v>
      </c>
      <c r="H245" s="10" t="s">
        <v>83</v>
      </c>
      <c r="I245" s="10" t="s">
        <v>1148</v>
      </c>
      <c r="J245" s="10" t="s">
        <v>1114</v>
      </c>
      <c r="K245" s="10" t="s">
        <v>1124</v>
      </c>
      <c r="L245" s="10" t="s">
        <v>954</v>
      </c>
      <c r="M245" s="10" t="s">
        <v>954</v>
      </c>
      <c r="N245" s="10" t="s">
        <v>1104</v>
      </c>
      <c r="O245" s="10" t="s">
        <v>1149</v>
      </c>
      <c r="P245" s="10" t="s">
        <v>1105</v>
      </c>
      <c r="Q245" s="10" t="s">
        <v>1105</v>
      </c>
    </row>
    <row r="246" spans="1:17">
      <c r="A246" s="10" t="s">
        <v>679</v>
      </c>
      <c r="B246" s="10" t="s">
        <v>680</v>
      </c>
      <c r="C246" s="10" t="s">
        <v>18</v>
      </c>
      <c r="D246" s="10" t="s">
        <v>80</v>
      </c>
      <c r="E246" s="10" t="s">
        <v>92</v>
      </c>
      <c r="F246" s="10" t="s">
        <v>93</v>
      </c>
      <c r="G246" s="10" t="s">
        <v>42</v>
      </c>
      <c r="H246" s="10" t="s">
        <v>83</v>
      </c>
      <c r="I246" s="10" t="s">
        <v>1154</v>
      </c>
      <c r="J246" s="10" t="s">
        <v>1123</v>
      </c>
      <c r="K246" s="10" t="s">
        <v>1155</v>
      </c>
      <c r="L246" s="10" t="s">
        <v>947</v>
      </c>
      <c r="M246" s="10" t="s">
        <v>1103</v>
      </c>
      <c r="N246" s="10" t="s">
        <v>1104</v>
      </c>
      <c r="O246" s="10" t="s">
        <v>1265</v>
      </c>
      <c r="P246" s="10" t="s">
        <v>1105</v>
      </c>
      <c r="Q246" s="10" t="s">
        <v>1105</v>
      </c>
    </row>
    <row r="247" spans="1:17">
      <c r="A247" s="10" t="s">
        <v>677</v>
      </c>
      <c r="B247" s="10" t="s">
        <v>678</v>
      </c>
      <c r="C247" s="10" t="s">
        <v>18</v>
      </c>
      <c r="D247" s="10" t="s">
        <v>107</v>
      </c>
      <c r="E247" s="10" t="s">
        <v>676</v>
      </c>
      <c r="F247" s="10" t="s">
        <v>618</v>
      </c>
      <c r="G247" s="10" t="s">
        <v>156</v>
      </c>
      <c r="H247" s="10" t="s">
        <v>110</v>
      </c>
      <c r="I247" s="10" t="s">
        <v>1111</v>
      </c>
      <c r="J247" s="10" t="s">
        <v>1101</v>
      </c>
      <c r="K247" s="10" t="s">
        <v>1112</v>
      </c>
      <c r="L247" s="10" t="s">
        <v>947</v>
      </c>
      <c r="M247" s="10" t="s">
        <v>1103</v>
      </c>
      <c r="N247" s="10" t="s">
        <v>1104</v>
      </c>
      <c r="O247" s="10" t="s">
        <v>205</v>
      </c>
      <c r="P247" s="10" t="s">
        <v>1105</v>
      </c>
      <c r="Q247" s="10" t="s">
        <v>1105</v>
      </c>
    </row>
    <row r="248" spans="1:17">
      <c r="A248" s="10" t="s">
        <v>674</v>
      </c>
      <c r="B248" s="10" t="s">
        <v>675</v>
      </c>
      <c r="C248" s="10" t="s">
        <v>18</v>
      </c>
      <c r="D248" s="10" t="s">
        <v>107</v>
      </c>
      <c r="E248" s="10" t="s">
        <v>676</v>
      </c>
      <c r="F248" s="10" t="s">
        <v>618</v>
      </c>
      <c r="G248" s="10" t="s">
        <v>156</v>
      </c>
      <c r="H248" s="10" t="s">
        <v>110</v>
      </c>
      <c r="I248" s="10" t="s">
        <v>1111</v>
      </c>
      <c r="J248" s="10" t="s">
        <v>1101</v>
      </c>
      <c r="K248" s="10" t="s">
        <v>1112</v>
      </c>
      <c r="L248" s="10" t="s">
        <v>947</v>
      </c>
      <c r="M248" s="10" t="s">
        <v>1103</v>
      </c>
      <c r="N248" s="10" t="s">
        <v>1104</v>
      </c>
      <c r="O248" s="10" t="s">
        <v>205</v>
      </c>
      <c r="P248" s="10" t="s">
        <v>1105</v>
      </c>
      <c r="Q248" s="10" t="s">
        <v>1105</v>
      </c>
    </row>
    <row r="249" spans="1:17">
      <c r="A249" s="10" t="s">
        <v>672</v>
      </c>
      <c r="B249" s="10" t="s">
        <v>673</v>
      </c>
      <c r="C249" s="10" t="s">
        <v>18</v>
      </c>
      <c r="D249" s="10" t="s">
        <v>107</v>
      </c>
      <c r="E249" s="10" t="s">
        <v>632</v>
      </c>
      <c r="F249" s="10" t="s">
        <v>618</v>
      </c>
      <c r="G249" s="10" t="s">
        <v>156</v>
      </c>
      <c r="H249" s="10" t="s">
        <v>110</v>
      </c>
      <c r="I249" s="10" t="s">
        <v>1111</v>
      </c>
      <c r="J249" s="10" t="s">
        <v>1101</v>
      </c>
      <c r="K249" s="10" t="s">
        <v>1112</v>
      </c>
      <c r="L249" s="10" t="s">
        <v>947</v>
      </c>
      <c r="M249" s="10" t="s">
        <v>1103</v>
      </c>
      <c r="N249" s="10" t="s">
        <v>1104</v>
      </c>
      <c r="O249" s="10" t="s">
        <v>205</v>
      </c>
      <c r="P249" s="10" t="s">
        <v>1105</v>
      </c>
      <c r="Q249" s="10" t="s">
        <v>1105</v>
      </c>
    </row>
    <row r="250" spans="1:17">
      <c r="A250" s="10" t="s">
        <v>670</v>
      </c>
      <c r="B250" s="10" t="s">
        <v>671</v>
      </c>
      <c r="C250" s="10" t="s">
        <v>18</v>
      </c>
      <c r="D250" s="10" t="s">
        <v>107</v>
      </c>
      <c r="E250" s="10" t="s">
        <v>632</v>
      </c>
      <c r="F250" s="10" t="s">
        <v>618</v>
      </c>
      <c r="G250" s="10" t="s">
        <v>156</v>
      </c>
      <c r="H250" s="10" t="s">
        <v>110</v>
      </c>
      <c r="I250" s="10" t="s">
        <v>1111</v>
      </c>
      <c r="J250" s="10" t="s">
        <v>1101</v>
      </c>
      <c r="K250" s="10" t="s">
        <v>1112</v>
      </c>
      <c r="L250" s="10" t="s">
        <v>947</v>
      </c>
      <c r="M250" s="10" t="s">
        <v>1103</v>
      </c>
      <c r="N250" s="10" t="s">
        <v>1104</v>
      </c>
      <c r="O250" s="10" t="s">
        <v>216</v>
      </c>
      <c r="P250" s="10" t="s">
        <v>1105</v>
      </c>
      <c r="Q250" s="10" t="s">
        <v>1105</v>
      </c>
    </row>
    <row r="251" spans="1:17">
      <c r="A251" s="10" t="s">
        <v>668</v>
      </c>
      <c r="B251" s="10" t="s">
        <v>669</v>
      </c>
      <c r="C251" s="10" t="s">
        <v>18</v>
      </c>
      <c r="D251" s="10" t="s">
        <v>107</v>
      </c>
      <c r="E251" s="10" t="s">
        <v>632</v>
      </c>
      <c r="F251" s="10" t="s">
        <v>618</v>
      </c>
      <c r="G251" s="10" t="s">
        <v>156</v>
      </c>
      <c r="H251" s="10" t="s">
        <v>110</v>
      </c>
      <c r="I251" s="10" t="s">
        <v>1111</v>
      </c>
      <c r="J251" s="10" t="s">
        <v>1101</v>
      </c>
      <c r="K251" s="10" t="s">
        <v>1112</v>
      </c>
      <c r="L251" s="10" t="s">
        <v>947</v>
      </c>
      <c r="M251" s="10" t="s">
        <v>1103</v>
      </c>
      <c r="N251" s="10" t="s">
        <v>1104</v>
      </c>
      <c r="O251" s="10" t="s">
        <v>623</v>
      </c>
      <c r="P251" s="10" t="s">
        <v>1105</v>
      </c>
      <c r="Q251" s="10" t="s">
        <v>1105</v>
      </c>
    </row>
    <row r="252" spans="1:17">
      <c r="A252" s="10" t="s">
        <v>666</v>
      </c>
      <c r="B252" s="10" t="s">
        <v>667</v>
      </c>
      <c r="C252" s="10" t="s">
        <v>18</v>
      </c>
      <c r="D252" s="10" t="s">
        <v>107</v>
      </c>
      <c r="E252" s="10" t="s">
        <v>617</v>
      </c>
      <c r="F252" s="10" t="s">
        <v>618</v>
      </c>
      <c r="G252" s="10" t="s">
        <v>156</v>
      </c>
      <c r="H252" s="10" t="s">
        <v>110</v>
      </c>
      <c r="I252" s="10" t="s">
        <v>1111</v>
      </c>
      <c r="J252" s="10" t="s">
        <v>1101</v>
      </c>
      <c r="K252" s="10" t="s">
        <v>1112</v>
      </c>
      <c r="L252" s="10" t="s">
        <v>947</v>
      </c>
      <c r="M252" s="10" t="s">
        <v>1103</v>
      </c>
      <c r="N252" s="10" t="s">
        <v>1104</v>
      </c>
      <c r="O252" s="10" t="s">
        <v>216</v>
      </c>
      <c r="P252" s="10" t="s">
        <v>1105</v>
      </c>
      <c r="Q252" s="10" t="s">
        <v>1105</v>
      </c>
    </row>
    <row r="253" spans="1:17">
      <c r="A253" s="10" t="s">
        <v>663</v>
      </c>
      <c r="B253" s="10" t="s">
        <v>664</v>
      </c>
      <c r="C253" s="10" t="s">
        <v>18</v>
      </c>
      <c r="D253" s="10" t="s">
        <v>107</v>
      </c>
      <c r="E253" s="10" t="s">
        <v>617</v>
      </c>
      <c r="F253" s="10" t="s">
        <v>618</v>
      </c>
      <c r="G253" s="10" t="s">
        <v>156</v>
      </c>
      <c r="H253" s="10" t="s">
        <v>110</v>
      </c>
      <c r="I253" s="10" t="s">
        <v>1111</v>
      </c>
      <c r="J253" s="10" t="s">
        <v>1101</v>
      </c>
      <c r="K253" s="10" t="s">
        <v>1112</v>
      </c>
      <c r="L253" s="10" t="s">
        <v>947</v>
      </c>
      <c r="M253" s="10" t="s">
        <v>1103</v>
      </c>
      <c r="N253" s="10" t="s">
        <v>1104</v>
      </c>
      <c r="O253" s="10" t="s">
        <v>362</v>
      </c>
      <c r="P253" s="10" t="s">
        <v>1105</v>
      </c>
      <c r="Q253" s="10" t="s">
        <v>1105</v>
      </c>
    </row>
    <row r="254" spans="1:17">
      <c r="A254" s="10" t="s">
        <v>661</v>
      </c>
      <c r="B254" s="10" t="s">
        <v>662</v>
      </c>
      <c r="C254" s="10" t="s">
        <v>18</v>
      </c>
      <c r="D254" s="10" t="s">
        <v>107</v>
      </c>
      <c r="E254" s="10" t="s">
        <v>365</v>
      </c>
      <c r="F254" s="10" t="s">
        <v>366</v>
      </c>
      <c r="G254" s="10" t="s">
        <v>38</v>
      </c>
      <c r="H254" s="10" t="s">
        <v>110</v>
      </c>
      <c r="I254" s="10" t="s">
        <v>1130</v>
      </c>
      <c r="J254" s="10" t="s">
        <v>1101</v>
      </c>
      <c r="K254" s="10" t="s">
        <v>1101</v>
      </c>
      <c r="L254" s="10" t="s">
        <v>947</v>
      </c>
      <c r="M254" s="10" t="s">
        <v>1103</v>
      </c>
      <c r="N254" s="10" t="s">
        <v>1104</v>
      </c>
      <c r="O254" s="10" t="s">
        <v>1131</v>
      </c>
      <c r="P254" s="10" t="s">
        <v>1105</v>
      </c>
      <c r="Q254" s="10" t="s">
        <v>1105</v>
      </c>
    </row>
    <row r="255" spans="1:17">
      <c r="A255" s="10" t="s">
        <v>659</v>
      </c>
      <c r="B255" s="10" t="s">
        <v>660</v>
      </c>
      <c r="C255" s="10" t="s">
        <v>18</v>
      </c>
      <c r="D255" s="10" t="s">
        <v>107</v>
      </c>
      <c r="E255" s="10" t="s">
        <v>365</v>
      </c>
      <c r="F255" s="10" t="s">
        <v>366</v>
      </c>
      <c r="G255" s="10" t="s">
        <v>38</v>
      </c>
      <c r="H255" s="10" t="s">
        <v>110</v>
      </c>
      <c r="I255" s="10" t="s">
        <v>1125</v>
      </c>
      <c r="J255" s="10" t="s">
        <v>1114</v>
      </c>
      <c r="K255" s="10" t="s">
        <v>1126</v>
      </c>
      <c r="L255" s="10" t="s">
        <v>947</v>
      </c>
      <c r="M255" s="10" t="s">
        <v>1119</v>
      </c>
      <c r="N255" s="10" t="s">
        <v>1104</v>
      </c>
      <c r="O255" s="10" t="s">
        <v>1131</v>
      </c>
      <c r="P255" s="10" t="s">
        <v>1105</v>
      </c>
      <c r="Q255" s="10" t="s">
        <v>1105</v>
      </c>
    </row>
    <row r="256" spans="1:17">
      <c r="A256" s="10" t="s">
        <v>657</v>
      </c>
      <c r="B256" s="10" t="s">
        <v>658</v>
      </c>
      <c r="C256" s="10" t="s">
        <v>18</v>
      </c>
      <c r="D256" s="10" t="s">
        <v>107</v>
      </c>
      <c r="E256" s="10" t="s">
        <v>365</v>
      </c>
      <c r="F256" s="10" t="s">
        <v>366</v>
      </c>
      <c r="G256" s="10" t="s">
        <v>38</v>
      </c>
      <c r="H256" s="10" t="s">
        <v>110</v>
      </c>
      <c r="I256" s="10" t="s">
        <v>1116</v>
      </c>
      <c r="J256" s="10" t="s">
        <v>1135</v>
      </c>
      <c r="K256" s="10" t="s">
        <v>1124</v>
      </c>
      <c r="L256" s="10" t="s">
        <v>947</v>
      </c>
      <c r="M256" s="10" t="s">
        <v>1119</v>
      </c>
      <c r="N256" s="10" t="s">
        <v>1104</v>
      </c>
      <c r="O256" s="10" t="s">
        <v>1131</v>
      </c>
      <c r="P256" s="10" t="s">
        <v>1105</v>
      </c>
      <c r="Q256" s="10" t="s">
        <v>1105</v>
      </c>
    </row>
    <row r="257" spans="1:17">
      <c r="A257" s="10" t="s">
        <v>655</v>
      </c>
      <c r="B257" s="10" t="s">
        <v>656</v>
      </c>
      <c r="C257" s="10" t="s">
        <v>18</v>
      </c>
      <c r="D257" s="10" t="s">
        <v>107</v>
      </c>
      <c r="E257" s="10" t="s">
        <v>365</v>
      </c>
      <c r="F257" s="10" t="s">
        <v>366</v>
      </c>
      <c r="G257" s="10" t="s">
        <v>38</v>
      </c>
      <c r="H257" s="10" t="s">
        <v>110</v>
      </c>
      <c r="I257" s="10" t="s">
        <v>1127</v>
      </c>
      <c r="J257" s="10" t="s">
        <v>1128</v>
      </c>
      <c r="K257" s="10" t="s">
        <v>1126</v>
      </c>
      <c r="L257" s="10" t="s">
        <v>947</v>
      </c>
      <c r="M257" s="10" t="s">
        <v>1129</v>
      </c>
      <c r="N257" s="10" t="s">
        <v>1104</v>
      </c>
      <c r="O257" s="10" t="s">
        <v>1136</v>
      </c>
      <c r="P257" s="10" t="s">
        <v>1105</v>
      </c>
      <c r="Q257" s="10" t="s">
        <v>1105</v>
      </c>
    </row>
    <row r="258" spans="1:17">
      <c r="A258" s="10" t="s">
        <v>653</v>
      </c>
      <c r="B258" s="10" t="s">
        <v>654</v>
      </c>
      <c r="C258" s="10" t="s">
        <v>18</v>
      </c>
      <c r="D258" s="10" t="s">
        <v>107</v>
      </c>
      <c r="E258" s="10" t="s">
        <v>365</v>
      </c>
      <c r="F258" s="10" t="s">
        <v>366</v>
      </c>
      <c r="G258" s="10" t="s">
        <v>38</v>
      </c>
      <c r="H258" s="10" t="s">
        <v>110</v>
      </c>
      <c r="I258" s="10" t="s">
        <v>1137</v>
      </c>
      <c r="J258" s="10" t="s">
        <v>1128</v>
      </c>
      <c r="K258" s="10" t="s">
        <v>1138</v>
      </c>
      <c r="L258" s="10" t="s">
        <v>947</v>
      </c>
      <c r="M258" s="10" t="s">
        <v>1129</v>
      </c>
      <c r="N258" s="10" t="s">
        <v>1104</v>
      </c>
      <c r="O258" s="10" t="s">
        <v>1136</v>
      </c>
      <c r="P258" s="10" t="s">
        <v>1105</v>
      </c>
      <c r="Q258" s="10" t="s">
        <v>1105</v>
      </c>
    </row>
    <row r="259" spans="1:17">
      <c r="A259" s="10" t="s">
        <v>651</v>
      </c>
      <c r="B259" s="10" t="s">
        <v>652</v>
      </c>
      <c r="C259" s="10" t="s">
        <v>18</v>
      </c>
      <c r="D259" s="10" t="s">
        <v>107</v>
      </c>
      <c r="E259" s="10" t="s">
        <v>531</v>
      </c>
      <c r="F259" s="10" t="s">
        <v>532</v>
      </c>
      <c r="G259" s="10" t="s">
        <v>42</v>
      </c>
      <c r="H259" s="10" t="s">
        <v>110</v>
      </c>
      <c r="I259" s="10" t="s">
        <v>1130</v>
      </c>
      <c r="J259" s="10" t="s">
        <v>1101</v>
      </c>
      <c r="K259" s="10" t="s">
        <v>1101</v>
      </c>
      <c r="L259" s="10" t="s">
        <v>947</v>
      </c>
      <c r="M259" s="10" t="s">
        <v>1103</v>
      </c>
      <c r="N259" s="10" t="s">
        <v>1104</v>
      </c>
      <c r="O259" s="10" t="s">
        <v>1131</v>
      </c>
      <c r="P259" s="10" t="s">
        <v>1105</v>
      </c>
      <c r="Q259" s="10" t="s">
        <v>1105</v>
      </c>
    </row>
    <row r="260" spans="1:17">
      <c r="A260" s="10" t="s">
        <v>649</v>
      </c>
      <c r="B260" s="10" t="s">
        <v>650</v>
      </c>
      <c r="C260" s="10" t="s">
        <v>18</v>
      </c>
      <c r="D260" s="10" t="s">
        <v>107</v>
      </c>
      <c r="E260" s="10" t="s">
        <v>531</v>
      </c>
      <c r="F260" s="10" t="s">
        <v>532</v>
      </c>
      <c r="G260" s="10" t="s">
        <v>42</v>
      </c>
      <c r="H260" s="10" t="s">
        <v>110</v>
      </c>
      <c r="I260" s="10" t="s">
        <v>1125</v>
      </c>
      <c r="J260" s="10" t="s">
        <v>1114</v>
      </c>
      <c r="K260" s="10" t="s">
        <v>1126</v>
      </c>
      <c r="L260" s="10" t="s">
        <v>947</v>
      </c>
      <c r="M260" s="10" t="s">
        <v>1119</v>
      </c>
      <c r="N260" s="10" t="s">
        <v>1104</v>
      </c>
      <c r="O260" s="10" t="s">
        <v>1131</v>
      </c>
      <c r="P260" s="10" t="s">
        <v>1105</v>
      </c>
      <c r="Q260" s="10" t="s">
        <v>1105</v>
      </c>
    </row>
    <row r="261" spans="1:17">
      <c r="A261" s="10" t="s">
        <v>647</v>
      </c>
      <c r="B261" s="10" t="s">
        <v>648</v>
      </c>
      <c r="C261" s="10" t="s">
        <v>18</v>
      </c>
      <c r="D261" s="10" t="s">
        <v>107</v>
      </c>
      <c r="E261" s="10" t="s">
        <v>531</v>
      </c>
      <c r="F261" s="10" t="s">
        <v>532</v>
      </c>
      <c r="G261" s="10" t="s">
        <v>42</v>
      </c>
      <c r="H261" s="10" t="s">
        <v>110</v>
      </c>
      <c r="I261" s="10" t="s">
        <v>1116</v>
      </c>
      <c r="J261" s="10" t="s">
        <v>1135</v>
      </c>
      <c r="K261" s="10" t="s">
        <v>1124</v>
      </c>
      <c r="L261" s="10" t="s">
        <v>947</v>
      </c>
      <c r="M261" s="10" t="s">
        <v>1119</v>
      </c>
      <c r="N261" s="10" t="s">
        <v>1104</v>
      </c>
      <c r="O261" s="10" t="s">
        <v>1134</v>
      </c>
      <c r="P261" s="10" t="s">
        <v>1105</v>
      </c>
      <c r="Q261" s="10" t="s">
        <v>1105</v>
      </c>
    </row>
    <row r="262" spans="1:17">
      <c r="A262" s="10" t="s">
        <v>645</v>
      </c>
      <c r="B262" s="10" t="s">
        <v>646</v>
      </c>
      <c r="C262" s="10" t="s">
        <v>18</v>
      </c>
      <c r="D262" s="10" t="s">
        <v>107</v>
      </c>
      <c r="E262" s="10" t="s">
        <v>531</v>
      </c>
      <c r="F262" s="10" t="s">
        <v>532</v>
      </c>
      <c r="G262" s="10" t="s">
        <v>42</v>
      </c>
      <c r="H262" s="10" t="s">
        <v>110</v>
      </c>
      <c r="I262" s="10" t="s">
        <v>1127</v>
      </c>
      <c r="J262" s="10" t="s">
        <v>1128</v>
      </c>
      <c r="K262" s="10" t="s">
        <v>1126</v>
      </c>
      <c r="L262" s="10" t="s">
        <v>947</v>
      </c>
      <c r="M262" s="10" t="s">
        <v>1129</v>
      </c>
      <c r="N262" s="10" t="s">
        <v>1104</v>
      </c>
      <c r="O262" s="10" t="s">
        <v>1136</v>
      </c>
      <c r="P262" s="10" t="s">
        <v>1105</v>
      </c>
      <c r="Q262" s="10" t="s">
        <v>1105</v>
      </c>
    </row>
    <row r="263" spans="1:17">
      <c r="A263" s="10" t="s">
        <v>643</v>
      </c>
      <c r="B263" s="10" t="s">
        <v>644</v>
      </c>
      <c r="C263" s="10" t="s">
        <v>18</v>
      </c>
      <c r="D263" s="10" t="s">
        <v>107</v>
      </c>
      <c r="E263" s="10" t="s">
        <v>531</v>
      </c>
      <c r="F263" s="10" t="s">
        <v>532</v>
      </c>
      <c r="G263" s="10" t="s">
        <v>42</v>
      </c>
      <c r="H263" s="10" t="s">
        <v>110</v>
      </c>
      <c r="I263" s="10" t="s">
        <v>1137</v>
      </c>
      <c r="J263" s="10" t="s">
        <v>1128</v>
      </c>
      <c r="K263" s="10" t="s">
        <v>1138</v>
      </c>
      <c r="L263" s="10" t="s">
        <v>947</v>
      </c>
      <c r="M263" s="10" t="s">
        <v>1129</v>
      </c>
      <c r="N263" s="10" t="s">
        <v>1104</v>
      </c>
      <c r="O263" s="10" t="s">
        <v>1136</v>
      </c>
      <c r="P263" s="10" t="s">
        <v>1105</v>
      </c>
      <c r="Q263" s="10" t="s">
        <v>1105</v>
      </c>
    </row>
    <row r="264" spans="1:17">
      <c r="A264" s="10" t="s">
        <v>687</v>
      </c>
      <c r="B264" s="10" t="s">
        <v>688</v>
      </c>
      <c r="C264" s="10" t="s">
        <v>18</v>
      </c>
      <c r="D264" s="10" t="s">
        <v>107</v>
      </c>
      <c r="E264" s="10" t="s">
        <v>676</v>
      </c>
      <c r="F264" s="10" t="s">
        <v>618</v>
      </c>
      <c r="G264" s="10" t="s">
        <v>156</v>
      </c>
      <c r="H264" s="10" t="s">
        <v>110</v>
      </c>
      <c r="I264" s="10" t="s">
        <v>1116</v>
      </c>
      <c r="J264" s="10" t="s">
        <v>1117</v>
      </c>
      <c r="K264" s="10" t="s">
        <v>1118</v>
      </c>
      <c r="L264" s="10" t="s">
        <v>947</v>
      </c>
      <c r="M264" s="10" t="s">
        <v>1119</v>
      </c>
      <c r="N264" s="10" t="s">
        <v>1104</v>
      </c>
      <c r="O264" s="10" t="s">
        <v>205</v>
      </c>
      <c r="P264" s="10" t="s">
        <v>1105</v>
      </c>
      <c r="Q264" s="10" t="s">
        <v>1105</v>
      </c>
    </row>
    <row r="265" spans="1:17">
      <c r="A265" s="10" t="s">
        <v>641</v>
      </c>
      <c r="B265" s="10" t="s">
        <v>642</v>
      </c>
      <c r="C265" s="10" t="s">
        <v>18</v>
      </c>
      <c r="D265" s="10" t="s">
        <v>107</v>
      </c>
      <c r="E265" s="10" t="s">
        <v>632</v>
      </c>
      <c r="F265" s="10" t="s">
        <v>618</v>
      </c>
      <c r="G265" s="10" t="s">
        <v>156</v>
      </c>
      <c r="H265" s="10" t="s">
        <v>110</v>
      </c>
      <c r="I265" s="10" t="s">
        <v>1116</v>
      </c>
      <c r="J265" s="10" t="s">
        <v>1117</v>
      </c>
      <c r="K265" s="10" t="s">
        <v>1118</v>
      </c>
      <c r="L265" s="10" t="s">
        <v>947</v>
      </c>
      <c r="M265" s="10" t="s">
        <v>1119</v>
      </c>
      <c r="N265" s="10" t="s">
        <v>1104</v>
      </c>
      <c r="O265" s="10" t="s">
        <v>205</v>
      </c>
      <c r="P265" s="10" t="s">
        <v>1105</v>
      </c>
      <c r="Q265" s="10" t="s">
        <v>1105</v>
      </c>
    </row>
    <row r="266" spans="1:17">
      <c r="A266" s="10" t="s">
        <v>639</v>
      </c>
      <c r="B266" s="10" t="s">
        <v>640</v>
      </c>
      <c r="C266" s="10" t="s">
        <v>18</v>
      </c>
      <c r="D266" s="10" t="s">
        <v>107</v>
      </c>
      <c r="E266" s="10" t="s">
        <v>632</v>
      </c>
      <c r="F266" s="10" t="s">
        <v>618</v>
      </c>
      <c r="G266" s="10" t="s">
        <v>156</v>
      </c>
      <c r="H266" s="10" t="s">
        <v>110</v>
      </c>
      <c r="I266" s="10" t="s">
        <v>1125</v>
      </c>
      <c r="J266" s="10" t="s">
        <v>1114</v>
      </c>
      <c r="K266" s="10" t="s">
        <v>1126</v>
      </c>
      <c r="L266" s="10" t="s">
        <v>947</v>
      </c>
      <c r="M266" s="10" t="s">
        <v>1119</v>
      </c>
      <c r="N266" s="10" t="s">
        <v>1104</v>
      </c>
      <c r="O266" s="10" t="s">
        <v>623</v>
      </c>
      <c r="P266" s="10" t="s">
        <v>1105</v>
      </c>
      <c r="Q266" s="10" t="s">
        <v>1105</v>
      </c>
    </row>
    <row r="267" spans="1:17">
      <c r="A267" s="10" t="s">
        <v>637</v>
      </c>
      <c r="B267" s="10" t="s">
        <v>638</v>
      </c>
      <c r="C267" s="10" t="s">
        <v>18</v>
      </c>
      <c r="D267" s="10" t="s">
        <v>107</v>
      </c>
      <c r="E267" s="10" t="s">
        <v>632</v>
      </c>
      <c r="F267" s="10" t="s">
        <v>618</v>
      </c>
      <c r="G267" s="10" t="s">
        <v>156</v>
      </c>
      <c r="H267" s="10" t="s">
        <v>110</v>
      </c>
      <c r="I267" s="10" t="s">
        <v>1116</v>
      </c>
      <c r="J267" s="10" t="s">
        <v>1117</v>
      </c>
      <c r="K267" s="10" t="s">
        <v>1118</v>
      </c>
      <c r="L267" s="10" t="s">
        <v>947</v>
      </c>
      <c r="M267" s="10" t="s">
        <v>1119</v>
      </c>
      <c r="N267" s="10" t="s">
        <v>1104</v>
      </c>
      <c r="O267" s="10" t="s">
        <v>362</v>
      </c>
      <c r="P267" s="10" t="s">
        <v>1105</v>
      </c>
      <c r="Q267" s="10" t="s">
        <v>1105</v>
      </c>
    </row>
    <row r="268" spans="1:17">
      <c r="A268" s="10" t="s">
        <v>635</v>
      </c>
      <c r="B268" s="10" t="s">
        <v>636</v>
      </c>
      <c r="C268" s="10" t="s">
        <v>18</v>
      </c>
      <c r="D268" s="10" t="s">
        <v>107</v>
      </c>
      <c r="E268" s="10" t="s">
        <v>632</v>
      </c>
      <c r="F268" s="10" t="s">
        <v>618</v>
      </c>
      <c r="G268" s="10" t="s">
        <v>156</v>
      </c>
      <c r="H268" s="10" t="s">
        <v>110</v>
      </c>
      <c r="I268" s="10" t="s">
        <v>1125</v>
      </c>
      <c r="J268" s="10" t="s">
        <v>1114</v>
      </c>
      <c r="K268" s="10" t="s">
        <v>1126</v>
      </c>
      <c r="L268" s="10" t="s">
        <v>947</v>
      </c>
      <c r="M268" s="10" t="s">
        <v>1119</v>
      </c>
      <c r="N268" s="10" t="s">
        <v>1104</v>
      </c>
      <c r="O268" s="10" t="s">
        <v>623</v>
      </c>
      <c r="P268" s="10" t="s">
        <v>1105</v>
      </c>
      <c r="Q268" s="10" t="s">
        <v>1105</v>
      </c>
    </row>
    <row r="269" spans="1:17">
      <c r="A269" s="10" t="s">
        <v>633</v>
      </c>
      <c r="B269" s="10" t="s">
        <v>634</v>
      </c>
      <c r="C269" s="10" t="s">
        <v>18</v>
      </c>
      <c r="D269" s="10" t="s">
        <v>107</v>
      </c>
      <c r="E269" s="10" t="s">
        <v>632</v>
      </c>
      <c r="F269" s="10" t="s">
        <v>618</v>
      </c>
      <c r="G269" s="10" t="s">
        <v>156</v>
      </c>
      <c r="H269" s="10" t="s">
        <v>110</v>
      </c>
      <c r="I269" s="10" t="s">
        <v>1116</v>
      </c>
      <c r="J269" s="10" t="s">
        <v>1117</v>
      </c>
      <c r="K269" s="10" t="s">
        <v>1118</v>
      </c>
      <c r="L269" s="10" t="s">
        <v>947</v>
      </c>
      <c r="M269" s="10" t="s">
        <v>1119</v>
      </c>
      <c r="N269" s="10" t="s">
        <v>1104</v>
      </c>
      <c r="O269" s="10" t="s">
        <v>362</v>
      </c>
      <c r="P269" s="10" t="s">
        <v>1105</v>
      </c>
      <c r="Q269" s="10" t="s">
        <v>1105</v>
      </c>
    </row>
    <row r="270" spans="1:17">
      <c r="A270" s="10" t="s">
        <v>630</v>
      </c>
      <c r="B270" s="10" t="s">
        <v>631</v>
      </c>
      <c r="C270" s="10" t="s">
        <v>18</v>
      </c>
      <c r="D270" s="10" t="s">
        <v>107</v>
      </c>
      <c r="E270" s="10" t="s">
        <v>632</v>
      </c>
      <c r="F270" s="10" t="s">
        <v>618</v>
      </c>
      <c r="G270" s="10" t="s">
        <v>156</v>
      </c>
      <c r="H270" s="10" t="s">
        <v>110</v>
      </c>
      <c r="I270" s="10" t="s">
        <v>1127</v>
      </c>
      <c r="J270" s="10" t="s">
        <v>1128</v>
      </c>
      <c r="K270" s="10" t="s">
        <v>1126</v>
      </c>
      <c r="L270" s="10" t="s">
        <v>947</v>
      </c>
      <c r="M270" s="10" t="s">
        <v>1129</v>
      </c>
      <c r="N270" s="10" t="s">
        <v>1104</v>
      </c>
      <c r="O270" s="10" t="s">
        <v>377</v>
      </c>
      <c r="P270" s="10" t="s">
        <v>1105</v>
      </c>
      <c r="Q270" s="10" t="s">
        <v>1105</v>
      </c>
    </row>
    <row r="271" spans="1:17">
      <c r="A271" s="10" t="s">
        <v>628</v>
      </c>
      <c r="B271" s="10" t="s">
        <v>629</v>
      </c>
      <c r="C271" s="10" t="s">
        <v>18</v>
      </c>
      <c r="D271" s="10" t="s">
        <v>107</v>
      </c>
      <c r="E271" s="10" t="s">
        <v>617</v>
      </c>
      <c r="F271" s="10" t="s">
        <v>618</v>
      </c>
      <c r="G271" s="10" t="s">
        <v>156</v>
      </c>
      <c r="H271" s="10" t="s">
        <v>110</v>
      </c>
      <c r="I271" s="10" t="s">
        <v>1125</v>
      </c>
      <c r="J271" s="10" t="s">
        <v>1114</v>
      </c>
      <c r="K271" s="10" t="s">
        <v>1126</v>
      </c>
      <c r="L271" s="10" t="s">
        <v>947</v>
      </c>
      <c r="M271" s="10" t="s">
        <v>1119</v>
      </c>
      <c r="N271" s="10" t="s">
        <v>1104</v>
      </c>
      <c r="O271" s="10" t="s">
        <v>623</v>
      </c>
      <c r="P271" s="10" t="s">
        <v>1105</v>
      </c>
      <c r="Q271" s="10" t="s">
        <v>1105</v>
      </c>
    </row>
    <row r="272" spans="1:17">
      <c r="A272" s="10" t="s">
        <v>626</v>
      </c>
      <c r="B272" s="10" t="s">
        <v>627</v>
      </c>
      <c r="C272" s="10" t="s">
        <v>18</v>
      </c>
      <c r="D272" s="10" t="s">
        <v>107</v>
      </c>
      <c r="E272" s="10" t="s">
        <v>617</v>
      </c>
      <c r="F272" s="10" t="s">
        <v>618</v>
      </c>
      <c r="G272" s="10" t="s">
        <v>156</v>
      </c>
      <c r="H272" s="10" t="s">
        <v>110</v>
      </c>
      <c r="I272" s="10" t="s">
        <v>1116</v>
      </c>
      <c r="J272" s="10" t="s">
        <v>1117</v>
      </c>
      <c r="K272" s="10" t="s">
        <v>1118</v>
      </c>
      <c r="L272" s="10" t="s">
        <v>947</v>
      </c>
      <c r="M272" s="10" t="s">
        <v>1119</v>
      </c>
      <c r="N272" s="10" t="s">
        <v>1104</v>
      </c>
      <c r="O272" s="10" t="s">
        <v>362</v>
      </c>
      <c r="P272" s="10" t="s">
        <v>1105</v>
      </c>
      <c r="Q272" s="10" t="s">
        <v>1105</v>
      </c>
    </row>
    <row r="273" spans="1:17">
      <c r="A273" s="10" t="s">
        <v>624</v>
      </c>
      <c r="B273" s="10" t="s">
        <v>625</v>
      </c>
      <c r="C273" s="10" t="s">
        <v>18</v>
      </c>
      <c r="D273" s="10" t="s">
        <v>107</v>
      </c>
      <c r="E273" s="10" t="s">
        <v>617</v>
      </c>
      <c r="F273" s="10" t="s">
        <v>618</v>
      </c>
      <c r="G273" s="10" t="s">
        <v>156</v>
      </c>
      <c r="H273" s="10" t="s">
        <v>110</v>
      </c>
      <c r="I273" s="10" t="s">
        <v>1127</v>
      </c>
      <c r="J273" s="10" t="s">
        <v>1128</v>
      </c>
      <c r="K273" s="10" t="s">
        <v>1126</v>
      </c>
      <c r="L273" s="10" t="s">
        <v>947</v>
      </c>
      <c r="M273" s="10" t="s">
        <v>1129</v>
      </c>
      <c r="N273" s="10" t="s">
        <v>1104</v>
      </c>
      <c r="O273" s="10" t="s">
        <v>377</v>
      </c>
      <c r="P273" s="10" t="s">
        <v>1105</v>
      </c>
      <c r="Q273" s="10" t="s">
        <v>1105</v>
      </c>
    </row>
    <row r="274" spans="1:17">
      <c r="A274" s="10" t="s">
        <v>621</v>
      </c>
      <c r="B274" s="10" t="s">
        <v>622</v>
      </c>
      <c r="C274" s="10" t="s">
        <v>18</v>
      </c>
      <c r="D274" s="10" t="s">
        <v>107</v>
      </c>
      <c r="E274" s="10" t="s">
        <v>617</v>
      </c>
      <c r="F274" s="10" t="s">
        <v>618</v>
      </c>
      <c r="G274" s="10" t="s">
        <v>156</v>
      </c>
      <c r="H274" s="10" t="s">
        <v>110</v>
      </c>
      <c r="I274" s="10" t="s">
        <v>1125</v>
      </c>
      <c r="J274" s="10" t="s">
        <v>1114</v>
      </c>
      <c r="K274" s="10" t="s">
        <v>1126</v>
      </c>
      <c r="L274" s="10" t="s">
        <v>947</v>
      </c>
      <c r="M274" s="10" t="s">
        <v>1119</v>
      </c>
      <c r="N274" s="10" t="s">
        <v>1104</v>
      </c>
      <c r="O274" s="10" t="s">
        <v>623</v>
      </c>
      <c r="P274" s="10" t="s">
        <v>1105</v>
      </c>
      <c r="Q274" s="10" t="s">
        <v>1105</v>
      </c>
    </row>
    <row r="275" spans="1:17">
      <c r="A275" s="10" t="s">
        <v>619</v>
      </c>
      <c r="B275" s="10" t="s">
        <v>620</v>
      </c>
      <c r="C275" s="10" t="s">
        <v>18</v>
      </c>
      <c r="D275" s="10" t="s">
        <v>107</v>
      </c>
      <c r="E275" s="10" t="s">
        <v>617</v>
      </c>
      <c r="F275" s="10" t="s">
        <v>618</v>
      </c>
      <c r="G275" s="10" t="s">
        <v>156</v>
      </c>
      <c r="H275" s="10" t="s">
        <v>110</v>
      </c>
      <c r="I275" s="10" t="s">
        <v>1116</v>
      </c>
      <c r="J275" s="10" t="s">
        <v>1117</v>
      </c>
      <c r="K275" s="10" t="s">
        <v>1118</v>
      </c>
      <c r="L275" s="10" t="s">
        <v>947</v>
      </c>
      <c r="M275" s="10" t="s">
        <v>1119</v>
      </c>
      <c r="N275" s="10" t="s">
        <v>1104</v>
      </c>
      <c r="O275" s="10" t="s">
        <v>362</v>
      </c>
      <c r="P275" s="10" t="s">
        <v>1105</v>
      </c>
      <c r="Q275" s="10" t="s">
        <v>1105</v>
      </c>
    </row>
    <row r="276" spans="1:17">
      <c r="A276" s="10" t="s">
        <v>615</v>
      </c>
      <c r="B276" s="10" t="s">
        <v>616</v>
      </c>
      <c r="C276" s="10" t="s">
        <v>18</v>
      </c>
      <c r="D276" s="10" t="s">
        <v>107</v>
      </c>
      <c r="E276" s="10" t="s">
        <v>617</v>
      </c>
      <c r="F276" s="10" t="s">
        <v>618</v>
      </c>
      <c r="G276" s="10" t="s">
        <v>156</v>
      </c>
      <c r="H276" s="10" t="s">
        <v>110</v>
      </c>
      <c r="I276" s="10" t="s">
        <v>1127</v>
      </c>
      <c r="J276" s="10" t="s">
        <v>1128</v>
      </c>
      <c r="K276" s="10" t="s">
        <v>1126</v>
      </c>
      <c r="L276" s="10" t="s">
        <v>947</v>
      </c>
      <c r="M276" s="10" t="s">
        <v>1129</v>
      </c>
      <c r="N276" s="10" t="s">
        <v>1104</v>
      </c>
      <c r="O276" s="10" t="s">
        <v>377</v>
      </c>
      <c r="P276" s="10" t="s">
        <v>1105</v>
      </c>
      <c r="Q276" s="10" t="s">
        <v>1105</v>
      </c>
    </row>
    <row r="277" spans="1:17">
      <c r="A277" s="10" t="s">
        <v>613</v>
      </c>
      <c r="B277" s="10" t="s">
        <v>614</v>
      </c>
      <c r="C277" s="10" t="s">
        <v>18</v>
      </c>
      <c r="D277" s="10" t="s">
        <v>19</v>
      </c>
      <c r="E277" s="10" t="s">
        <v>20</v>
      </c>
      <c r="F277" s="10" t="s">
        <v>30</v>
      </c>
      <c r="G277" s="10" t="s">
        <v>22</v>
      </c>
      <c r="H277" s="10" t="s">
        <v>23</v>
      </c>
      <c r="I277" s="10" t="s">
        <v>1116</v>
      </c>
      <c r="J277" s="10" t="s">
        <v>1135</v>
      </c>
      <c r="K277" s="10" t="s">
        <v>1124</v>
      </c>
      <c r="L277" s="10" t="s">
        <v>954</v>
      </c>
      <c r="M277" s="10" t="s">
        <v>954</v>
      </c>
      <c r="N277" s="10" t="s">
        <v>1104</v>
      </c>
      <c r="O277" s="10" t="s">
        <v>1149</v>
      </c>
      <c r="P277" s="10" t="s">
        <v>1105</v>
      </c>
      <c r="Q277" s="10" t="s">
        <v>1105</v>
      </c>
    </row>
    <row r="278" spans="1:17">
      <c r="A278" s="10" t="s">
        <v>1266</v>
      </c>
      <c r="B278" s="10" t="s">
        <v>1267</v>
      </c>
      <c r="C278" s="10" t="s">
        <v>18</v>
      </c>
      <c r="D278" s="10" t="s">
        <v>107</v>
      </c>
      <c r="E278" s="10" t="s">
        <v>394</v>
      </c>
      <c r="F278" s="10" t="s">
        <v>30</v>
      </c>
      <c r="G278" s="10" t="s">
        <v>22</v>
      </c>
      <c r="H278" s="10" t="s">
        <v>110</v>
      </c>
      <c r="I278" s="10" t="s">
        <v>1116</v>
      </c>
      <c r="J278" s="10" t="s">
        <v>1135</v>
      </c>
      <c r="K278" s="10" t="s">
        <v>1124</v>
      </c>
      <c r="L278" s="10" t="s">
        <v>947</v>
      </c>
      <c r="M278" s="10" t="s">
        <v>1119</v>
      </c>
      <c r="N278" s="10" t="s">
        <v>1104</v>
      </c>
      <c r="O278" s="10" t="s">
        <v>205</v>
      </c>
      <c r="P278" s="10" t="s">
        <v>1105</v>
      </c>
      <c r="Q278" s="10" t="s">
        <v>1105</v>
      </c>
    </row>
    <row r="279" spans="1:17">
      <c r="A279" s="10" t="s">
        <v>611</v>
      </c>
      <c r="B279" s="10" t="s">
        <v>612</v>
      </c>
      <c r="C279" s="10" t="s">
        <v>18</v>
      </c>
      <c r="D279" s="10" t="s">
        <v>80</v>
      </c>
      <c r="E279" s="10" t="s">
        <v>388</v>
      </c>
      <c r="F279" s="10" t="s">
        <v>389</v>
      </c>
      <c r="G279" s="10" t="s">
        <v>22</v>
      </c>
      <c r="H279" s="10" t="s">
        <v>83</v>
      </c>
      <c r="I279" s="10" t="s">
        <v>1268</v>
      </c>
      <c r="J279" s="10" t="s">
        <v>1135</v>
      </c>
      <c r="K279" s="10" t="s">
        <v>1269</v>
      </c>
      <c r="L279" s="10" t="s">
        <v>947</v>
      </c>
      <c r="M279" s="10" t="s">
        <v>1129</v>
      </c>
      <c r="N279" s="10" t="s">
        <v>1104</v>
      </c>
      <c r="O279" s="10" t="s">
        <v>1146</v>
      </c>
      <c r="P279" s="10" t="s">
        <v>1105</v>
      </c>
      <c r="Q279" s="10" t="s">
        <v>1105</v>
      </c>
    </row>
    <row r="280" spans="1:17">
      <c r="A280" s="10" t="s">
        <v>609</v>
      </c>
      <c r="B280" s="10" t="s">
        <v>610</v>
      </c>
      <c r="C280" s="10" t="s">
        <v>59</v>
      </c>
      <c r="D280" s="10" t="s">
        <v>29</v>
      </c>
      <c r="E280" s="10" t="s">
        <v>29</v>
      </c>
      <c r="F280" s="10" t="s">
        <v>62</v>
      </c>
      <c r="G280" s="10" t="s">
        <v>22</v>
      </c>
      <c r="H280" s="10" t="s">
        <v>29</v>
      </c>
      <c r="I280" s="10" t="s">
        <v>1257</v>
      </c>
      <c r="J280" s="10" t="s">
        <v>1135</v>
      </c>
      <c r="K280" s="10" t="s">
        <v>1210</v>
      </c>
      <c r="L280" s="10" t="s">
        <v>947</v>
      </c>
      <c r="M280" s="10" t="s">
        <v>1129</v>
      </c>
      <c r="N280" s="10" t="s">
        <v>1104</v>
      </c>
      <c r="O280" s="10" t="s">
        <v>1136</v>
      </c>
      <c r="P280" s="10" t="s">
        <v>1105</v>
      </c>
      <c r="Q280" s="10" t="s">
        <v>1105</v>
      </c>
    </row>
    <row r="281" spans="1:17">
      <c r="A281" s="10" t="s">
        <v>607</v>
      </c>
      <c r="B281" s="10" t="s">
        <v>608</v>
      </c>
      <c r="C281" s="10" t="s">
        <v>18</v>
      </c>
      <c r="D281" s="10" t="s">
        <v>107</v>
      </c>
      <c r="E281" s="10" t="s">
        <v>132</v>
      </c>
      <c r="F281" s="10" t="s">
        <v>21</v>
      </c>
      <c r="G281" s="10" t="s">
        <v>22</v>
      </c>
      <c r="H281" s="10" t="s">
        <v>110</v>
      </c>
      <c r="I281" s="10" t="s">
        <v>1257</v>
      </c>
      <c r="J281" s="10" t="s">
        <v>1135</v>
      </c>
      <c r="K281" s="10" t="s">
        <v>1210</v>
      </c>
      <c r="L281" s="10" t="s">
        <v>947</v>
      </c>
      <c r="M281" s="10" t="s">
        <v>1129</v>
      </c>
      <c r="N281" s="10" t="s">
        <v>1104</v>
      </c>
      <c r="O281" s="10" t="s">
        <v>1136</v>
      </c>
      <c r="P281" s="10" t="s">
        <v>1105</v>
      </c>
      <c r="Q281" s="10" t="s">
        <v>1105</v>
      </c>
    </row>
    <row r="282" spans="1:17">
      <c r="A282" s="10" t="s">
        <v>605</v>
      </c>
      <c r="B282" s="10" t="s">
        <v>606</v>
      </c>
      <c r="C282" s="10" t="s">
        <v>18</v>
      </c>
      <c r="D282" s="10" t="s">
        <v>107</v>
      </c>
      <c r="E282" s="10" t="s">
        <v>120</v>
      </c>
      <c r="F282" s="10" t="s">
        <v>56</v>
      </c>
      <c r="G282" s="10" t="s">
        <v>22</v>
      </c>
      <c r="H282" s="10" t="s">
        <v>110</v>
      </c>
      <c r="I282" s="10" t="s">
        <v>1257</v>
      </c>
      <c r="J282" s="10" t="s">
        <v>1135</v>
      </c>
      <c r="K282" s="10" t="s">
        <v>1210</v>
      </c>
      <c r="L282" s="10" t="s">
        <v>947</v>
      </c>
      <c r="M282" s="10" t="s">
        <v>1129</v>
      </c>
      <c r="N282" s="10" t="s">
        <v>1104</v>
      </c>
      <c r="O282" s="10" t="s">
        <v>1146</v>
      </c>
      <c r="P282" s="10" t="s">
        <v>1105</v>
      </c>
      <c r="Q282" s="10" t="s">
        <v>1105</v>
      </c>
    </row>
    <row r="283" spans="1:17">
      <c r="A283" s="10" t="s">
        <v>603</v>
      </c>
      <c r="B283" s="10" t="s">
        <v>604</v>
      </c>
      <c r="C283" s="10" t="s">
        <v>18</v>
      </c>
      <c r="D283" s="10" t="s">
        <v>107</v>
      </c>
      <c r="E283" s="10" t="s">
        <v>108</v>
      </c>
      <c r="F283" s="10" t="s">
        <v>109</v>
      </c>
      <c r="G283" s="10" t="s">
        <v>22</v>
      </c>
      <c r="H283" s="10" t="s">
        <v>110</v>
      </c>
      <c r="I283" s="10" t="s">
        <v>1257</v>
      </c>
      <c r="J283" s="10" t="s">
        <v>1135</v>
      </c>
      <c r="K283" s="10" t="s">
        <v>1210</v>
      </c>
      <c r="L283" s="10" t="s">
        <v>947</v>
      </c>
      <c r="M283" s="10" t="s">
        <v>1129</v>
      </c>
      <c r="N283" s="10" t="s">
        <v>1104</v>
      </c>
      <c r="O283" s="10" t="s">
        <v>1136</v>
      </c>
      <c r="P283" s="10" t="s">
        <v>1105</v>
      </c>
      <c r="Q283" s="10" t="s">
        <v>1105</v>
      </c>
    </row>
    <row r="284" spans="1:17">
      <c r="A284" s="10" t="s">
        <v>1270</v>
      </c>
      <c r="B284" s="10" t="s">
        <v>1271</v>
      </c>
      <c r="C284" s="10" t="s">
        <v>18</v>
      </c>
      <c r="D284" s="10" t="s">
        <v>80</v>
      </c>
      <c r="E284" s="10" t="s">
        <v>551</v>
      </c>
      <c r="F284" s="10" t="s">
        <v>238</v>
      </c>
      <c r="G284" s="10" t="s">
        <v>156</v>
      </c>
      <c r="H284" s="10" t="s">
        <v>83</v>
      </c>
      <c r="I284" s="10" t="s">
        <v>1257</v>
      </c>
      <c r="J284" s="10" t="s">
        <v>1135</v>
      </c>
      <c r="K284" s="10" t="s">
        <v>1210</v>
      </c>
      <c r="L284" s="10" t="s">
        <v>947</v>
      </c>
      <c r="M284" s="10" t="s">
        <v>1129</v>
      </c>
      <c r="N284" s="10" t="s">
        <v>1104</v>
      </c>
      <c r="O284" s="10" t="s">
        <v>351</v>
      </c>
      <c r="P284" s="10" t="s">
        <v>1105</v>
      </c>
      <c r="Q284" s="10" t="s">
        <v>1105</v>
      </c>
    </row>
    <row r="285" spans="1:17">
      <c r="A285" s="10" t="s">
        <v>1272</v>
      </c>
      <c r="B285" s="10" t="s">
        <v>1273</v>
      </c>
      <c r="C285" s="10" t="s">
        <v>18</v>
      </c>
      <c r="D285" s="10" t="s">
        <v>80</v>
      </c>
      <c r="E285" s="10" t="s">
        <v>551</v>
      </c>
      <c r="F285" s="10" t="s">
        <v>238</v>
      </c>
      <c r="G285" s="10" t="s">
        <v>156</v>
      </c>
      <c r="H285" s="10" t="s">
        <v>83</v>
      </c>
      <c r="I285" s="10" t="s">
        <v>1116</v>
      </c>
      <c r="J285" s="10" t="s">
        <v>1135</v>
      </c>
      <c r="K285" s="10" t="s">
        <v>1124</v>
      </c>
      <c r="L285" s="10" t="s">
        <v>947</v>
      </c>
      <c r="M285" s="10" t="s">
        <v>1119</v>
      </c>
      <c r="N285" s="10" t="s">
        <v>1104</v>
      </c>
      <c r="O285" s="10" t="s">
        <v>351</v>
      </c>
      <c r="P285" s="10" t="s">
        <v>1105</v>
      </c>
      <c r="Q285" s="10" t="s">
        <v>1105</v>
      </c>
    </row>
    <row r="286" spans="1:17">
      <c r="A286" s="10" t="s">
        <v>1274</v>
      </c>
      <c r="B286" s="10" t="s">
        <v>1275</v>
      </c>
      <c r="C286" s="10" t="s">
        <v>18</v>
      </c>
      <c r="D286" s="10" t="s">
        <v>80</v>
      </c>
      <c r="E286" s="10" t="s">
        <v>551</v>
      </c>
      <c r="F286" s="10" t="s">
        <v>238</v>
      </c>
      <c r="G286" s="10" t="s">
        <v>156</v>
      </c>
      <c r="H286" s="10" t="s">
        <v>83</v>
      </c>
      <c r="I286" s="10" t="s">
        <v>1215</v>
      </c>
      <c r="J286" s="10" t="s">
        <v>1114</v>
      </c>
      <c r="K286" s="10" t="s">
        <v>1216</v>
      </c>
      <c r="L286" s="10" t="s">
        <v>947</v>
      </c>
      <c r="M286" s="10" t="s">
        <v>1119</v>
      </c>
      <c r="N286" s="10" t="s">
        <v>1104</v>
      </c>
      <c r="O286" s="10" t="s">
        <v>351</v>
      </c>
      <c r="P286" s="10" t="s">
        <v>1105</v>
      </c>
      <c r="Q286" s="10" t="s">
        <v>1105</v>
      </c>
    </row>
    <row r="287" spans="1:17">
      <c r="A287" s="10" t="s">
        <v>1276</v>
      </c>
      <c r="B287" s="10" t="s">
        <v>1277</v>
      </c>
      <c r="C287" s="10" t="s">
        <v>18</v>
      </c>
      <c r="D287" s="10" t="s">
        <v>80</v>
      </c>
      <c r="E287" s="10" t="s">
        <v>551</v>
      </c>
      <c r="F287" s="10" t="s">
        <v>238</v>
      </c>
      <c r="G287" s="10" t="s">
        <v>156</v>
      </c>
      <c r="H287" s="10" t="s">
        <v>83</v>
      </c>
      <c r="I287" s="10" t="s">
        <v>1130</v>
      </c>
      <c r="J287" s="10" t="s">
        <v>1101</v>
      </c>
      <c r="K287" s="10" t="s">
        <v>1101</v>
      </c>
      <c r="L287" s="10" t="s">
        <v>947</v>
      </c>
      <c r="M287" s="10" t="s">
        <v>1103</v>
      </c>
      <c r="N287" s="10" t="s">
        <v>1104</v>
      </c>
      <c r="O287" s="10" t="s">
        <v>351</v>
      </c>
      <c r="P287" s="10" t="s">
        <v>1105</v>
      </c>
      <c r="Q287" s="10" t="s">
        <v>1105</v>
      </c>
    </row>
    <row r="288" spans="1:17">
      <c r="A288" s="10" t="s">
        <v>1278</v>
      </c>
      <c r="B288" s="10" t="s">
        <v>1279</v>
      </c>
      <c r="C288" s="10" t="s">
        <v>18</v>
      </c>
      <c r="D288" s="10" t="s">
        <v>80</v>
      </c>
      <c r="E288" s="10" t="s">
        <v>551</v>
      </c>
      <c r="F288" s="10" t="s">
        <v>238</v>
      </c>
      <c r="G288" s="10" t="s">
        <v>156</v>
      </c>
      <c r="H288" s="10" t="s">
        <v>83</v>
      </c>
      <c r="I288" s="10" t="s">
        <v>1154</v>
      </c>
      <c r="J288" s="10" t="s">
        <v>1123</v>
      </c>
      <c r="K288" s="10" t="s">
        <v>1155</v>
      </c>
      <c r="L288" s="10" t="s">
        <v>947</v>
      </c>
      <c r="M288" s="10" t="s">
        <v>1103</v>
      </c>
      <c r="N288" s="10" t="s">
        <v>1104</v>
      </c>
      <c r="O288" s="10" t="s">
        <v>665</v>
      </c>
      <c r="P288" s="10" t="s">
        <v>1105</v>
      </c>
      <c r="Q288" s="10" t="s">
        <v>1105</v>
      </c>
    </row>
    <row r="289" spans="1:17">
      <c r="A289" s="10" t="s">
        <v>1280</v>
      </c>
      <c r="B289" s="10" t="s">
        <v>1281</v>
      </c>
      <c r="C289" s="10" t="s">
        <v>18</v>
      </c>
      <c r="D289" s="10" t="s">
        <v>80</v>
      </c>
      <c r="E289" s="10" t="s">
        <v>551</v>
      </c>
      <c r="F289" s="10" t="s">
        <v>238</v>
      </c>
      <c r="G289" s="10" t="s">
        <v>156</v>
      </c>
      <c r="H289" s="10" t="s">
        <v>83</v>
      </c>
      <c r="I289" s="10" t="s">
        <v>1120</v>
      </c>
      <c r="J289" s="10" t="s">
        <v>1121</v>
      </c>
      <c r="K289" s="10" t="s">
        <v>1114</v>
      </c>
      <c r="L289" s="10" t="s">
        <v>947</v>
      </c>
      <c r="M289" s="10" t="s">
        <v>1103</v>
      </c>
      <c r="N289" s="10" t="s">
        <v>1104</v>
      </c>
      <c r="O289" s="10" t="s">
        <v>205</v>
      </c>
      <c r="P289" s="10" t="s">
        <v>1105</v>
      </c>
      <c r="Q289" s="10" t="s">
        <v>1105</v>
      </c>
    </row>
    <row r="290" spans="1:17">
      <c r="A290" s="10" t="s">
        <v>1282</v>
      </c>
      <c r="B290" s="10" t="s">
        <v>1283</v>
      </c>
      <c r="C290" s="10" t="s">
        <v>18</v>
      </c>
      <c r="D290" s="10" t="s">
        <v>80</v>
      </c>
      <c r="E290" s="10" t="s">
        <v>551</v>
      </c>
      <c r="F290" s="10" t="s">
        <v>238</v>
      </c>
      <c r="G290" s="10" t="s">
        <v>156</v>
      </c>
      <c r="H290" s="10" t="s">
        <v>83</v>
      </c>
      <c r="I290" s="10" t="s">
        <v>1116</v>
      </c>
      <c r="J290" s="10" t="s">
        <v>1135</v>
      </c>
      <c r="K290" s="10" t="s">
        <v>1124</v>
      </c>
      <c r="L290" s="10" t="s">
        <v>947</v>
      </c>
      <c r="M290" s="10" t="s">
        <v>1119</v>
      </c>
      <c r="N290" s="10" t="s">
        <v>1104</v>
      </c>
      <c r="O290" s="10" t="s">
        <v>351</v>
      </c>
      <c r="P290" s="10" t="s">
        <v>1105</v>
      </c>
      <c r="Q290" s="10" t="s">
        <v>1105</v>
      </c>
    </row>
    <row r="291" spans="1:17">
      <c r="A291" s="10" t="s">
        <v>1284</v>
      </c>
      <c r="B291" s="10" t="s">
        <v>1285</v>
      </c>
      <c r="C291" s="10" t="s">
        <v>18</v>
      </c>
      <c r="D291" s="10" t="s">
        <v>80</v>
      </c>
      <c r="E291" s="10" t="s">
        <v>551</v>
      </c>
      <c r="F291" s="10" t="s">
        <v>238</v>
      </c>
      <c r="G291" s="10" t="s">
        <v>156</v>
      </c>
      <c r="H291" s="10" t="s">
        <v>83</v>
      </c>
      <c r="I291" s="10" t="s">
        <v>1215</v>
      </c>
      <c r="J291" s="10" t="s">
        <v>1114</v>
      </c>
      <c r="K291" s="10" t="s">
        <v>1216</v>
      </c>
      <c r="L291" s="10" t="s">
        <v>947</v>
      </c>
      <c r="M291" s="10" t="s">
        <v>1119</v>
      </c>
      <c r="N291" s="10" t="s">
        <v>1104</v>
      </c>
      <c r="O291" s="10" t="s">
        <v>351</v>
      </c>
      <c r="P291" s="10" t="s">
        <v>1105</v>
      </c>
      <c r="Q291" s="10" t="s">
        <v>1105</v>
      </c>
    </row>
    <row r="292" spans="1:17">
      <c r="A292" s="10" t="s">
        <v>1286</v>
      </c>
      <c r="B292" s="10" t="s">
        <v>1287</v>
      </c>
      <c r="C292" s="10" t="s">
        <v>18</v>
      </c>
      <c r="D292" s="10" t="s">
        <v>80</v>
      </c>
      <c r="E292" s="10" t="s">
        <v>551</v>
      </c>
      <c r="F292" s="10" t="s">
        <v>238</v>
      </c>
      <c r="G292" s="10" t="s">
        <v>156</v>
      </c>
      <c r="H292" s="10" t="s">
        <v>83</v>
      </c>
      <c r="I292" s="10" t="s">
        <v>1130</v>
      </c>
      <c r="J292" s="10" t="s">
        <v>1101</v>
      </c>
      <c r="K292" s="10" t="s">
        <v>1101</v>
      </c>
      <c r="L292" s="10" t="s">
        <v>947</v>
      </c>
      <c r="M292" s="10" t="s">
        <v>1103</v>
      </c>
      <c r="N292" s="10" t="s">
        <v>1104</v>
      </c>
      <c r="O292" s="10" t="s">
        <v>351</v>
      </c>
      <c r="P292" s="10" t="s">
        <v>1105</v>
      </c>
      <c r="Q292" s="10" t="s">
        <v>1105</v>
      </c>
    </row>
    <row r="293" spans="1:17">
      <c r="A293" s="10" t="s">
        <v>1288</v>
      </c>
      <c r="B293" s="10" t="s">
        <v>1289</v>
      </c>
      <c r="C293" s="10" t="s">
        <v>18</v>
      </c>
      <c r="D293" s="10" t="s">
        <v>80</v>
      </c>
      <c r="E293" s="10" t="s">
        <v>551</v>
      </c>
      <c r="F293" s="10" t="s">
        <v>238</v>
      </c>
      <c r="G293" s="10" t="s">
        <v>156</v>
      </c>
      <c r="H293" s="10" t="s">
        <v>83</v>
      </c>
      <c r="I293" s="10" t="s">
        <v>1154</v>
      </c>
      <c r="J293" s="10" t="s">
        <v>1123</v>
      </c>
      <c r="K293" s="10" t="s">
        <v>1155</v>
      </c>
      <c r="L293" s="10" t="s">
        <v>947</v>
      </c>
      <c r="M293" s="10" t="s">
        <v>1103</v>
      </c>
      <c r="N293" s="10" t="s">
        <v>1104</v>
      </c>
      <c r="O293" s="10" t="s">
        <v>665</v>
      </c>
      <c r="P293" s="10" t="s">
        <v>1105</v>
      </c>
      <c r="Q293" s="10" t="s">
        <v>1105</v>
      </c>
    </row>
    <row r="294" spans="1:17">
      <c r="A294" s="10" t="s">
        <v>1290</v>
      </c>
      <c r="B294" s="10" t="s">
        <v>1291</v>
      </c>
      <c r="C294" s="10" t="s">
        <v>18</v>
      </c>
      <c r="D294" s="10" t="s">
        <v>80</v>
      </c>
      <c r="E294" s="10" t="s">
        <v>551</v>
      </c>
      <c r="F294" s="10" t="s">
        <v>238</v>
      </c>
      <c r="G294" s="10" t="s">
        <v>156</v>
      </c>
      <c r="H294" s="10" t="s">
        <v>83</v>
      </c>
      <c r="I294" s="10" t="s">
        <v>1120</v>
      </c>
      <c r="J294" s="10" t="s">
        <v>1121</v>
      </c>
      <c r="K294" s="10" t="s">
        <v>1114</v>
      </c>
      <c r="L294" s="10" t="s">
        <v>947</v>
      </c>
      <c r="M294" s="10" t="s">
        <v>1103</v>
      </c>
      <c r="N294" s="10" t="s">
        <v>1104</v>
      </c>
      <c r="O294" s="10" t="s">
        <v>205</v>
      </c>
      <c r="P294" s="10" t="s">
        <v>1105</v>
      </c>
      <c r="Q294" s="10" t="s">
        <v>1105</v>
      </c>
    </row>
    <row r="295" spans="1:17">
      <c r="A295" s="10" t="s">
        <v>1292</v>
      </c>
      <c r="B295" s="10" t="s">
        <v>1293</v>
      </c>
      <c r="C295" s="10" t="s">
        <v>18</v>
      </c>
      <c r="D295" s="10" t="s">
        <v>80</v>
      </c>
      <c r="E295" s="10" t="s">
        <v>556</v>
      </c>
      <c r="F295" s="10" t="s">
        <v>238</v>
      </c>
      <c r="G295" s="10" t="s">
        <v>156</v>
      </c>
      <c r="H295" s="10" t="s">
        <v>83</v>
      </c>
      <c r="I295" s="10" t="s">
        <v>1120</v>
      </c>
      <c r="J295" s="10" t="s">
        <v>1121</v>
      </c>
      <c r="K295" s="10" t="s">
        <v>1114</v>
      </c>
      <c r="L295" s="10" t="s">
        <v>947</v>
      </c>
      <c r="M295" s="10" t="s">
        <v>1103</v>
      </c>
      <c r="N295" s="10" t="s">
        <v>1104</v>
      </c>
      <c r="O295" s="10" t="s">
        <v>205</v>
      </c>
      <c r="P295" s="10" t="s">
        <v>1105</v>
      </c>
      <c r="Q295" s="10" t="s">
        <v>1105</v>
      </c>
    </row>
    <row r="296" spans="1:17">
      <c r="A296" s="10" t="s">
        <v>1294</v>
      </c>
      <c r="B296" s="10" t="s">
        <v>1295</v>
      </c>
      <c r="C296" s="10" t="s">
        <v>18</v>
      </c>
      <c r="D296" s="10" t="s">
        <v>80</v>
      </c>
      <c r="E296" s="10" t="s">
        <v>556</v>
      </c>
      <c r="F296" s="10" t="s">
        <v>238</v>
      </c>
      <c r="G296" s="10" t="s">
        <v>156</v>
      </c>
      <c r="H296" s="10" t="s">
        <v>83</v>
      </c>
      <c r="I296" s="10" t="s">
        <v>1154</v>
      </c>
      <c r="J296" s="10" t="s">
        <v>1123</v>
      </c>
      <c r="K296" s="10" t="s">
        <v>1155</v>
      </c>
      <c r="L296" s="10" t="s">
        <v>947</v>
      </c>
      <c r="M296" s="10" t="s">
        <v>1103</v>
      </c>
      <c r="N296" s="10" t="s">
        <v>1104</v>
      </c>
      <c r="O296" s="10" t="s">
        <v>665</v>
      </c>
      <c r="P296" s="10" t="s">
        <v>1105</v>
      </c>
      <c r="Q296" s="10" t="s">
        <v>1105</v>
      </c>
    </row>
    <row r="297" spans="1:17">
      <c r="A297" s="10" t="s">
        <v>1296</v>
      </c>
      <c r="B297" s="10" t="s">
        <v>1297</v>
      </c>
      <c r="C297" s="10" t="s">
        <v>18</v>
      </c>
      <c r="D297" s="10" t="s">
        <v>80</v>
      </c>
      <c r="E297" s="10" t="s">
        <v>556</v>
      </c>
      <c r="F297" s="10" t="s">
        <v>238</v>
      </c>
      <c r="G297" s="10" t="s">
        <v>156</v>
      </c>
      <c r="H297" s="10" t="s">
        <v>83</v>
      </c>
      <c r="I297" s="10" t="s">
        <v>1130</v>
      </c>
      <c r="J297" s="10" t="s">
        <v>1101</v>
      </c>
      <c r="K297" s="10" t="s">
        <v>1101</v>
      </c>
      <c r="L297" s="10" t="s">
        <v>947</v>
      </c>
      <c r="M297" s="10" t="s">
        <v>1103</v>
      </c>
      <c r="N297" s="10" t="s">
        <v>1104</v>
      </c>
      <c r="O297" s="10" t="s">
        <v>351</v>
      </c>
      <c r="P297" s="10" t="s">
        <v>1105</v>
      </c>
      <c r="Q297" s="10" t="s">
        <v>1105</v>
      </c>
    </row>
    <row r="298" spans="1:17">
      <c r="A298" s="10" t="s">
        <v>1298</v>
      </c>
      <c r="B298" s="10" t="s">
        <v>1299</v>
      </c>
      <c r="C298" s="10" t="s">
        <v>18</v>
      </c>
      <c r="D298" s="10" t="s">
        <v>80</v>
      </c>
      <c r="E298" s="10" t="s">
        <v>556</v>
      </c>
      <c r="F298" s="10" t="s">
        <v>238</v>
      </c>
      <c r="G298" s="10" t="s">
        <v>156</v>
      </c>
      <c r="H298" s="10" t="s">
        <v>83</v>
      </c>
      <c r="I298" s="10" t="s">
        <v>1116</v>
      </c>
      <c r="J298" s="10" t="s">
        <v>1135</v>
      </c>
      <c r="K298" s="10" t="s">
        <v>1124</v>
      </c>
      <c r="L298" s="10" t="s">
        <v>947</v>
      </c>
      <c r="M298" s="10" t="s">
        <v>1119</v>
      </c>
      <c r="N298" s="10" t="s">
        <v>1104</v>
      </c>
      <c r="O298" s="10" t="s">
        <v>351</v>
      </c>
      <c r="P298" s="10" t="s">
        <v>1105</v>
      </c>
      <c r="Q298" s="10" t="s">
        <v>1105</v>
      </c>
    </row>
    <row r="299" spans="1:17">
      <c r="A299" s="10" t="s">
        <v>1300</v>
      </c>
      <c r="B299" s="10" t="s">
        <v>1301</v>
      </c>
      <c r="C299" s="10" t="s">
        <v>18</v>
      </c>
      <c r="D299" s="10" t="s">
        <v>80</v>
      </c>
      <c r="E299" s="10" t="s">
        <v>556</v>
      </c>
      <c r="F299" s="10" t="s">
        <v>238</v>
      </c>
      <c r="G299" s="10" t="s">
        <v>156</v>
      </c>
      <c r="H299" s="10" t="s">
        <v>83</v>
      </c>
      <c r="I299" s="10" t="s">
        <v>1116</v>
      </c>
      <c r="J299" s="10" t="s">
        <v>1135</v>
      </c>
      <c r="K299" s="10" t="s">
        <v>1124</v>
      </c>
      <c r="L299" s="10" t="s">
        <v>947</v>
      </c>
      <c r="M299" s="10" t="s">
        <v>1119</v>
      </c>
      <c r="N299" s="10" t="s">
        <v>1104</v>
      </c>
      <c r="O299" s="10" t="s">
        <v>351</v>
      </c>
      <c r="P299" s="10" t="s">
        <v>1105</v>
      </c>
      <c r="Q299" s="10" t="s">
        <v>1105</v>
      </c>
    </row>
    <row r="300" spans="1:17">
      <c r="A300" s="10" t="s">
        <v>1302</v>
      </c>
      <c r="B300" s="10" t="s">
        <v>1303</v>
      </c>
      <c r="C300" s="10" t="s">
        <v>18</v>
      </c>
      <c r="D300" s="10" t="s">
        <v>80</v>
      </c>
      <c r="E300" s="10" t="s">
        <v>556</v>
      </c>
      <c r="F300" s="10" t="s">
        <v>238</v>
      </c>
      <c r="G300" s="10" t="s">
        <v>156</v>
      </c>
      <c r="H300" s="10" t="s">
        <v>83</v>
      </c>
      <c r="I300" s="10" t="s">
        <v>1130</v>
      </c>
      <c r="J300" s="10" t="s">
        <v>1101</v>
      </c>
      <c r="K300" s="10" t="s">
        <v>1101</v>
      </c>
      <c r="L300" s="10" t="s">
        <v>947</v>
      </c>
      <c r="M300" s="10" t="s">
        <v>1103</v>
      </c>
      <c r="N300" s="10" t="s">
        <v>1104</v>
      </c>
      <c r="O300" s="10" t="s">
        <v>351</v>
      </c>
      <c r="P300" s="10" t="s">
        <v>1105</v>
      </c>
      <c r="Q300" s="10" t="s">
        <v>1105</v>
      </c>
    </row>
    <row r="301" spans="1:17">
      <c r="A301" s="10" t="s">
        <v>1304</v>
      </c>
      <c r="B301" s="10" t="s">
        <v>1305</v>
      </c>
      <c r="C301" s="10" t="s">
        <v>18</v>
      </c>
      <c r="D301" s="10" t="s">
        <v>80</v>
      </c>
      <c r="E301" s="10" t="s">
        <v>556</v>
      </c>
      <c r="F301" s="10" t="s">
        <v>238</v>
      </c>
      <c r="G301" s="10" t="s">
        <v>156</v>
      </c>
      <c r="H301" s="10" t="s">
        <v>83</v>
      </c>
      <c r="I301" s="10" t="s">
        <v>1154</v>
      </c>
      <c r="J301" s="10" t="s">
        <v>1123</v>
      </c>
      <c r="K301" s="10" t="s">
        <v>1155</v>
      </c>
      <c r="L301" s="10" t="s">
        <v>947</v>
      </c>
      <c r="M301" s="10" t="s">
        <v>1103</v>
      </c>
      <c r="N301" s="10" t="s">
        <v>1104</v>
      </c>
      <c r="O301" s="10" t="s">
        <v>665</v>
      </c>
      <c r="P301" s="10" t="s">
        <v>1105</v>
      </c>
      <c r="Q301" s="10" t="s">
        <v>1105</v>
      </c>
    </row>
    <row r="302" spans="1:17">
      <c r="A302" s="10" t="s">
        <v>1306</v>
      </c>
      <c r="B302" s="10" t="s">
        <v>1307</v>
      </c>
      <c r="C302" s="10" t="s">
        <v>18</v>
      </c>
      <c r="D302" s="10" t="s">
        <v>80</v>
      </c>
      <c r="E302" s="10" t="s">
        <v>556</v>
      </c>
      <c r="F302" s="10" t="s">
        <v>238</v>
      </c>
      <c r="G302" s="10" t="s">
        <v>156</v>
      </c>
      <c r="H302" s="10" t="s">
        <v>83</v>
      </c>
      <c r="I302" s="10" t="s">
        <v>1120</v>
      </c>
      <c r="J302" s="10" t="s">
        <v>1121</v>
      </c>
      <c r="K302" s="10" t="s">
        <v>1114</v>
      </c>
      <c r="L302" s="10" t="s">
        <v>947</v>
      </c>
      <c r="M302" s="10" t="s">
        <v>1103</v>
      </c>
      <c r="N302" s="10" t="s">
        <v>1104</v>
      </c>
      <c r="O302" s="10" t="s">
        <v>205</v>
      </c>
      <c r="P302" s="10" t="s">
        <v>1105</v>
      </c>
      <c r="Q302" s="10" t="s">
        <v>1105</v>
      </c>
    </row>
    <row r="303" spans="1:17">
      <c r="A303" s="10" t="s">
        <v>601</v>
      </c>
      <c r="B303" s="10" t="s">
        <v>602</v>
      </c>
      <c r="C303" s="10" t="s">
        <v>18</v>
      </c>
      <c r="D303" s="10" t="s">
        <v>80</v>
      </c>
      <c r="E303" s="10" t="s">
        <v>551</v>
      </c>
      <c r="F303" s="10" t="s">
        <v>238</v>
      </c>
      <c r="G303" s="10" t="s">
        <v>156</v>
      </c>
      <c r="H303" s="10" t="s">
        <v>83</v>
      </c>
      <c r="I303" s="10" t="s">
        <v>1148</v>
      </c>
      <c r="J303" s="10" t="s">
        <v>1114</v>
      </c>
      <c r="K303" s="10" t="s">
        <v>1124</v>
      </c>
      <c r="L303" s="10" t="s">
        <v>954</v>
      </c>
      <c r="M303" s="10" t="s">
        <v>954</v>
      </c>
      <c r="N303" s="10" t="s">
        <v>1104</v>
      </c>
      <c r="O303" s="10" t="s">
        <v>1149</v>
      </c>
      <c r="P303" s="10" t="s">
        <v>1105</v>
      </c>
      <c r="Q303" s="10" t="s">
        <v>1105</v>
      </c>
    </row>
    <row r="304" spans="1:17">
      <c r="A304" s="10" t="s">
        <v>599</v>
      </c>
      <c r="B304" s="10" t="s">
        <v>600</v>
      </c>
      <c r="C304" s="10" t="s">
        <v>18</v>
      </c>
      <c r="D304" s="10" t="s">
        <v>80</v>
      </c>
      <c r="E304" s="10" t="s">
        <v>551</v>
      </c>
      <c r="F304" s="10" t="s">
        <v>238</v>
      </c>
      <c r="G304" s="10" t="s">
        <v>156</v>
      </c>
      <c r="H304" s="10" t="s">
        <v>83</v>
      </c>
      <c r="I304" s="10" t="s">
        <v>1148</v>
      </c>
      <c r="J304" s="10" t="s">
        <v>1114</v>
      </c>
      <c r="K304" s="10" t="s">
        <v>1124</v>
      </c>
      <c r="L304" s="10" t="s">
        <v>954</v>
      </c>
      <c r="M304" s="10" t="s">
        <v>954</v>
      </c>
      <c r="N304" s="10" t="s">
        <v>1104</v>
      </c>
      <c r="O304" s="10" t="s">
        <v>1149</v>
      </c>
      <c r="P304" s="10" t="s">
        <v>1105</v>
      </c>
      <c r="Q304" s="10" t="s">
        <v>1105</v>
      </c>
    </row>
    <row r="305" spans="1:17">
      <c r="A305" s="10" t="s">
        <v>597</v>
      </c>
      <c r="B305" s="10" t="s">
        <v>598</v>
      </c>
      <c r="C305" s="10" t="s">
        <v>18</v>
      </c>
      <c r="D305" s="10" t="s">
        <v>80</v>
      </c>
      <c r="E305" s="10" t="s">
        <v>556</v>
      </c>
      <c r="F305" s="10" t="s">
        <v>238</v>
      </c>
      <c r="G305" s="10" t="s">
        <v>156</v>
      </c>
      <c r="H305" s="10" t="s">
        <v>83</v>
      </c>
      <c r="I305" s="10" t="s">
        <v>1148</v>
      </c>
      <c r="J305" s="10" t="s">
        <v>1114</v>
      </c>
      <c r="K305" s="10" t="s">
        <v>1124</v>
      </c>
      <c r="L305" s="10" t="s">
        <v>954</v>
      </c>
      <c r="M305" s="10" t="s">
        <v>954</v>
      </c>
      <c r="N305" s="10" t="s">
        <v>1104</v>
      </c>
      <c r="O305" s="10" t="s">
        <v>1149</v>
      </c>
      <c r="P305" s="10" t="s">
        <v>1105</v>
      </c>
      <c r="Q305" s="10" t="s">
        <v>1105</v>
      </c>
    </row>
    <row r="306" spans="1:17">
      <c r="A306" s="10" t="s">
        <v>595</v>
      </c>
      <c r="B306" s="10" t="s">
        <v>596</v>
      </c>
      <c r="C306" s="10" t="s">
        <v>18</v>
      </c>
      <c r="D306" s="10" t="s">
        <v>80</v>
      </c>
      <c r="E306" s="10" t="s">
        <v>556</v>
      </c>
      <c r="F306" s="10" t="s">
        <v>238</v>
      </c>
      <c r="G306" s="10" t="s">
        <v>156</v>
      </c>
      <c r="H306" s="10" t="s">
        <v>83</v>
      </c>
      <c r="I306" s="10" t="s">
        <v>1148</v>
      </c>
      <c r="J306" s="10" t="s">
        <v>1114</v>
      </c>
      <c r="K306" s="10" t="s">
        <v>1124</v>
      </c>
      <c r="L306" s="10" t="s">
        <v>954</v>
      </c>
      <c r="M306" s="10" t="s">
        <v>954</v>
      </c>
      <c r="N306" s="10" t="s">
        <v>1104</v>
      </c>
      <c r="O306" s="10" t="s">
        <v>1149</v>
      </c>
      <c r="P306" s="10" t="s">
        <v>1105</v>
      </c>
      <c r="Q306" s="10" t="s">
        <v>1105</v>
      </c>
    </row>
    <row r="307" spans="1:17">
      <c r="A307" s="10" t="s">
        <v>593</v>
      </c>
      <c r="B307" s="10" t="s">
        <v>594</v>
      </c>
      <c r="C307" s="10" t="s">
        <v>50</v>
      </c>
      <c r="D307" s="10" t="s">
        <v>29</v>
      </c>
      <c r="E307" s="10" t="s">
        <v>29</v>
      </c>
      <c r="F307" s="10" t="s">
        <v>21</v>
      </c>
      <c r="G307" s="10" t="s">
        <v>22</v>
      </c>
      <c r="H307" s="10" t="s">
        <v>29</v>
      </c>
      <c r="I307" s="10" t="s">
        <v>1116</v>
      </c>
      <c r="J307" s="10" t="s">
        <v>1114</v>
      </c>
      <c r="K307" s="10" t="s">
        <v>1210</v>
      </c>
      <c r="L307" s="10" t="s">
        <v>947</v>
      </c>
      <c r="M307" s="10" t="s">
        <v>1119</v>
      </c>
      <c r="N307" s="10" t="s">
        <v>1104</v>
      </c>
      <c r="O307" s="10" t="s">
        <v>1146</v>
      </c>
      <c r="P307" s="10" t="s">
        <v>1105</v>
      </c>
      <c r="Q307" s="10" t="s">
        <v>1105</v>
      </c>
    </row>
    <row r="308" spans="1:17">
      <c r="A308" s="10" t="s">
        <v>591</v>
      </c>
      <c r="B308" s="10" t="s">
        <v>592</v>
      </c>
      <c r="C308" s="10" t="s">
        <v>50</v>
      </c>
      <c r="D308" s="10" t="s">
        <v>29</v>
      </c>
      <c r="E308" s="10" t="s">
        <v>29</v>
      </c>
      <c r="F308" s="10" t="s">
        <v>42</v>
      </c>
      <c r="G308" s="10" t="s">
        <v>42</v>
      </c>
      <c r="H308" s="10" t="s">
        <v>29</v>
      </c>
      <c r="I308" s="10" t="s">
        <v>1148</v>
      </c>
      <c r="J308" s="10" t="s">
        <v>1114</v>
      </c>
      <c r="K308" s="10" t="s">
        <v>1124</v>
      </c>
      <c r="L308" s="10" t="s">
        <v>954</v>
      </c>
      <c r="M308" s="10" t="s">
        <v>954</v>
      </c>
      <c r="N308" s="10" t="s">
        <v>1104</v>
      </c>
      <c r="O308" s="10" t="s">
        <v>1149</v>
      </c>
      <c r="P308" s="10" t="s">
        <v>1105</v>
      </c>
      <c r="Q308" s="10" t="s">
        <v>1105</v>
      </c>
    </row>
    <row r="309" spans="1:17">
      <c r="A309" s="10" t="s">
        <v>589</v>
      </c>
      <c r="B309" s="10" t="s">
        <v>590</v>
      </c>
      <c r="C309" s="10" t="s">
        <v>50</v>
      </c>
      <c r="D309" s="10" t="s">
        <v>29</v>
      </c>
      <c r="E309" s="10" t="s">
        <v>29</v>
      </c>
      <c r="F309" s="10" t="s">
        <v>38</v>
      </c>
      <c r="G309" s="10" t="s">
        <v>38</v>
      </c>
      <c r="H309" s="10" t="s">
        <v>29</v>
      </c>
      <c r="I309" s="10" t="s">
        <v>1116</v>
      </c>
      <c r="J309" s="10" t="s">
        <v>1135</v>
      </c>
      <c r="K309" s="10" t="s">
        <v>1124</v>
      </c>
      <c r="L309" s="10" t="s">
        <v>954</v>
      </c>
      <c r="M309" s="10" t="s">
        <v>954</v>
      </c>
      <c r="N309" s="10" t="s">
        <v>1104</v>
      </c>
      <c r="O309" s="10" t="s">
        <v>1149</v>
      </c>
      <c r="P309" s="10" t="s">
        <v>1105</v>
      </c>
      <c r="Q309" s="10" t="s">
        <v>1105</v>
      </c>
    </row>
    <row r="310" spans="1:17">
      <c r="A310" s="10" t="s">
        <v>587</v>
      </c>
      <c r="B310" s="10" t="s">
        <v>588</v>
      </c>
      <c r="C310" s="10" t="s">
        <v>50</v>
      </c>
      <c r="D310" s="10" t="s">
        <v>29</v>
      </c>
      <c r="E310" s="10" t="s">
        <v>29</v>
      </c>
      <c r="F310" s="10" t="s">
        <v>38</v>
      </c>
      <c r="G310" s="10" t="s">
        <v>38</v>
      </c>
      <c r="H310" s="10" t="s">
        <v>29</v>
      </c>
      <c r="I310" s="10" t="s">
        <v>1148</v>
      </c>
      <c r="J310" s="10" t="s">
        <v>1114</v>
      </c>
      <c r="K310" s="10" t="s">
        <v>1124</v>
      </c>
      <c r="L310" s="10" t="s">
        <v>954</v>
      </c>
      <c r="M310" s="10" t="s">
        <v>954</v>
      </c>
      <c r="N310" s="10" t="s">
        <v>1104</v>
      </c>
      <c r="O310" s="10" t="s">
        <v>1149</v>
      </c>
      <c r="P310" s="10" t="s">
        <v>1105</v>
      </c>
      <c r="Q310" s="10" t="s">
        <v>1105</v>
      </c>
    </row>
    <row r="311" spans="1:17">
      <c r="A311" s="10" t="s">
        <v>585</v>
      </c>
      <c r="B311" s="10" t="s">
        <v>586</v>
      </c>
      <c r="C311" s="10" t="s">
        <v>50</v>
      </c>
      <c r="D311" s="10" t="s">
        <v>29</v>
      </c>
      <c r="E311" s="10" t="s">
        <v>29</v>
      </c>
      <c r="F311" s="10" t="s">
        <v>156</v>
      </c>
      <c r="G311" s="10" t="s">
        <v>156</v>
      </c>
      <c r="H311" s="10" t="s">
        <v>29</v>
      </c>
      <c r="I311" s="10" t="s">
        <v>1148</v>
      </c>
      <c r="J311" s="10" t="s">
        <v>1114</v>
      </c>
      <c r="K311" s="10" t="s">
        <v>1124</v>
      </c>
      <c r="L311" s="10" t="s">
        <v>954</v>
      </c>
      <c r="M311" s="10" t="s">
        <v>954</v>
      </c>
      <c r="N311" s="10" t="s">
        <v>1104</v>
      </c>
      <c r="O311" s="10" t="s">
        <v>1149</v>
      </c>
      <c r="P311" s="10" t="s">
        <v>1105</v>
      </c>
      <c r="Q311" s="10" t="s">
        <v>1105</v>
      </c>
    </row>
    <row r="312" spans="1:17">
      <c r="A312" s="10" t="s">
        <v>583</v>
      </c>
      <c r="B312" s="10" t="s">
        <v>584</v>
      </c>
      <c r="C312" s="10" t="s">
        <v>18</v>
      </c>
      <c r="D312" s="10" t="s">
        <v>107</v>
      </c>
      <c r="E312" s="10" t="s">
        <v>123</v>
      </c>
      <c r="F312" s="10" t="s">
        <v>51</v>
      </c>
      <c r="G312" s="10" t="s">
        <v>22</v>
      </c>
      <c r="H312" s="10" t="s">
        <v>110</v>
      </c>
      <c r="I312" s="10" t="s">
        <v>1217</v>
      </c>
      <c r="J312" s="10" t="s">
        <v>1101</v>
      </c>
      <c r="K312" s="10" t="s">
        <v>1218</v>
      </c>
      <c r="L312" s="10" t="s">
        <v>947</v>
      </c>
      <c r="M312" s="10" t="s">
        <v>1103</v>
      </c>
      <c r="N312" s="10" t="s">
        <v>1104</v>
      </c>
      <c r="O312" s="10" t="s">
        <v>1146</v>
      </c>
      <c r="P312" s="10" t="s">
        <v>1105</v>
      </c>
      <c r="Q312" s="10" t="s">
        <v>1105</v>
      </c>
    </row>
    <row r="313" spans="1:17">
      <c r="A313" s="10" t="s">
        <v>581</v>
      </c>
      <c r="B313" s="10" t="s">
        <v>582</v>
      </c>
      <c r="C313" s="10" t="s">
        <v>18</v>
      </c>
      <c r="D313" s="10" t="s">
        <v>107</v>
      </c>
      <c r="E313" s="10" t="s">
        <v>123</v>
      </c>
      <c r="F313" s="10" t="s">
        <v>51</v>
      </c>
      <c r="G313" s="10" t="s">
        <v>22</v>
      </c>
      <c r="H313" s="10" t="s">
        <v>110</v>
      </c>
      <c r="I313" s="10" t="s">
        <v>1217</v>
      </c>
      <c r="J313" s="10" t="s">
        <v>1101</v>
      </c>
      <c r="K313" s="10" t="s">
        <v>1218</v>
      </c>
      <c r="L313" s="10" t="s">
        <v>947</v>
      </c>
      <c r="M313" s="10" t="s">
        <v>1103</v>
      </c>
      <c r="N313" s="10" t="s">
        <v>1104</v>
      </c>
      <c r="O313" s="10" t="s">
        <v>1146</v>
      </c>
      <c r="P313" s="10" t="s">
        <v>1105</v>
      </c>
      <c r="Q313" s="10" t="s">
        <v>1105</v>
      </c>
    </row>
    <row r="314" spans="1:17">
      <c r="A314" s="10" t="s">
        <v>579</v>
      </c>
      <c r="B314" s="10" t="s">
        <v>580</v>
      </c>
      <c r="C314" s="10" t="s">
        <v>18</v>
      </c>
      <c r="D314" s="10" t="s">
        <v>107</v>
      </c>
      <c r="E314" s="10" t="s">
        <v>123</v>
      </c>
      <c r="F314" s="10" t="s">
        <v>51</v>
      </c>
      <c r="G314" s="10" t="s">
        <v>22</v>
      </c>
      <c r="H314" s="10" t="s">
        <v>110</v>
      </c>
      <c r="I314" s="10" t="s">
        <v>1116</v>
      </c>
      <c r="J314" s="10" t="s">
        <v>1135</v>
      </c>
      <c r="K314" s="10" t="s">
        <v>1124</v>
      </c>
      <c r="L314" s="10" t="s">
        <v>947</v>
      </c>
      <c r="M314" s="10" t="s">
        <v>1119</v>
      </c>
      <c r="N314" s="10" t="s">
        <v>1104</v>
      </c>
      <c r="O314" s="10" t="s">
        <v>1146</v>
      </c>
      <c r="P314" s="10" t="s">
        <v>1105</v>
      </c>
      <c r="Q314" s="10" t="s">
        <v>1105</v>
      </c>
    </row>
    <row r="315" spans="1:17">
      <c r="A315" s="10" t="s">
        <v>577</v>
      </c>
      <c r="B315" s="10" t="s">
        <v>578</v>
      </c>
      <c r="C315" s="10" t="s">
        <v>18</v>
      </c>
      <c r="D315" s="10" t="s">
        <v>107</v>
      </c>
      <c r="E315" s="10" t="s">
        <v>123</v>
      </c>
      <c r="F315" s="10" t="s">
        <v>51</v>
      </c>
      <c r="G315" s="10" t="s">
        <v>22</v>
      </c>
      <c r="H315" s="10" t="s">
        <v>110</v>
      </c>
      <c r="I315" s="10" t="s">
        <v>1116</v>
      </c>
      <c r="J315" s="10" t="s">
        <v>1135</v>
      </c>
      <c r="K315" s="10" t="s">
        <v>1124</v>
      </c>
      <c r="L315" s="10" t="s">
        <v>947</v>
      </c>
      <c r="M315" s="10" t="s">
        <v>1119</v>
      </c>
      <c r="N315" s="10" t="s">
        <v>1104</v>
      </c>
      <c r="O315" s="10" t="s">
        <v>1146</v>
      </c>
      <c r="P315" s="10" t="s">
        <v>1105</v>
      </c>
      <c r="Q315" s="10" t="s">
        <v>1105</v>
      </c>
    </row>
    <row r="316" spans="1:17">
      <c r="A316" s="10" t="s">
        <v>575</v>
      </c>
      <c r="B316" s="10" t="s">
        <v>576</v>
      </c>
      <c r="C316" s="10" t="s">
        <v>18</v>
      </c>
      <c r="D316" s="10" t="s">
        <v>107</v>
      </c>
      <c r="E316" s="10" t="s">
        <v>120</v>
      </c>
      <c r="F316" s="10" t="s">
        <v>56</v>
      </c>
      <c r="G316" s="10" t="s">
        <v>22</v>
      </c>
      <c r="H316" s="10" t="s">
        <v>110</v>
      </c>
      <c r="I316" s="10" t="s">
        <v>1257</v>
      </c>
      <c r="J316" s="10" t="s">
        <v>1135</v>
      </c>
      <c r="K316" s="10" t="s">
        <v>1210</v>
      </c>
      <c r="L316" s="10" t="s">
        <v>947</v>
      </c>
      <c r="M316" s="10" t="s">
        <v>1129</v>
      </c>
      <c r="N316" s="10" t="s">
        <v>1104</v>
      </c>
      <c r="O316" s="10" t="s">
        <v>1146</v>
      </c>
      <c r="P316" s="10" t="s">
        <v>1105</v>
      </c>
      <c r="Q316" s="10" t="s">
        <v>1105</v>
      </c>
    </row>
    <row r="317" spans="1:17">
      <c r="A317" s="10" t="s">
        <v>573</v>
      </c>
      <c r="B317" s="10" t="s">
        <v>574</v>
      </c>
      <c r="C317" s="10" t="s">
        <v>18</v>
      </c>
      <c r="D317" s="10" t="s">
        <v>107</v>
      </c>
      <c r="E317" s="10" t="s">
        <v>115</v>
      </c>
      <c r="F317" s="10" t="s">
        <v>62</v>
      </c>
      <c r="G317" s="10" t="s">
        <v>22</v>
      </c>
      <c r="H317" s="10" t="s">
        <v>110</v>
      </c>
      <c r="I317" s="10" t="s">
        <v>1116</v>
      </c>
      <c r="J317" s="10" t="s">
        <v>1135</v>
      </c>
      <c r="K317" s="10" t="s">
        <v>1124</v>
      </c>
      <c r="L317" s="10" t="s">
        <v>947</v>
      </c>
      <c r="M317" s="10" t="s">
        <v>1119</v>
      </c>
      <c r="N317" s="10" t="s">
        <v>1104</v>
      </c>
      <c r="O317" s="10" t="s">
        <v>1146</v>
      </c>
      <c r="P317" s="10" t="s">
        <v>1105</v>
      </c>
      <c r="Q317" s="10" t="s">
        <v>1105</v>
      </c>
    </row>
    <row r="318" spans="1:17">
      <c r="A318" s="10" t="s">
        <v>571</v>
      </c>
      <c r="B318" s="10" t="s">
        <v>572</v>
      </c>
      <c r="C318" s="10" t="s">
        <v>50</v>
      </c>
      <c r="D318" s="10" t="s">
        <v>29</v>
      </c>
      <c r="E318" s="10" t="s">
        <v>29</v>
      </c>
      <c r="F318" s="10" t="s">
        <v>56</v>
      </c>
      <c r="G318" s="10" t="s">
        <v>22</v>
      </c>
      <c r="H318" s="10" t="s">
        <v>29</v>
      </c>
      <c r="I318" s="10" t="s">
        <v>1116</v>
      </c>
      <c r="J318" s="10" t="s">
        <v>1135</v>
      </c>
      <c r="K318" s="10" t="s">
        <v>1124</v>
      </c>
      <c r="L318" s="10" t="s">
        <v>947</v>
      </c>
      <c r="M318" s="10" t="s">
        <v>1119</v>
      </c>
      <c r="N318" s="10" t="s">
        <v>1104</v>
      </c>
      <c r="O318" s="10" t="s">
        <v>1146</v>
      </c>
      <c r="P318" s="10" t="s">
        <v>1105</v>
      </c>
      <c r="Q318" s="10" t="s">
        <v>1105</v>
      </c>
    </row>
    <row r="319" spans="1:17">
      <c r="A319" s="10" t="s">
        <v>569</v>
      </c>
      <c r="B319" s="10" t="s">
        <v>570</v>
      </c>
      <c r="C319" s="10" t="s">
        <v>50</v>
      </c>
      <c r="D319" s="10" t="s">
        <v>29</v>
      </c>
      <c r="E319" s="10" t="s">
        <v>29</v>
      </c>
      <c r="F319" s="10" t="s">
        <v>51</v>
      </c>
      <c r="G319" s="10" t="s">
        <v>22</v>
      </c>
      <c r="H319" s="10" t="s">
        <v>29</v>
      </c>
      <c r="I319" s="10" t="s">
        <v>1116</v>
      </c>
      <c r="J319" s="10" t="s">
        <v>1114</v>
      </c>
      <c r="K319" s="10" t="s">
        <v>1210</v>
      </c>
      <c r="L319" s="10" t="s">
        <v>947</v>
      </c>
      <c r="M319" s="10" t="s">
        <v>1119</v>
      </c>
      <c r="N319" s="10" t="s">
        <v>1104</v>
      </c>
      <c r="O319" s="10" t="s">
        <v>1146</v>
      </c>
      <c r="P319" s="10" t="s">
        <v>1105</v>
      </c>
      <c r="Q319" s="10" t="s">
        <v>1105</v>
      </c>
    </row>
    <row r="320" spans="1:17">
      <c r="A320" s="10" t="s">
        <v>567</v>
      </c>
      <c r="B320" s="10" t="s">
        <v>568</v>
      </c>
      <c r="C320" s="10" t="s">
        <v>28</v>
      </c>
      <c r="D320" s="10" t="s">
        <v>29</v>
      </c>
      <c r="E320" s="10" t="s">
        <v>29</v>
      </c>
      <c r="F320" s="10" t="s">
        <v>56</v>
      </c>
      <c r="G320" s="10" t="s">
        <v>22</v>
      </c>
      <c r="H320" s="10" t="s">
        <v>29</v>
      </c>
      <c r="I320" s="10" t="s">
        <v>1116</v>
      </c>
      <c r="J320" s="10" t="s">
        <v>1135</v>
      </c>
      <c r="K320" s="10" t="s">
        <v>1124</v>
      </c>
      <c r="L320" s="10" t="s">
        <v>947</v>
      </c>
      <c r="M320" s="10" t="s">
        <v>1119</v>
      </c>
      <c r="N320" s="10" t="s">
        <v>1104</v>
      </c>
      <c r="O320" s="10" t="s">
        <v>1146</v>
      </c>
      <c r="P320" s="10" t="s">
        <v>1105</v>
      </c>
      <c r="Q320" s="10" t="s">
        <v>1105</v>
      </c>
    </row>
    <row r="321" spans="1:17">
      <c r="A321" s="10" t="s">
        <v>565</v>
      </c>
      <c r="B321" s="10" t="s">
        <v>566</v>
      </c>
      <c r="C321" s="10" t="s">
        <v>28</v>
      </c>
      <c r="D321" s="10" t="s">
        <v>29</v>
      </c>
      <c r="E321" s="10" t="s">
        <v>29</v>
      </c>
      <c r="F321" s="10" t="s">
        <v>51</v>
      </c>
      <c r="G321" s="10" t="s">
        <v>22</v>
      </c>
      <c r="H321" s="10" t="s">
        <v>29</v>
      </c>
      <c r="I321" s="10" t="s">
        <v>1116</v>
      </c>
      <c r="J321" s="10" t="s">
        <v>1135</v>
      </c>
      <c r="K321" s="10" t="s">
        <v>1124</v>
      </c>
      <c r="L321" s="10" t="s">
        <v>947</v>
      </c>
      <c r="M321" s="10" t="s">
        <v>1119</v>
      </c>
      <c r="N321" s="10" t="s">
        <v>1104</v>
      </c>
      <c r="O321" s="10" t="s">
        <v>1146</v>
      </c>
      <c r="P321" s="10" t="s">
        <v>1105</v>
      </c>
      <c r="Q321" s="10" t="s">
        <v>1105</v>
      </c>
    </row>
    <row r="322" spans="1:17">
      <c r="A322" s="10" t="s">
        <v>563</v>
      </c>
      <c r="B322" s="10" t="s">
        <v>564</v>
      </c>
      <c r="C322" s="10" t="s">
        <v>140</v>
      </c>
      <c r="D322" s="10" t="s">
        <v>29</v>
      </c>
      <c r="E322" s="10" t="s">
        <v>29</v>
      </c>
      <c r="F322" s="10" t="s">
        <v>355</v>
      </c>
      <c r="G322" s="10" t="s">
        <v>22</v>
      </c>
      <c r="H322" s="10" t="s">
        <v>29</v>
      </c>
      <c r="I322" s="10" t="s">
        <v>1116</v>
      </c>
      <c r="J322" s="10" t="s">
        <v>1123</v>
      </c>
      <c r="K322" s="10" t="s">
        <v>1308</v>
      </c>
      <c r="L322" s="10" t="s">
        <v>954</v>
      </c>
      <c r="M322" s="10" t="s">
        <v>954</v>
      </c>
      <c r="N322" s="10" t="s">
        <v>1104</v>
      </c>
      <c r="O322" s="10" t="s">
        <v>1149</v>
      </c>
      <c r="P322" s="10" t="s">
        <v>1105</v>
      </c>
      <c r="Q322" s="10" t="s">
        <v>1105</v>
      </c>
    </row>
    <row r="323" spans="1:17">
      <c r="A323" s="10" t="s">
        <v>1309</v>
      </c>
      <c r="B323" s="10" t="s">
        <v>1310</v>
      </c>
      <c r="C323" s="10" t="s">
        <v>18</v>
      </c>
      <c r="D323" s="10" t="s">
        <v>80</v>
      </c>
      <c r="E323" s="10" t="s">
        <v>551</v>
      </c>
      <c r="F323" s="10" t="s">
        <v>238</v>
      </c>
      <c r="G323" s="10" t="s">
        <v>156</v>
      </c>
      <c r="H323" s="10" t="s">
        <v>83</v>
      </c>
      <c r="I323" s="10" t="s">
        <v>1257</v>
      </c>
      <c r="J323" s="10" t="s">
        <v>1135</v>
      </c>
      <c r="K323" s="10" t="s">
        <v>1210</v>
      </c>
      <c r="L323" s="10" t="s">
        <v>947</v>
      </c>
      <c r="M323" s="10" t="s">
        <v>1129</v>
      </c>
      <c r="N323" s="10" t="s">
        <v>1104</v>
      </c>
      <c r="O323" s="10" t="s">
        <v>351</v>
      </c>
      <c r="P323" s="10" t="s">
        <v>1105</v>
      </c>
      <c r="Q323" s="10" t="s">
        <v>1105</v>
      </c>
    </row>
    <row r="324" spans="1:17">
      <c r="A324" s="10" t="s">
        <v>561</v>
      </c>
      <c r="B324" s="10" t="s">
        <v>562</v>
      </c>
      <c r="C324" s="10" t="s">
        <v>18</v>
      </c>
      <c r="D324" s="10" t="s">
        <v>80</v>
      </c>
      <c r="E324" s="10" t="s">
        <v>92</v>
      </c>
      <c r="F324" s="10" t="s">
        <v>93</v>
      </c>
      <c r="G324" s="10" t="s">
        <v>42</v>
      </c>
      <c r="H324" s="10" t="s">
        <v>83</v>
      </c>
      <c r="I324" s="10" t="s">
        <v>1257</v>
      </c>
      <c r="J324" s="10" t="s">
        <v>1135</v>
      </c>
      <c r="K324" s="10" t="s">
        <v>1210</v>
      </c>
      <c r="L324" s="10" t="s">
        <v>947</v>
      </c>
      <c r="M324" s="10" t="s">
        <v>1129</v>
      </c>
      <c r="N324" s="10" t="s">
        <v>1104</v>
      </c>
      <c r="O324" s="10" t="s">
        <v>1136</v>
      </c>
      <c r="P324" s="10" t="s">
        <v>1105</v>
      </c>
      <c r="Q324" s="10" t="s">
        <v>1105</v>
      </c>
    </row>
    <row r="325" spans="1:17">
      <c r="A325" s="10" t="s">
        <v>559</v>
      </c>
      <c r="B325" s="10" t="s">
        <v>560</v>
      </c>
      <c r="C325" s="10" t="s">
        <v>18</v>
      </c>
      <c r="D325" s="10" t="s">
        <v>80</v>
      </c>
      <c r="E325" s="10" t="s">
        <v>81</v>
      </c>
      <c r="F325" s="10" t="s">
        <v>82</v>
      </c>
      <c r="G325" s="10" t="s">
        <v>38</v>
      </c>
      <c r="H325" s="10" t="s">
        <v>83</v>
      </c>
      <c r="I325" s="10" t="s">
        <v>1257</v>
      </c>
      <c r="J325" s="10" t="s">
        <v>1135</v>
      </c>
      <c r="K325" s="10" t="s">
        <v>1210</v>
      </c>
      <c r="L325" s="10" t="s">
        <v>947</v>
      </c>
      <c r="M325" s="10" t="s">
        <v>1129</v>
      </c>
      <c r="N325" s="10" t="s">
        <v>1104</v>
      </c>
      <c r="O325" s="10" t="s">
        <v>1136</v>
      </c>
      <c r="P325" s="10" t="s">
        <v>1105</v>
      </c>
      <c r="Q325" s="10" t="s">
        <v>1105</v>
      </c>
    </row>
    <row r="326" spans="1:17">
      <c r="A326" s="10" t="s">
        <v>1311</v>
      </c>
      <c r="B326" s="10" t="s">
        <v>1312</v>
      </c>
      <c r="C326" s="10" t="s">
        <v>18</v>
      </c>
      <c r="D326" s="10" t="s">
        <v>80</v>
      </c>
      <c r="E326" s="10" t="s">
        <v>551</v>
      </c>
      <c r="F326" s="10" t="s">
        <v>238</v>
      </c>
      <c r="G326" s="10" t="s">
        <v>156</v>
      </c>
      <c r="H326" s="10" t="s">
        <v>83</v>
      </c>
      <c r="I326" s="10" t="s">
        <v>1215</v>
      </c>
      <c r="J326" s="10" t="s">
        <v>1114</v>
      </c>
      <c r="K326" s="10" t="s">
        <v>1216</v>
      </c>
      <c r="L326" s="10" t="s">
        <v>947</v>
      </c>
      <c r="M326" s="10" t="s">
        <v>1119</v>
      </c>
      <c r="N326" s="10" t="s">
        <v>1104</v>
      </c>
      <c r="O326" s="10" t="s">
        <v>351</v>
      </c>
      <c r="P326" s="10" t="s">
        <v>1105</v>
      </c>
      <c r="Q326" s="10" t="s">
        <v>1105</v>
      </c>
    </row>
    <row r="327" spans="1:17">
      <c r="A327" s="10" t="s">
        <v>1313</v>
      </c>
      <c r="B327" s="10" t="s">
        <v>1314</v>
      </c>
      <c r="C327" s="10" t="s">
        <v>18</v>
      </c>
      <c r="D327" s="10" t="s">
        <v>80</v>
      </c>
      <c r="E327" s="10" t="s">
        <v>551</v>
      </c>
      <c r="F327" s="10" t="s">
        <v>238</v>
      </c>
      <c r="G327" s="10" t="s">
        <v>156</v>
      </c>
      <c r="H327" s="10" t="s">
        <v>83</v>
      </c>
      <c r="I327" s="10" t="s">
        <v>1215</v>
      </c>
      <c r="J327" s="10" t="s">
        <v>1114</v>
      </c>
      <c r="K327" s="10" t="s">
        <v>1216</v>
      </c>
      <c r="L327" s="10" t="s">
        <v>947</v>
      </c>
      <c r="M327" s="10" t="s">
        <v>1119</v>
      </c>
      <c r="N327" s="10" t="s">
        <v>1104</v>
      </c>
      <c r="O327" s="10" t="s">
        <v>351</v>
      </c>
      <c r="P327" s="10" t="s">
        <v>1105</v>
      </c>
      <c r="Q327" s="10" t="s">
        <v>1105</v>
      </c>
    </row>
    <row r="328" spans="1:17">
      <c r="A328" s="10" t="s">
        <v>1315</v>
      </c>
      <c r="B328" s="10" t="s">
        <v>1316</v>
      </c>
      <c r="C328" s="10" t="s">
        <v>18</v>
      </c>
      <c r="D328" s="10" t="s">
        <v>80</v>
      </c>
      <c r="E328" s="10" t="s">
        <v>237</v>
      </c>
      <c r="F328" s="10" t="s">
        <v>238</v>
      </c>
      <c r="G328" s="10" t="s">
        <v>156</v>
      </c>
      <c r="H328" s="10" t="s">
        <v>83</v>
      </c>
      <c r="I328" s="10" t="s">
        <v>1217</v>
      </c>
      <c r="J328" s="10" t="s">
        <v>1101</v>
      </c>
      <c r="K328" s="10" t="s">
        <v>1218</v>
      </c>
      <c r="L328" s="10" t="s">
        <v>947</v>
      </c>
      <c r="M328" s="10" t="s">
        <v>1103</v>
      </c>
      <c r="N328" s="10" t="s">
        <v>1104</v>
      </c>
      <c r="O328" s="10" t="s">
        <v>205</v>
      </c>
      <c r="P328" s="10" t="s">
        <v>1105</v>
      </c>
      <c r="Q328" s="10" t="s">
        <v>1105</v>
      </c>
    </row>
    <row r="329" spans="1:17">
      <c r="A329" s="10" t="s">
        <v>1317</v>
      </c>
      <c r="B329" s="10" t="s">
        <v>1318</v>
      </c>
      <c r="C329" s="10" t="s">
        <v>18</v>
      </c>
      <c r="D329" s="10" t="s">
        <v>80</v>
      </c>
      <c r="E329" s="10" t="s">
        <v>556</v>
      </c>
      <c r="F329" s="10" t="s">
        <v>238</v>
      </c>
      <c r="G329" s="10" t="s">
        <v>156</v>
      </c>
      <c r="H329" s="10" t="s">
        <v>83</v>
      </c>
      <c r="I329" s="10" t="s">
        <v>1130</v>
      </c>
      <c r="J329" s="10" t="s">
        <v>1101</v>
      </c>
      <c r="K329" s="10" t="s">
        <v>1101</v>
      </c>
      <c r="L329" s="10" t="s">
        <v>947</v>
      </c>
      <c r="M329" s="10" t="s">
        <v>1103</v>
      </c>
      <c r="N329" s="10" t="s">
        <v>1104</v>
      </c>
      <c r="O329" s="10" t="s">
        <v>351</v>
      </c>
      <c r="P329" s="10" t="s">
        <v>1105</v>
      </c>
      <c r="Q329" s="10" t="s">
        <v>1105</v>
      </c>
    </row>
    <row r="330" spans="1:17">
      <c r="A330" s="10" t="s">
        <v>1319</v>
      </c>
      <c r="B330" s="10" t="s">
        <v>1320</v>
      </c>
      <c r="C330" s="10" t="s">
        <v>18</v>
      </c>
      <c r="D330" s="10" t="s">
        <v>80</v>
      </c>
      <c r="E330" s="10" t="s">
        <v>556</v>
      </c>
      <c r="F330" s="10" t="s">
        <v>238</v>
      </c>
      <c r="G330" s="10" t="s">
        <v>156</v>
      </c>
      <c r="H330" s="10" t="s">
        <v>83</v>
      </c>
      <c r="I330" s="10" t="s">
        <v>1130</v>
      </c>
      <c r="J330" s="10" t="s">
        <v>1101</v>
      </c>
      <c r="K330" s="10" t="s">
        <v>1101</v>
      </c>
      <c r="L330" s="10" t="s">
        <v>947</v>
      </c>
      <c r="M330" s="10" t="s">
        <v>1103</v>
      </c>
      <c r="N330" s="10" t="s">
        <v>1104</v>
      </c>
      <c r="O330" s="10" t="s">
        <v>351</v>
      </c>
      <c r="P330" s="10" t="s">
        <v>1105</v>
      </c>
      <c r="Q330" s="10" t="s">
        <v>1105</v>
      </c>
    </row>
    <row r="331" spans="1:17">
      <c r="A331" s="10" t="s">
        <v>1321</v>
      </c>
      <c r="B331" s="10" t="s">
        <v>1322</v>
      </c>
      <c r="C331" s="10" t="s">
        <v>18</v>
      </c>
      <c r="D331" s="10" t="s">
        <v>80</v>
      </c>
      <c r="E331" s="10" t="s">
        <v>551</v>
      </c>
      <c r="F331" s="10" t="s">
        <v>238</v>
      </c>
      <c r="G331" s="10" t="s">
        <v>156</v>
      </c>
      <c r="H331" s="10" t="s">
        <v>83</v>
      </c>
      <c r="I331" s="10" t="s">
        <v>1130</v>
      </c>
      <c r="J331" s="10" t="s">
        <v>1101</v>
      </c>
      <c r="K331" s="10" t="s">
        <v>1101</v>
      </c>
      <c r="L331" s="10" t="s">
        <v>947</v>
      </c>
      <c r="M331" s="10" t="s">
        <v>1103</v>
      </c>
      <c r="N331" s="10" t="s">
        <v>1104</v>
      </c>
      <c r="O331" s="10" t="s">
        <v>351</v>
      </c>
      <c r="P331" s="10" t="s">
        <v>1105</v>
      </c>
      <c r="Q331" s="10" t="s">
        <v>1105</v>
      </c>
    </row>
    <row r="332" spans="1:17">
      <c r="A332" s="10" t="s">
        <v>1323</v>
      </c>
      <c r="B332" s="10" t="s">
        <v>1324</v>
      </c>
      <c r="C332" s="10" t="s">
        <v>18</v>
      </c>
      <c r="D332" s="10" t="s">
        <v>80</v>
      </c>
      <c r="E332" s="10" t="s">
        <v>551</v>
      </c>
      <c r="F332" s="10" t="s">
        <v>238</v>
      </c>
      <c r="G332" s="10" t="s">
        <v>156</v>
      </c>
      <c r="H332" s="10" t="s">
        <v>83</v>
      </c>
      <c r="I332" s="10" t="s">
        <v>1130</v>
      </c>
      <c r="J332" s="10" t="s">
        <v>1101</v>
      </c>
      <c r="K332" s="10" t="s">
        <v>1101</v>
      </c>
      <c r="L332" s="10" t="s">
        <v>947</v>
      </c>
      <c r="M332" s="10" t="s">
        <v>1103</v>
      </c>
      <c r="N332" s="10" t="s">
        <v>1104</v>
      </c>
      <c r="O332" s="10" t="s">
        <v>351</v>
      </c>
      <c r="P332" s="10" t="s">
        <v>1105</v>
      </c>
      <c r="Q332" s="10" t="s">
        <v>1105</v>
      </c>
    </row>
    <row r="333" spans="1:17">
      <c r="A333" s="10" t="s">
        <v>557</v>
      </c>
      <c r="B333" s="10" t="s">
        <v>558</v>
      </c>
      <c r="C333" s="10" t="s">
        <v>18</v>
      </c>
      <c r="D333" s="10" t="s">
        <v>80</v>
      </c>
      <c r="E333" s="10" t="s">
        <v>556</v>
      </c>
      <c r="F333" s="10" t="s">
        <v>238</v>
      </c>
      <c r="G333" s="10" t="s">
        <v>156</v>
      </c>
      <c r="H333" s="10" t="s">
        <v>83</v>
      </c>
      <c r="I333" s="10" t="s">
        <v>1148</v>
      </c>
      <c r="J333" s="10" t="s">
        <v>1114</v>
      </c>
      <c r="K333" s="10" t="s">
        <v>1124</v>
      </c>
      <c r="L333" s="10" t="s">
        <v>954</v>
      </c>
      <c r="M333" s="10" t="s">
        <v>954</v>
      </c>
      <c r="N333" s="10" t="s">
        <v>1104</v>
      </c>
      <c r="O333" s="10" t="s">
        <v>1149</v>
      </c>
      <c r="P333" s="10" t="s">
        <v>1105</v>
      </c>
      <c r="Q333" s="10" t="s">
        <v>1105</v>
      </c>
    </row>
    <row r="334" spans="1:17">
      <c r="A334" s="10" t="s">
        <v>554</v>
      </c>
      <c r="B334" s="10" t="s">
        <v>555</v>
      </c>
      <c r="C334" s="10" t="s">
        <v>18</v>
      </c>
      <c r="D334" s="10" t="s">
        <v>80</v>
      </c>
      <c r="E334" s="10" t="s">
        <v>556</v>
      </c>
      <c r="F334" s="10" t="s">
        <v>238</v>
      </c>
      <c r="G334" s="10" t="s">
        <v>156</v>
      </c>
      <c r="H334" s="10" t="s">
        <v>83</v>
      </c>
      <c r="I334" s="10" t="s">
        <v>1148</v>
      </c>
      <c r="J334" s="10" t="s">
        <v>1114</v>
      </c>
      <c r="K334" s="10" t="s">
        <v>1124</v>
      </c>
      <c r="L334" s="10" t="s">
        <v>954</v>
      </c>
      <c r="M334" s="10" t="s">
        <v>954</v>
      </c>
      <c r="N334" s="10" t="s">
        <v>1104</v>
      </c>
      <c r="O334" s="10" t="s">
        <v>1149</v>
      </c>
      <c r="P334" s="10" t="s">
        <v>1105</v>
      </c>
      <c r="Q334" s="10" t="s">
        <v>1105</v>
      </c>
    </row>
    <row r="335" spans="1:17">
      <c r="A335" s="10" t="s">
        <v>552</v>
      </c>
      <c r="B335" s="10" t="s">
        <v>553</v>
      </c>
      <c r="C335" s="10" t="s">
        <v>18</v>
      </c>
      <c r="D335" s="10" t="s">
        <v>80</v>
      </c>
      <c r="E335" s="10" t="s">
        <v>551</v>
      </c>
      <c r="F335" s="10" t="s">
        <v>238</v>
      </c>
      <c r="G335" s="10" t="s">
        <v>156</v>
      </c>
      <c r="H335" s="10" t="s">
        <v>83</v>
      </c>
      <c r="I335" s="10" t="s">
        <v>1148</v>
      </c>
      <c r="J335" s="10" t="s">
        <v>1114</v>
      </c>
      <c r="K335" s="10" t="s">
        <v>1124</v>
      </c>
      <c r="L335" s="10" t="s">
        <v>954</v>
      </c>
      <c r="M335" s="10" t="s">
        <v>954</v>
      </c>
      <c r="N335" s="10" t="s">
        <v>1104</v>
      </c>
      <c r="O335" s="10" t="s">
        <v>1149</v>
      </c>
      <c r="P335" s="10" t="s">
        <v>1105</v>
      </c>
      <c r="Q335" s="10" t="s">
        <v>1105</v>
      </c>
    </row>
    <row r="336" spans="1:17">
      <c r="A336" s="10" t="s">
        <v>549</v>
      </c>
      <c r="B336" s="10" t="s">
        <v>550</v>
      </c>
      <c r="C336" s="10" t="s">
        <v>18</v>
      </c>
      <c r="D336" s="10" t="s">
        <v>80</v>
      </c>
      <c r="E336" s="10" t="s">
        <v>551</v>
      </c>
      <c r="F336" s="10" t="s">
        <v>238</v>
      </c>
      <c r="G336" s="10" t="s">
        <v>156</v>
      </c>
      <c r="H336" s="10" t="s">
        <v>83</v>
      </c>
      <c r="I336" s="10" t="s">
        <v>1148</v>
      </c>
      <c r="J336" s="10" t="s">
        <v>1114</v>
      </c>
      <c r="K336" s="10" t="s">
        <v>1124</v>
      </c>
      <c r="L336" s="10" t="s">
        <v>954</v>
      </c>
      <c r="M336" s="10" t="s">
        <v>954</v>
      </c>
      <c r="N336" s="10" t="s">
        <v>1104</v>
      </c>
      <c r="O336" s="10" t="s">
        <v>1149</v>
      </c>
      <c r="P336" s="10" t="s">
        <v>1105</v>
      </c>
      <c r="Q336" s="10" t="s">
        <v>1105</v>
      </c>
    </row>
    <row r="337" spans="1:17">
      <c r="A337" s="10" t="s">
        <v>547</v>
      </c>
      <c r="B337" s="10" t="s">
        <v>548</v>
      </c>
      <c r="C337" s="10" t="s">
        <v>18</v>
      </c>
      <c r="D337" s="10" t="s">
        <v>80</v>
      </c>
      <c r="E337" s="10" t="s">
        <v>81</v>
      </c>
      <c r="F337" s="10" t="s">
        <v>82</v>
      </c>
      <c r="G337" s="10" t="s">
        <v>38</v>
      </c>
      <c r="H337" s="10" t="s">
        <v>83</v>
      </c>
      <c r="I337" s="10" t="s">
        <v>1148</v>
      </c>
      <c r="J337" s="10" t="s">
        <v>1114</v>
      </c>
      <c r="K337" s="10" t="s">
        <v>1124</v>
      </c>
      <c r="L337" s="10" t="s">
        <v>954</v>
      </c>
      <c r="M337" s="10" t="s">
        <v>954</v>
      </c>
      <c r="N337" s="10" t="s">
        <v>1104</v>
      </c>
      <c r="O337" s="10" t="s">
        <v>1149</v>
      </c>
      <c r="P337" s="10" t="s">
        <v>1105</v>
      </c>
      <c r="Q337" s="10" t="s">
        <v>1105</v>
      </c>
    </row>
    <row r="338" spans="1:17">
      <c r="A338" s="10" t="s">
        <v>1325</v>
      </c>
      <c r="B338" s="10" t="s">
        <v>1326</v>
      </c>
      <c r="C338" s="10" t="s">
        <v>18</v>
      </c>
      <c r="D338" s="10" t="s">
        <v>80</v>
      </c>
      <c r="E338" s="10" t="s">
        <v>556</v>
      </c>
      <c r="F338" s="10" t="s">
        <v>238</v>
      </c>
      <c r="G338" s="10" t="s">
        <v>156</v>
      </c>
      <c r="H338" s="10" t="s">
        <v>83</v>
      </c>
      <c r="I338" s="10" t="s">
        <v>1154</v>
      </c>
      <c r="J338" s="10" t="s">
        <v>1123</v>
      </c>
      <c r="K338" s="10" t="s">
        <v>1155</v>
      </c>
      <c r="L338" s="10" t="s">
        <v>947</v>
      </c>
      <c r="M338" s="10" t="s">
        <v>1103</v>
      </c>
      <c r="N338" s="10" t="s">
        <v>1104</v>
      </c>
      <c r="O338" s="10" t="s">
        <v>665</v>
      </c>
      <c r="P338" s="10" t="s">
        <v>1105</v>
      </c>
      <c r="Q338" s="10" t="s">
        <v>1105</v>
      </c>
    </row>
    <row r="339" spans="1:17">
      <c r="A339" s="10" t="s">
        <v>1327</v>
      </c>
      <c r="B339" s="10" t="s">
        <v>1328</v>
      </c>
      <c r="C339" s="10" t="s">
        <v>18</v>
      </c>
      <c r="D339" s="10" t="s">
        <v>80</v>
      </c>
      <c r="E339" s="10" t="s">
        <v>556</v>
      </c>
      <c r="F339" s="10" t="s">
        <v>238</v>
      </c>
      <c r="G339" s="10" t="s">
        <v>156</v>
      </c>
      <c r="H339" s="10" t="s">
        <v>83</v>
      </c>
      <c r="I339" s="10" t="s">
        <v>1154</v>
      </c>
      <c r="J339" s="10" t="s">
        <v>1123</v>
      </c>
      <c r="K339" s="10" t="s">
        <v>1155</v>
      </c>
      <c r="L339" s="10" t="s">
        <v>947</v>
      </c>
      <c r="M339" s="10" t="s">
        <v>1103</v>
      </c>
      <c r="N339" s="10" t="s">
        <v>1104</v>
      </c>
      <c r="O339" s="10" t="s">
        <v>665</v>
      </c>
      <c r="P339" s="10" t="s">
        <v>1105</v>
      </c>
      <c r="Q339" s="10" t="s">
        <v>1105</v>
      </c>
    </row>
    <row r="340" spans="1:17">
      <c r="A340" s="10" t="s">
        <v>1329</v>
      </c>
      <c r="B340" s="10" t="s">
        <v>1330</v>
      </c>
      <c r="C340" s="10" t="s">
        <v>18</v>
      </c>
      <c r="D340" s="10" t="s">
        <v>80</v>
      </c>
      <c r="E340" s="10" t="s">
        <v>551</v>
      </c>
      <c r="F340" s="10" t="s">
        <v>238</v>
      </c>
      <c r="G340" s="10" t="s">
        <v>156</v>
      </c>
      <c r="H340" s="10" t="s">
        <v>83</v>
      </c>
      <c r="I340" s="10" t="s">
        <v>1154</v>
      </c>
      <c r="J340" s="10" t="s">
        <v>1123</v>
      </c>
      <c r="K340" s="10" t="s">
        <v>1155</v>
      </c>
      <c r="L340" s="10" t="s">
        <v>947</v>
      </c>
      <c r="M340" s="10" t="s">
        <v>1103</v>
      </c>
      <c r="N340" s="10" t="s">
        <v>1104</v>
      </c>
      <c r="O340" s="10" t="s">
        <v>665</v>
      </c>
      <c r="P340" s="10" t="s">
        <v>1105</v>
      </c>
      <c r="Q340" s="10" t="s">
        <v>1105</v>
      </c>
    </row>
    <row r="341" spans="1:17">
      <c r="A341" s="10" t="s">
        <v>1331</v>
      </c>
      <c r="B341" s="10" t="s">
        <v>1332</v>
      </c>
      <c r="C341" s="10" t="s">
        <v>18</v>
      </c>
      <c r="D341" s="10" t="s">
        <v>80</v>
      </c>
      <c r="E341" s="10" t="s">
        <v>551</v>
      </c>
      <c r="F341" s="10" t="s">
        <v>238</v>
      </c>
      <c r="G341" s="10" t="s">
        <v>156</v>
      </c>
      <c r="H341" s="10" t="s">
        <v>83</v>
      </c>
      <c r="I341" s="10" t="s">
        <v>1154</v>
      </c>
      <c r="J341" s="10" t="s">
        <v>1123</v>
      </c>
      <c r="K341" s="10" t="s">
        <v>1155</v>
      </c>
      <c r="L341" s="10" t="s">
        <v>947</v>
      </c>
      <c r="M341" s="10" t="s">
        <v>1103</v>
      </c>
      <c r="N341" s="10" t="s">
        <v>1104</v>
      </c>
      <c r="O341" s="10" t="s">
        <v>665</v>
      </c>
      <c r="P341" s="10" t="s">
        <v>1105</v>
      </c>
      <c r="Q341" s="10" t="s">
        <v>1105</v>
      </c>
    </row>
    <row r="342" spans="1:17">
      <c r="A342" s="10" t="s">
        <v>545</v>
      </c>
      <c r="B342" s="10" t="s">
        <v>546</v>
      </c>
      <c r="C342" s="10" t="s">
        <v>18</v>
      </c>
      <c r="D342" s="10" t="s">
        <v>80</v>
      </c>
      <c r="E342" s="10" t="s">
        <v>92</v>
      </c>
      <c r="F342" s="10" t="s">
        <v>93</v>
      </c>
      <c r="G342" s="10" t="s">
        <v>42</v>
      </c>
      <c r="H342" s="10" t="s">
        <v>83</v>
      </c>
      <c r="I342" s="10" t="s">
        <v>1154</v>
      </c>
      <c r="J342" s="10" t="s">
        <v>1123</v>
      </c>
      <c r="K342" s="10" t="s">
        <v>1155</v>
      </c>
      <c r="L342" s="10" t="s">
        <v>947</v>
      </c>
      <c r="M342" s="10" t="s">
        <v>1103</v>
      </c>
      <c r="N342" s="10" t="s">
        <v>1104</v>
      </c>
      <c r="O342" s="10" t="s">
        <v>1265</v>
      </c>
      <c r="P342" s="10" t="s">
        <v>1105</v>
      </c>
      <c r="Q342" s="10" t="s">
        <v>1105</v>
      </c>
    </row>
    <row r="343" spans="1:17">
      <c r="A343" s="10" t="s">
        <v>543</v>
      </c>
      <c r="B343" s="10" t="s">
        <v>544</v>
      </c>
      <c r="C343" s="10" t="s">
        <v>18</v>
      </c>
      <c r="D343" s="10" t="s">
        <v>80</v>
      </c>
      <c r="E343" s="10" t="s">
        <v>81</v>
      </c>
      <c r="F343" s="10" t="s">
        <v>82</v>
      </c>
      <c r="G343" s="10" t="s">
        <v>38</v>
      </c>
      <c r="H343" s="10" t="s">
        <v>83</v>
      </c>
      <c r="I343" s="10" t="s">
        <v>1154</v>
      </c>
      <c r="J343" s="10" t="s">
        <v>1123</v>
      </c>
      <c r="K343" s="10" t="s">
        <v>1155</v>
      </c>
      <c r="L343" s="10" t="s">
        <v>947</v>
      </c>
      <c r="M343" s="10" t="s">
        <v>1103</v>
      </c>
      <c r="N343" s="10" t="s">
        <v>1104</v>
      </c>
      <c r="O343" s="10" t="s">
        <v>1265</v>
      </c>
      <c r="P343" s="10" t="s">
        <v>1105</v>
      </c>
      <c r="Q343" s="10" t="s">
        <v>1105</v>
      </c>
    </row>
    <row r="344" spans="1:17">
      <c r="A344" s="10" t="s">
        <v>541</v>
      </c>
      <c r="B344" s="10" t="s">
        <v>542</v>
      </c>
      <c r="C344" s="10" t="s">
        <v>18</v>
      </c>
      <c r="D344" s="10" t="s">
        <v>80</v>
      </c>
      <c r="E344" s="10" t="s">
        <v>92</v>
      </c>
      <c r="F344" s="10" t="s">
        <v>93</v>
      </c>
      <c r="G344" s="10" t="s">
        <v>42</v>
      </c>
      <c r="H344" s="10" t="s">
        <v>83</v>
      </c>
      <c r="I344" s="10" t="s">
        <v>1148</v>
      </c>
      <c r="J344" s="10" t="s">
        <v>1114</v>
      </c>
      <c r="K344" s="10" t="s">
        <v>1124</v>
      </c>
      <c r="L344" s="10" t="s">
        <v>954</v>
      </c>
      <c r="M344" s="10" t="s">
        <v>954</v>
      </c>
      <c r="N344" s="10" t="s">
        <v>1104</v>
      </c>
      <c r="O344" s="10" t="s">
        <v>1149</v>
      </c>
      <c r="P344" s="10" t="s">
        <v>1105</v>
      </c>
      <c r="Q344" s="10" t="s">
        <v>1105</v>
      </c>
    </row>
    <row r="345" spans="1:17">
      <c r="A345" s="10" t="s">
        <v>1333</v>
      </c>
      <c r="B345" s="10" t="s">
        <v>1334</v>
      </c>
      <c r="C345" s="10" t="s">
        <v>18</v>
      </c>
      <c r="D345" s="10" t="s">
        <v>80</v>
      </c>
      <c r="E345" s="10" t="s">
        <v>556</v>
      </c>
      <c r="F345" s="10" t="s">
        <v>238</v>
      </c>
      <c r="G345" s="10" t="s">
        <v>156</v>
      </c>
      <c r="H345" s="10" t="s">
        <v>83</v>
      </c>
      <c r="I345" s="10" t="s">
        <v>1116</v>
      </c>
      <c r="J345" s="10" t="s">
        <v>1135</v>
      </c>
      <c r="K345" s="10" t="s">
        <v>1124</v>
      </c>
      <c r="L345" s="10" t="s">
        <v>947</v>
      </c>
      <c r="M345" s="10" t="s">
        <v>1119</v>
      </c>
      <c r="N345" s="10" t="s">
        <v>1104</v>
      </c>
      <c r="O345" s="10" t="s">
        <v>205</v>
      </c>
      <c r="P345" s="10" t="s">
        <v>1105</v>
      </c>
      <c r="Q345" s="10" t="s">
        <v>1105</v>
      </c>
    </row>
    <row r="346" spans="1:17">
      <c r="A346" s="10" t="s">
        <v>1335</v>
      </c>
      <c r="B346" s="10" t="s">
        <v>1336</v>
      </c>
      <c r="C346" s="10" t="s">
        <v>18</v>
      </c>
      <c r="D346" s="10" t="s">
        <v>80</v>
      </c>
      <c r="E346" s="10" t="s">
        <v>556</v>
      </c>
      <c r="F346" s="10" t="s">
        <v>238</v>
      </c>
      <c r="G346" s="10" t="s">
        <v>156</v>
      </c>
      <c r="H346" s="10" t="s">
        <v>83</v>
      </c>
      <c r="I346" s="10" t="s">
        <v>1116</v>
      </c>
      <c r="J346" s="10" t="s">
        <v>1135</v>
      </c>
      <c r="K346" s="10" t="s">
        <v>1124</v>
      </c>
      <c r="L346" s="10" t="s">
        <v>947</v>
      </c>
      <c r="M346" s="10" t="s">
        <v>1119</v>
      </c>
      <c r="N346" s="10" t="s">
        <v>1104</v>
      </c>
      <c r="O346" s="10" t="s">
        <v>351</v>
      </c>
      <c r="P346" s="10" t="s">
        <v>1105</v>
      </c>
      <c r="Q346" s="10" t="s">
        <v>1105</v>
      </c>
    </row>
    <row r="347" spans="1:17">
      <c r="A347" s="10" t="s">
        <v>1337</v>
      </c>
      <c r="B347" s="10" t="s">
        <v>1338</v>
      </c>
      <c r="C347" s="10" t="s">
        <v>18</v>
      </c>
      <c r="D347" s="10" t="s">
        <v>80</v>
      </c>
      <c r="E347" s="10" t="s">
        <v>556</v>
      </c>
      <c r="F347" s="10" t="s">
        <v>238</v>
      </c>
      <c r="G347" s="10" t="s">
        <v>156</v>
      </c>
      <c r="H347" s="10" t="s">
        <v>83</v>
      </c>
      <c r="I347" s="10" t="s">
        <v>1116</v>
      </c>
      <c r="J347" s="10" t="s">
        <v>1135</v>
      </c>
      <c r="K347" s="10" t="s">
        <v>1124</v>
      </c>
      <c r="L347" s="10" t="s">
        <v>947</v>
      </c>
      <c r="M347" s="10" t="s">
        <v>1119</v>
      </c>
      <c r="N347" s="10" t="s">
        <v>1104</v>
      </c>
      <c r="O347" s="10" t="s">
        <v>351</v>
      </c>
      <c r="P347" s="10" t="s">
        <v>1105</v>
      </c>
      <c r="Q347" s="10" t="s">
        <v>1105</v>
      </c>
    </row>
    <row r="348" spans="1:17">
      <c r="A348" s="10" t="s">
        <v>1339</v>
      </c>
      <c r="B348" s="10" t="s">
        <v>1340</v>
      </c>
      <c r="C348" s="10" t="s">
        <v>18</v>
      </c>
      <c r="D348" s="10" t="s">
        <v>80</v>
      </c>
      <c r="E348" s="10" t="s">
        <v>551</v>
      </c>
      <c r="F348" s="10" t="s">
        <v>238</v>
      </c>
      <c r="G348" s="10" t="s">
        <v>156</v>
      </c>
      <c r="H348" s="10" t="s">
        <v>83</v>
      </c>
      <c r="I348" s="10" t="s">
        <v>1116</v>
      </c>
      <c r="J348" s="10" t="s">
        <v>1135</v>
      </c>
      <c r="K348" s="10" t="s">
        <v>1124</v>
      </c>
      <c r="L348" s="10" t="s">
        <v>947</v>
      </c>
      <c r="M348" s="10" t="s">
        <v>1119</v>
      </c>
      <c r="N348" s="10" t="s">
        <v>1104</v>
      </c>
      <c r="O348" s="10" t="s">
        <v>351</v>
      </c>
      <c r="P348" s="10" t="s">
        <v>1105</v>
      </c>
      <c r="Q348" s="10" t="s">
        <v>1105</v>
      </c>
    </row>
    <row r="349" spans="1:17">
      <c r="A349" s="10" t="s">
        <v>1341</v>
      </c>
      <c r="B349" s="10" t="s">
        <v>1342</v>
      </c>
      <c r="C349" s="10" t="s">
        <v>18</v>
      </c>
      <c r="D349" s="10" t="s">
        <v>80</v>
      </c>
      <c r="E349" s="10" t="s">
        <v>551</v>
      </c>
      <c r="F349" s="10" t="s">
        <v>238</v>
      </c>
      <c r="G349" s="10" t="s">
        <v>156</v>
      </c>
      <c r="H349" s="10" t="s">
        <v>83</v>
      </c>
      <c r="I349" s="10" t="s">
        <v>1116</v>
      </c>
      <c r="J349" s="10" t="s">
        <v>1135</v>
      </c>
      <c r="K349" s="10" t="s">
        <v>1124</v>
      </c>
      <c r="L349" s="10" t="s">
        <v>947</v>
      </c>
      <c r="M349" s="10" t="s">
        <v>1119</v>
      </c>
      <c r="N349" s="10" t="s">
        <v>1104</v>
      </c>
      <c r="O349" s="10" t="s">
        <v>351</v>
      </c>
      <c r="P349" s="10" t="s">
        <v>1105</v>
      </c>
      <c r="Q349" s="10" t="s">
        <v>1105</v>
      </c>
    </row>
    <row r="350" spans="1:17">
      <c r="A350" s="10" t="s">
        <v>539</v>
      </c>
      <c r="B350" s="10" t="s">
        <v>540</v>
      </c>
      <c r="C350" s="10" t="s">
        <v>18</v>
      </c>
      <c r="D350" s="10" t="s">
        <v>80</v>
      </c>
      <c r="E350" s="10" t="s">
        <v>92</v>
      </c>
      <c r="F350" s="10" t="s">
        <v>93</v>
      </c>
      <c r="G350" s="10" t="s">
        <v>42</v>
      </c>
      <c r="H350" s="10" t="s">
        <v>83</v>
      </c>
      <c r="I350" s="10" t="s">
        <v>1116</v>
      </c>
      <c r="J350" s="10" t="s">
        <v>1135</v>
      </c>
      <c r="K350" s="10" t="s">
        <v>1124</v>
      </c>
      <c r="L350" s="10" t="s">
        <v>947</v>
      </c>
      <c r="M350" s="10" t="s">
        <v>1119</v>
      </c>
      <c r="N350" s="10" t="s">
        <v>1104</v>
      </c>
      <c r="O350" s="10" t="s">
        <v>1146</v>
      </c>
      <c r="P350" s="10" t="s">
        <v>1105</v>
      </c>
      <c r="Q350" s="10" t="s">
        <v>1105</v>
      </c>
    </row>
    <row r="351" spans="1:17">
      <c r="A351" s="10" t="s">
        <v>537</v>
      </c>
      <c r="B351" s="10" t="s">
        <v>538</v>
      </c>
      <c r="C351" s="10" t="s">
        <v>18</v>
      </c>
      <c r="D351" s="10" t="s">
        <v>80</v>
      </c>
      <c r="E351" s="10" t="s">
        <v>81</v>
      </c>
      <c r="F351" s="10" t="s">
        <v>82</v>
      </c>
      <c r="G351" s="10" t="s">
        <v>38</v>
      </c>
      <c r="H351" s="10" t="s">
        <v>83</v>
      </c>
      <c r="I351" s="10" t="s">
        <v>1116</v>
      </c>
      <c r="J351" s="10" t="s">
        <v>1135</v>
      </c>
      <c r="K351" s="10" t="s">
        <v>1124</v>
      </c>
      <c r="L351" s="10" t="s">
        <v>947</v>
      </c>
      <c r="M351" s="10" t="s">
        <v>1119</v>
      </c>
      <c r="N351" s="10" t="s">
        <v>1104</v>
      </c>
      <c r="O351" s="10" t="s">
        <v>1131</v>
      </c>
      <c r="P351" s="10" t="s">
        <v>1105</v>
      </c>
      <c r="Q351" s="10" t="s">
        <v>1105</v>
      </c>
    </row>
    <row r="352" spans="1:17">
      <c r="A352" s="10" t="s">
        <v>533</v>
      </c>
      <c r="B352" s="10" t="s">
        <v>534</v>
      </c>
      <c r="C352" s="10" t="s">
        <v>18</v>
      </c>
      <c r="D352" s="10" t="s">
        <v>535</v>
      </c>
      <c r="E352" s="10" t="s">
        <v>536</v>
      </c>
      <c r="F352" s="10" t="s">
        <v>535</v>
      </c>
      <c r="G352" s="10" t="s">
        <v>22</v>
      </c>
      <c r="H352" s="10" t="s">
        <v>535</v>
      </c>
      <c r="I352" s="10" t="s">
        <v>1116</v>
      </c>
      <c r="J352" s="10" t="s">
        <v>1114</v>
      </c>
      <c r="K352" s="10" t="s">
        <v>1210</v>
      </c>
      <c r="L352" s="10" t="s">
        <v>954</v>
      </c>
      <c r="M352" s="10" t="s">
        <v>1119</v>
      </c>
      <c r="N352" s="10" t="s">
        <v>1104</v>
      </c>
      <c r="O352" s="10" t="s">
        <v>1149</v>
      </c>
      <c r="P352" s="10" t="s">
        <v>1105</v>
      </c>
      <c r="Q352" s="10" t="s">
        <v>1105</v>
      </c>
    </row>
    <row r="353" spans="1:17">
      <c r="A353" s="10" t="s">
        <v>529</v>
      </c>
      <c r="B353" s="10" t="s">
        <v>530</v>
      </c>
      <c r="C353" s="10" t="s">
        <v>18</v>
      </c>
      <c r="D353" s="10" t="s">
        <v>107</v>
      </c>
      <c r="E353" s="10" t="s">
        <v>531</v>
      </c>
      <c r="F353" s="10" t="s">
        <v>532</v>
      </c>
      <c r="G353" s="10" t="s">
        <v>42</v>
      </c>
      <c r="H353" s="10" t="s">
        <v>110</v>
      </c>
      <c r="I353" s="10" t="s">
        <v>1116</v>
      </c>
      <c r="J353" s="10" t="s">
        <v>1135</v>
      </c>
      <c r="K353" s="10" t="s">
        <v>1124</v>
      </c>
      <c r="L353" s="10" t="s">
        <v>947</v>
      </c>
      <c r="M353" s="10" t="s">
        <v>1119</v>
      </c>
      <c r="N353" s="10" t="s">
        <v>1104</v>
      </c>
      <c r="O353" s="10" t="s">
        <v>1131</v>
      </c>
      <c r="P353" s="10" t="s">
        <v>1105</v>
      </c>
      <c r="Q353" s="10" t="s">
        <v>1105</v>
      </c>
    </row>
    <row r="354" spans="1:17">
      <c r="A354" s="10" t="s">
        <v>1343</v>
      </c>
      <c r="B354" s="10" t="s">
        <v>1344</v>
      </c>
      <c r="C354" s="10" t="s">
        <v>18</v>
      </c>
      <c r="D354" s="10" t="s">
        <v>80</v>
      </c>
      <c r="E354" s="10" t="s">
        <v>556</v>
      </c>
      <c r="F354" s="10" t="s">
        <v>238</v>
      </c>
      <c r="G354" s="10" t="s">
        <v>156</v>
      </c>
      <c r="H354" s="10" t="s">
        <v>83</v>
      </c>
      <c r="I354" s="10" t="s">
        <v>1120</v>
      </c>
      <c r="J354" s="10" t="s">
        <v>1121</v>
      </c>
      <c r="K354" s="10" t="s">
        <v>1114</v>
      </c>
      <c r="L354" s="10" t="s">
        <v>947</v>
      </c>
      <c r="M354" s="10" t="s">
        <v>1103</v>
      </c>
      <c r="N354" s="10" t="s">
        <v>1104</v>
      </c>
      <c r="O354" s="10" t="s">
        <v>205</v>
      </c>
      <c r="P354" s="10" t="s">
        <v>1105</v>
      </c>
      <c r="Q354" s="10" t="s">
        <v>1105</v>
      </c>
    </row>
    <row r="355" spans="1:17">
      <c r="A355" s="10" t="s">
        <v>1345</v>
      </c>
      <c r="B355" s="10" t="s">
        <v>1346</v>
      </c>
      <c r="C355" s="10" t="s">
        <v>18</v>
      </c>
      <c r="D355" s="10" t="s">
        <v>80</v>
      </c>
      <c r="E355" s="10" t="s">
        <v>556</v>
      </c>
      <c r="F355" s="10" t="s">
        <v>238</v>
      </c>
      <c r="G355" s="10" t="s">
        <v>156</v>
      </c>
      <c r="H355" s="10" t="s">
        <v>83</v>
      </c>
      <c r="I355" s="10" t="s">
        <v>1120</v>
      </c>
      <c r="J355" s="10" t="s">
        <v>1121</v>
      </c>
      <c r="K355" s="10" t="s">
        <v>1114</v>
      </c>
      <c r="L355" s="10" t="s">
        <v>947</v>
      </c>
      <c r="M355" s="10" t="s">
        <v>1103</v>
      </c>
      <c r="N355" s="10" t="s">
        <v>1104</v>
      </c>
      <c r="O355" s="10" t="s">
        <v>205</v>
      </c>
      <c r="P355" s="10" t="s">
        <v>1105</v>
      </c>
      <c r="Q355" s="10" t="s">
        <v>1105</v>
      </c>
    </row>
    <row r="356" spans="1:17">
      <c r="A356" s="10" t="s">
        <v>1347</v>
      </c>
      <c r="B356" s="10" t="s">
        <v>1348</v>
      </c>
      <c r="C356" s="10" t="s">
        <v>18</v>
      </c>
      <c r="D356" s="10" t="s">
        <v>80</v>
      </c>
      <c r="E356" s="10" t="s">
        <v>551</v>
      </c>
      <c r="F356" s="10" t="s">
        <v>238</v>
      </c>
      <c r="G356" s="10" t="s">
        <v>156</v>
      </c>
      <c r="H356" s="10" t="s">
        <v>83</v>
      </c>
      <c r="I356" s="10" t="s">
        <v>1120</v>
      </c>
      <c r="J356" s="10" t="s">
        <v>1121</v>
      </c>
      <c r="K356" s="10" t="s">
        <v>1114</v>
      </c>
      <c r="L356" s="10" t="s">
        <v>947</v>
      </c>
      <c r="M356" s="10" t="s">
        <v>1103</v>
      </c>
      <c r="N356" s="10" t="s">
        <v>1104</v>
      </c>
      <c r="O356" s="10" t="s">
        <v>205</v>
      </c>
      <c r="P356" s="10" t="s">
        <v>1105</v>
      </c>
      <c r="Q356" s="10" t="s">
        <v>1105</v>
      </c>
    </row>
    <row r="357" spans="1:17">
      <c r="A357" s="10" t="s">
        <v>527</v>
      </c>
      <c r="B357" s="10" t="s">
        <v>528</v>
      </c>
      <c r="C357" s="10" t="s">
        <v>18</v>
      </c>
      <c r="D357" s="10" t="s">
        <v>19</v>
      </c>
      <c r="E357" s="10" t="s">
        <v>20</v>
      </c>
      <c r="F357" s="10" t="s">
        <v>38</v>
      </c>
      <c r="G357" s="10" t="s">
        <v>38</v>
      </c>
      <c r="H357" s="10" t="s">
        <v>23</v>
      </c>
      <c r="I357" s="10" t="s">
        <v>1116</v>
      </c>
      <c r="J357" s="10" t="s">
        <v>1135</v>
      </c>
      <c r="K357" s="10" t="s">
        <v>1124</v>
      </c>
      <c r="L357" s="10" t="s">
        <v>947</v>
      </c>
      <c r="M357" s="10" t="s">
        <v>1119</v>
      </c>
      <c r="N357" s="10" t="s">
        <v>1104</v>
      </c>
      <c r="O357" s="10" t="s">
        <v>1146</v>
      </c>
      <c r="P357" s="10" t="s">
        <v>1105</v>
      </c>
      <c r="Q357" s="10" t="s">
        <v>1105</v>
      </c>
    </row>
    <row r="358" spans="1:17">
      <c r="A358" s="10" t="s">
        <v>525</v>
      </c>
      <c r="B358" s="10" t="s">
        <v>526</v>
      </c>
      <c r="C358" s="10" t="s">
        <v>18</v>
      </c>
      <c r="D358" s="10" t="s">
        <v>19</v>
      </c>
      <c r="E358" s="10" t="s">
        <v>41</v>
      </c>
      <c r="F358" s="10" t="s">
        <v>42</v>
      </c>
      <c r="G358" s="10" t="s">
        <v>42</v>
      </c>
      <c r="H358" s="10" t="s">
        <v>23</v>
      </c>
      <c r="I358" s="10" t="s">
        <v>1116</v>
      </c>
      <c r="J358" s="10" t="s">
        <v>1135</v>
      </c>
      <c r="K358" s="10" t="s">
        <v>1124</v>
      </c>
      <c r="L358" s="10" t="s">
        <v>947</v>
      </c>
      <c r="M358" s="10" t="s">
        <v>1119</v>
      </c>
      <c r="N358" s="10" t="s">
        <v>1104</v>
      </c>
      <c r="O358" s="10" t="s">
        <v>1146</v>
      </c>
      <c r="P358" s="10" t="s">
        <v>1105</v>
      </c>
      <c r="Q358" s="10" t="s">
        <v>1105</v>
      </c>
    </row>
    <row r="359" spans="1:17">
      <c r="A359" s="10" t="s">
        <v>523</v>
      </c>
      <c r="B359" s="10" t="s">
        <v>524</v>
      </c>
      <c r="C359" s="10" t="s">
        <v>18</v>
      </c>
      <c r="D359" s="10" t="s">
        <v>19</v>
      </c>
      <c r="E359" s="10" t="s">
        <v>36</v>
      </c>
      <c r="F359" s="10" t="s">
        <v>37</v>
      </c>
      <c r="G359" s="10" t="s">
        <v>38</v>
      </c>
      <c r="H359" s="10" t="s">
        <v>23</v>
      </c>
      <c r="I359" s="10" t="s">
        <v>1148</v>
      </c>
      <c r="J359" s="10" t="s">
        <v>1101</v>
      </c>
      <c r="K359" s="10" t="s">
        <v>1151</v>
      </c>
      <c r="L359" s="10" t="s">
        <v>947</v>
      </c>
      <c r="M359" s="10" t="s">
        <v>1103</v>
      </c>
      <c r="N359" s="10" t="s">
        <v>1104</v>
      </c>
      <c r="O359" s="10" t="s">
        <v>1146</v>
      </c>
      <c r="P359" s="10" t="s">
        <v>1105</v>
      </c>
      <c r="Q359" s="10" t="s">
        <v>1105</v>
      </c>
    </row>
    <row r="360" spans="1:17">
      <c r="A360" s="10" t="s">
        <v>521</v>
      </c>
      <c r="B360" s="10" t="s">
        <v>522</v>
      </c>
      <c r="C360" s="10" t="s">
        <v>18</v>
      </c>
      <c r="D360" s="10" t="s">
        <v>19</v>
      </c>
      <c r="E360" s="10" t="s">
        <v>36</v>
      </c>
      <c r="F360" s="10" t="s">
        <v>37</v>
      </c>
      <c r="G360" s="10" t="s">
        <v>38</v>
      </c>
      <c r="H360" s="10" t="s">
        <v>23</v>
      </c>
      <c r="I360" s="10" t="s">
        <v>1116</v>
      </c>
      <c r="J360" s="10" t="s">
        <v>1135</v>
      </c>
      <c r="K360" s="10" t="s">
        <v>1124</v>
      </c>
      <c r="L360" s="10" t="s">
        <v>947</v>
      </c>
      <c r="M360" s="10" t="s">
        <v>1119</v>
      </c>
      <c r="N360" s="10" t="s">
        <v>1104</v>
      </c>
      <c r="O360" s="10" t="s">
        <v>1146</v>
      </c>
      <c r="P360" s="10" t="s">
        <v>1105</v>
      </c>
      <c r="Q360" s="10" t="s">
        <v>1105</v>
      </c>
    </row>
    <row r="361" spans="1:17">
      <c r="A361" s="10" t="s">
        <v>519</v>
      </c>
      <c r="B361" s="10" t="s">
        <v>520</v>
      </c>
      <c r="C361" s="10" t="s">
        <v>18</v>
      </c>
      <c r="D361" s="10" t="s">
        <v>19</v>
      </c>
      <c r="E361" s="10" t="s">
        <v>41</v>
      </c>
      <c r="F361" s="10" t="s">
        <v>42</v>
      </c>
      <c r="G361" s="10" t="s">
        <v>42</v>
      </c>
      <c r="H361" s="10" t="s">
        <v>23</v>
      </c>
      <c r="I361" s="10" t="s">
        <v>1148</v>
      </c>
      <c r="J361" s="10" t="s">
        <v>1101</v>
      </c>
      <c r="K361" s="10" t="s">
        <v>1151</v>
      </c>
      <c r="L361" s="10" t="s">
        <v>947</v>
      </c>
      <c r="M361" s="10" t="s">
        <v>1103</v>
      </c>
      <c r="N361" s="10" t="s">
        <v>1104</v>
      </c>
      <c r="O361" s="10" t="s">
        <v>1146</v>
      </c>
      <c r="P361" s="10" t="s">
        <v>1105</v>
      </c>
      <c r="Q361" s="10" t="s">
        <v>1105</v>
      </c>
    </row>
    <row r="362" spans="1:17">
      <c r="A362" s="10" t="s">
        <v>1349</v>
      </c>
      <c r="B362" s="10" t="s">
        <v>1350</v>
      </c>
      <c r="C362" s="10" t="s">
        <v>18</v>
      </c>
      <c r="D362" s="10" t="s">
        <v>80</v>
      </c>
      <c r="E362" s="10" t="s">
        <v>551</v>
      </c>
      <c r="F362" s="10" t="s">
        <v>238</v>
      </c>
      <c r="G362" s="10" t="s">
        <v>156</v>
      </c>
      <c r="H362" s="10" t="s">
        <v>83</v>
      </c>
      <c r="I362" s="10" t="s">
        <v>1120</v>
      </c>
      <c r="J362" s="10" t="s">
        <v>1121</v>
      </c>
      <c r="K362" s="10" t="s">
        <v>1114</v>
      </c>
      <c r="L362" s="10" t="s">
        <v>947</v>
      </c>
      <c r="M362" s="10" t="s">
        <v>1103</v>
      </c>
      <c r="N362" s="10" t="s">
        <v>1104</v>
      </c>
      <c r="O362" s="10" t="s">
        <v>205</v>
      </c>
      <c r="P362" s="10" t="s">
        <v>1105</v>
      </c>
      <c r="Q362" s="10" t="s">
        <v>1105</v>
      </c>
    </row>
    <row r="363" spans="1:17">
      <c r="A363" s="10" t="s">
        <v>1351</v>
      </c>
      <c r="B363" s="10" t="s">
        <v>1352</v>
      </c>
      <c r="C363" s="10" t="s">
        <v>18</v>
      </c>
      <c r="D363" s="10" t="s">
        <v>107</v>
      </c>
      <c r="E363" s="10" t="s">
        <v>1353</v>
      </c>
      <c r="F363" s="10" t="s">
        <v>1353</v>
      </c>
      <c r="G363" s="10" t="s">
        <v>156</v>
      </c>
      <c r="H363" s="10" t="s">
        <v>110</v>
      </c>
      <c r="I363" s="10" t="s">
        <v>1354</v>
      </c>
      <c r="J363" s="10" t="s">
        <v>1117</v>
      </c>
      <c r="K363" s="10" t="s">
        <v>1355</v>
      </c>
      <c r="L363" s="10" t="s">
        <v>947</v>
      </c>
      <c r="M363" s="10" t="s">
        <v>1119</v>
      </c>
      <c r="N363" s="10" t="s">
        <v>1104</v>
      </c>
      <c r="O363" s="10" t="s">
        <v>1143</v>
      </c>
      <c r="P363" s="10" t="s">
        <v>1105</v>
      </c>
      <c r="Q363" s="10" t="s">
        <v>1105</v>
      </c>
    </row>
    <row r="364" spans="1:17">
      <c r="A364" s="10" t="s">
        <v>1356</v>
      </c>
      <c r="B364" s="10" t="s">
        <v>1357</v>
      </c>
      <c r="C364" s="10" t="s">
        <v>59</v>
      </c>
      <c r="D364" s="10" t="s">
        <v>29</v>
      </c>
      <c r="E364" s="10" t="s">
        <v>29</v>
      </c>
      <c r="F364" s="10" t="s">
        <v>156</v>
      </c>
      <c r="G364" s="10" t="s">
        <v>156</v>
      </c>
      <c r="H364" s="10" t="s">
        <v>29</v>
      </c>
      <c r="I364" s="10" t="s">
        <v>1116</v>
      </c>
      <c r="J364" s="10" t="s">
        <v>1117</v>
      </c>
      <c r="K364" s="10" t="s">
        <v>1118</v>
      </c>
      <c r="L364" s="10" t="s">
        <v>947</v>
      </c>
      <c r="M364" s="10" t="s">
        <v>1119</v>
      </c>
      <c r="N364" s="10" t="s">
        <v>1104</v>
      </c>
      <c r="O364" s="10" t="s">
        <v>205</v>
      </c>
      <c r="P364" s="10" t="s">
        <v>1105</v>
      </c>
      <c r="Q364" s="10" t="s">
        <v>1105</v>
      </c>
    </row>
    <row r="365" spans="1:17">
      <c r="A365" s="10" t="s">
        <v>1358</v>
      </c>
      <c r="B365" s="10" t="s">
        <v>1359</v>
      </c>
      <c r="C365" s="10" t="s">
        <v>59</v>
      </c>
      <c r="D365" s="10" t="s">
        <v>29</v>
      </c>
      <c r="E365" s="10" t="s">
        <v>29</v>
      </c>
      <c r="F365" s="10" t="s">
        <v>156</v>
      </c>
      <c r="G365" s="10" t="s">
        <v>156</v>
      </c>
      <c r="H365" s="10" t="s">
        <v>29</v>
      </c>
      <c r="I365" s="10" t="s">
        <v>1116</v>
      </c>
      <c r="J365" s="10" t="s">
        <v>1117</v>
      </c>
      <c r="K365" s="10" t="s">
        <v>1118</v>
      </c>
      <c r="L365" s="10" t="s">
        <v>947</v>
      </c>
      <c r="M365" s="10" t="s">
        <v>1119</v>
      </c>
      <c r="N365" s="10" t="s">
        <v>1104</v>
      </c>
      <c r="O365" s="10" t="s">
        <v>362</v>
      </c>
      <c r="P365" s="10" t="s">
        <v>1105</v>
      </c>
      <c r="Q365" s="10" t="s">
        <v>1105</v>
      </c>
    </row>
    <row r="366" spans="1:17">
      <c r="A366" s="10" t="s">
        <v>1360</v>
      </c>
      <c r="B366" s="10" t="s">
        <v>1361</v>
      </c>
      <c r="C366" s="10" t="s">
        <v>59</v>
      </c>
      <c r="D366" s="10" t="s">
        <v>29</v>
      </c>
      <c r="E366" s="10" t="s">
        <v>29</v>
      </c>
      <c r="F366" s="10" t="s">
        <v>156</v>
      </c>
      <c r="G366" s="10" t="s">
        <v>156</v>
      </c>
      <c r="H366" s="10" t="s">
        <v>29</v>
      </c>
      <c r="I366" s="10" t="s">
        <v>1116</v>
      </c>
      <c r="J366" s="10" t="s">
        <v>1117</v>
      </c>
      <c r="K366" s="10" t="s">
        <v>1118</v>
      </c>
      <c r="L366" s="10" t="s">
        <v>947</v>
      </c>
      <c r="M366" s="10" t="s">
        <v>1119</v>
      </c>
      <c r="N366" s="10" t="s">
        <v>1104</v>
      </c>
      <c r="O366" s="10" t="s">
        <v>362</v>
      </c>
      <c r="P366" s="10" t="s">
        <v>1105</v>
      </c>
      <c r="Q366" s="10" t="s">
        <v>1105</v>
      </c>
    </row>
    <row r="367" spans="1:17">
      <c r="A367" s="10" t="s">
        <v>1362</v>
      </c>
      <c r="B367" s="10" t="s">
        <v>1363</v>
      </c>
      <c r="C367" s="10" t="s">
        <v>59</v>
      </c>
      <c r="D367" s="10" t="s">
        <v>29</v>
      </c>
      <c r="E367" s="10" t="s">
        <v>29</v>
      </c>
      <c r="F367" s="10" t="s">
        <v>156</v>
      </c>
      <c r="G367" s="10" t="s">
        <v>156</v>
      </c>
      <c r="H367" s="10" t="s">
        <v>29</v>
      </c>
      <c r="I367" s="10" t="s">
        <v>1116</v>
      </c>
      <c r="J367" s="10" t="s">
        <v>1117</v>
      </c>
      <c r="K367" s="10" t="s">
        <v>1118</v>
      </c>
      <c r="L367" s="10" t="s">
        <v>947</v>
      </c>
      <c r="M367" s="10" t="s">
        <v>1119</v>
      </c>
      <c r="N367" s="10" t="s">
        <v>1104</v>
      </c>
      <c r="O367" s="10" t="s">
        <v>362</v>
      </c>
      <c r="P367" s="10" t="s">
        <v>1105</v>
      </c>
      <c r="Q367" s="10" t="s">
        <v>1105</v>
      </c>
    </row>
    <row r="368" spans="1:17">
      <c r="A368" s="10" t="s">
        <v>1364</v>
      </c>
      <c r="B368" s="10" t="s">
        <v>1365</v>
      </c>
      <c r="C368" s="10" t="s">
        <v>59</v>
      </c>
      <c r="D368" s="10" t="s">
        <v>29</v>
      </c>
      <c r="E368" s="10" t="s">
        <v>29</v>
      </c>
      <c r="F368" s="10" t="s">
        <v>156</v>
      </c>
      <c r="G368" s="10" t="s">
        <v>156</v>
      </c>
      <c r="H368" s="10" t="s">
        <v>29</v>
      </c>
      <c r="I368" s="10" t="s">
        <v>1116</v>
      </c>
      <c r="J368" s="10" t="s">
        <v>1117</v>
      </c>
      <c r="K368" s="10" t="s">
        <v>1118</v>
      </c>
      <c r="L368" s="10" t="s">
        <v>947</v>
      </c>
      <c r="M368" s="10" t="s">
        <v>1119</v>
      </c>
      <c r="N368" s="10" t="s">
        <v>1104</v>
      </c>
      <c r="O368" s="10" t="s">
        <v>362</v>
      </c>
      <c r="P368" s="10" t="s">
        <v>1105</v>
      </c>
      <c r="Q368" s="10" t="s">
        <v>1105</v>
      </c>
    </row>
    <row r="369" spans="1:17">
      <c r="A369" s="10" t="s">
        <v>517</v>
      </c>
      <c r="B369" s="10" t="s">
        <v>518</v>
      </c>
      <c r="C369" s="10" t="s">
        <v>18</v>
      </c>
      <c r="D369" s="10" t="s">
        <v>19</v>
      </c>
      <c r="E369" s="10" t="s">
        <v>167</v>
      </c>
      <c r="F369" s="10" t="s">
        <v>156</v>
      </c>
      <c r="G369" s="10" t="s">
        <v>156</v>
      </c>
      <c r="H369" s="10" t="s">
        <v>23</v>
      </c>
      <c r="I369" s="10" t="s">
        <v>1154</v>
      </c>
      <c r="J369" s="10" t="s">
        <v>1123</v>
      </c>
      <c r="K369" s="10" t="s">
        <v>1155</v>
      </c>
      <c r="L369" s="10" t="s">
        <v>947</v>
      </c>
      <c r="M369" s="10" t="s">
        <v>1103</v>
      </c>
      <c r="N369" s="10" t="s">
        <v>1104</v>
      </c>
      <c r="O369" s="10" t="s">
        <v>665</v>
      </c>
      <c r="P369" s="10" t="s">
        <v>1105</v>
      </c>
      <c r="Q369" s="10" t="s">
        <v>1105</v>
      </c>
    </row>
    <row r="370" spans="1:17">
      <c r="A370" s="10" t="s">
        <v>515</v>
      </c>
      <c r="B370" s="10" t="s">
        <v>516</v>
      </c>
      <c r="C370" s="10" t="s">
        <v>18</v>
      </c>
      <c r="D370" s="10" t="s">
        <v>19</v>
      </c>
      <c r="E370" s="10" t="s">
        <v>167</v>
      </c>
      <c r="F370" s="10" t="s">
        <v>156</v>
      </c>
      <c r="G370" s="10" t="s">
        <v>156</v>
      </c>
      <c r="H370" s="10" t="s">
        <v>23</v>
      </c>
      <c r="I370" s="10" t="s">
        <v>1154</v>
      </c>
      <c r="J370" s="10" t="s">
        <v>1123</v>
      </c>
      <c r="K370" s="10" t="s">
        <v>1155</v>
      </c>
      <c r="L370" s="10" t="s">
        <v>947</v>
      </c>
      <c r="M370" s="10" t="s">
        <v>1103</v>
      </c>
      <c r="N370" s="10" t="s">
        <v>1104</v>
      </c>
      <c r="O370" s="10" t="s">
        <v>665</v>
      </c>
      <c r="P370" s="10" t="s">
        <v>1105</v>
      </c>
      <c r="Q370" s="10" t="s">
        <v>1105</v>
      </c>
    </row>
    <row r="371" spans="1:17">
      <c r="A371" s="10" t="s">
        <v>513</v>
      </c>
      <c r="B371" s="10" t="s">
        <v>514</v>
      </c>
      <c r="C371" s="10" t="s">
        <v>18</v>
      </c>
      <c r="D371" s="10" t="s">
        <v>19</v>
      </c>
      <c r="E371" s="10" t="s">
        <v>167</v>
      </c>
      <c r="F371" s="10" t="s">
        <v>156</v>
      </c>
      <c r="G371" s="10" t="s">
        <v>156</v>
      </c>
      <c r="H371" s="10" t="s">
        <v>23</v>
      </c>
      <c r="I371" s="10" t="s">
        <v>1116</v>
      </c>
      <c r="J371" s="10" t="s">
        <v>1135</v>
      </c>
      <c r="K371" s="10" t="s">
        <v>1124</v>
      </c>
      <c r="L371" s="10" t="s">
        <v>947</v>
      </c>
      <c r="M371" s="10" t="s">
        <v>1119</v>
      </c>
      <c r="N371" s="10" t="s">
        <v>1104</v>
      </c>
      <c r="O371" s="10" t="s">
        <v>205</v>
      </c>
      <c r="P371" s="10" t="s">
        <v>1105</v>
      </c>
      <c r="Q371" s="10" t="s">
        <v>1105</v>
      </c>
    </row>
    <row r="372" spans="1:17">
      <c r="A372" s="10" t="s">
        <v>511</v>
      </c>
      <c r="B372" s="10" t="s">
        <v>512</v>
      </c>
      <c r="C372" s="10" t="s">
        <v>18</v>
      </c>
      <c r="D372" s="10" t="s">
        <v>19</v>
      </c>
      <c r="E372" s="10" t="s">
        <v>167</v>
      </c>
      <c r="F372" s="10" t="s">
        <v>156</v>
      </c>
      <c r="G372" s="10" t="s">
        <v>156</v>
      </c>
      <c r="H372" s="10" t="s">
        <v>23</v>
      </c>
      <c r="I372" s="10" t="s">
        <v>1116</v>
      </c>
      <c r="J372" s="10" t="s">
        <v>1135</v>
      </c>
      <c r="K372" s="10" t="s">
        <v>1124</v>
      </c>
      <c r="L372" s="10" t="s">
        <v>947</v>
      </c>
      <c r="M372" s="10" t="s">
        <v>1119</v>
      </c>
      <c r="N372" s="10" t="s">
        <v>1104</v>
      </c>
      <c r="O372" s="10" t="s">
        <v>205</v>
      </c>
      <c r="P372" s="10" t="s">
        <v>1105</v>
      </c>
      <c r="Q372" s="10" t="s">
        <v>1105</v>
      </c>
    </row>
    <row r="373" spans="1:17">
      <c r="A373" s="10" t="s">
        <v>509</v>
      </c>
      <c r="B373" s="10" t="s">
        <v>510</v>
      </c>
      <c r="C373" s="10" t="s">
        <v>18</v>
      </c>
      <c r="D373" s="10" t="s">
        <v>19</v>
      </c>
      <c r="E373" s="10" t="s">
        <v>167</v>
      </c>
      <c r="F373" s="10" t="s">
        <v>156</v>
      </c>
      <c r="G373" s="10" t="s">
        <v>156</v>
      </c>
      <c r="H373" s="10" t="s">
        <v>23</v>
      </c>
      <c r="I373" s="10" t="s">
        <v>1148</v>
      </c>
      <c r="J373" s="10" t="s">
        <v>1114</v>
      </c>
      <c r="K373" s="10" t="s">
        <v>1124</v>
      </c>
      <c r="L373" s="10" t="s">
        <v>954</v>
      </c>
      <c r="M373" s="10" t="s">
        <v>954</v>
      </c>
      <c r="N373" s="10" t="s">
        <v>1104</v>
      </c>
      <c r="O373" s="10" t="s">
        <v>1149</v>
      </c>
      <c r="P373" s="10" t="s">
        <v>1105</v>
      </c>
      <c r="Q373" s="10" t="s">
        <v>1105</v>
      </c>
    </row>
    <row r="374" spans="1:17">
      <c r="A374" s="10" t="s">
        <v>507</v>
      </c>
      <c r="B374" s="10" t="s">
        <v>508</v>
      </c>
      <c r="C374" s="10" t="s">
        <v>18</v>
      </c>
      <c r="D374" s="10" t="s">
        <v>19</v>
      </c>
      <c r="E374" s="10" t="s">
        <v>167</v>
      </c>
      <c r="F374" s="10" t="s">
        <v>156</v>
      </c>
      <c r="G374" s="10" t="s">
        <v>156</v>
      </c>
      <c r="H374" s="10" t="s">
        <v>23</v>
      </c>
      <c r="I374" s="10" t="s">
        <v>1148</v>
      </c>
      <c r="J374" s="10" t="s">
        <v>1114</v>
      </c>
      <c r="K374" s="10" t="s">
        <v>1124</v>
      </c>
      <c r="L374" s="10" t="s">
        <v>954</v>
      </c>
      <c r="M374" s="10" t="s">
        <v>954</v>
      </c>
      <c r="N374" s="10" t="s">
        <v>1104</v>
      </c>
      <c r="O374" s="10" t="s">
        <v>1149</v>
      </c>
      <c r="P374" s="10" t="s">
        <v>1105</v>
      </c>
      <c r="Q374" s="10" t="s">
        <v>1105</v>
      </c>
    </row>
    <row r="375" spans="1:17">
      <c r="A375" s="10" t="s">
        <v>505</v>
      </c>
      <c r="B375" s="10" t="s">
        <v>506</v>
      </c>
      <c r="C375" s="10" t="s">
        <v>147</v>
      </c>
      <c r="D375" s="10" t="s">
        <v>29</v>
      </c>
      <c r="E375" s="10" t="s">
        <v>29</v>
      </c>
      <c r="F375" s="10" t="s">
        <v>21</v>
      </c>
      <c r="G375" s="10" t="s">
        <v>22</v>
      </c>
      <c r="H375" s="10" t="s">
        <v>29</v>
      </c>
      <c r="I375" s="10" t="s">
        <v>1116</v>
      </c>
      <c r="J375" s="10" t="s">
        <v>1135</v>
      </c>
      <c r="K375" s="10" t="s">
        <v>1124</v>
      </c>
      <c r="L375" s="10" t="s">
        <v>954</v>
      </c>
      <c r="M375" s="10" t="s">
        <v>1119</v>
      </c>
      <c r="N375" s="10" t="s">
        <v>1104</v>
      </c>
      <c r="O375" s="10" t="s">
        <v>1149</v>
      </c>
      <c r="P375" s="10" t="s">
        <v>1105</v>
      </c>
      <c r="Q375" s="10" t="s">
        <v>1105</v>
      </c>
    </row>
    <row r="376" spans="1:17">
      <c r="A376" s="10" t="s">
        <v>1366</v>
      </c>
      <c r="B376" s="10" t="s">
        <v>1367</v>
      </c>
      <c r="C376" s="10" t="s">
        <v>50</v>
      </c>
      <c r="D376" s="10" t="s">
        <v>29</v>
      </c>
      <c r="E376" s="10" t="s">
        <v>29</v>
      </c>
      <c r="F376" s="10" t="s">
        <v>156</v>
      </c>
      <c r="G376" s="10" t="s">
        <v>156</v>
      </c>
      <c r="H376" s="10" t="s">
        <v>29</v>
      </c>
      <c r="I376" s="10" t="s">
        <v>1368</v>
      </c>
      <c r="J376" s="10" t="s">
        <v>1117</v>
      </c>
      <c r="K376" s="10" t="s">
        <v>1369</v>
      </c>
      <c r="L376" s="10" t="s">
        <v>947</v>
      </c>
      <c r="M376" s="10" t="s">
        <v>1129</v>
      </c>
      <c r="N376" s="10" t="s">
        <v>1142</v>
      </c>
      <c r="O376" s="10" t="s">
        <v>1143</v>
      </c>
      <c r="P376" s="10" t="s">
        <v>1105</v>
      </c>
      <c r="Q376" s="10" t="s">
        <v>1105</v>
      </c>
    </row>
    <row r="377" spans="1:17">
      <c r="A377" s="10" t="s">
        <v>503</v>
      </c>
      <c r="B377" s="10" t="s">
        <v>504</v>
      </c>
      <c r="C377" s="10" t="s">
        <v>502</v>
      </c>
      <c r="D377" s="10" t="s">
        <v>29</v>
      </c>
      <c r="E377" s="10" t="s">
        <v>29</v>
      </c>
      <c r="F377" s="10" t="s">
        <v>56</v>
      </c>
      <c r="G377" s="10" t="s">
        <v>22</v>
      </c>
      <c r="H377" s="10" t="s">
        <v>29</v>
      </c>
      <c r="I377" s="10" t="s">
        <v>1116</v>
      </c>
      <c r="J377" s="10" t="s">
        <v>1135</v>
      </c>
      <c r="K377" s="10" t="s">
        <v>1124</v>
      </c>
      <c r="L377" s="10" t="s">
        <v>954</v>
      </c>
      <c r="M377" s="10" t="s">
        <v>954</v>
      </c>
      <c r="N377" s="10" t="s">
        <v>1104</v>
      </c>
      <c r="O377" s="10" t="s">
        <v>1203</v>
      </c>
      <c r="P377" s="10" t="s">
        <v>1105</v>
      </c>
      <c r="Q377" s="10" t="s">
        <v>1105</v>
      </c>
    </row>
    <row r="378" spans="1:17">
      <c r="A378" s="10" t="s">
        <v>500</v>
      </c>
      <c r="B378" s="10" t="s">
        <v>501</v>
      </c>
      <c r="C378" s="10" t="s">
        <v>502</v>
      </c>
      <c r="D378" s="10" t="s">
        <v>29</v>
      </c>
      <c r="E378" s="10" t="s">
        <v>29</v>
      </c>
      <c r="F378" s="10" t="s">
        <v>62</v>
      </c>
      <c r="G378" s="10" t="s">
        <v>22</v>
      </c>
      <c r="H378" s="10" t="s">
        <v>29</v>
      </c>
      <c r="I378" s="10" t="s">
        <v>1116</v>
      </c>
      <c r="J378" s="10" t="s">
        <v>1135</v>
      </c>
      <c r="K378" s="10" t="s">
        <v>1124</v>
      </c>
      <c r="L378" s="10" t="s">
        <v>954</v>
      </c>
      <c r="M378" s="10" t="s">
        <v>954</v>
      </c>
      <c r="N378" s="10" t="s">
        <v>1104</v>
      </c>
      <c r="O378" s="10" t="s">
        <v>1203</v>
      </c>
      <c r="P378" s="10" t="s">
        <v>1105</v>
      </c>
      <c r="Q378" s="10" t="s">
        <v>1105</v>
      </c>
    </row>
    <row r="379" spans="1:17">
      <c r="A379" s="10" t="s">
        <v>498</v>
      </c>
      <c r="B379" s="10" t="s">
        <v>499</v>
      </c>
      <c r="C379" s="10" t="s">
        <v>28</v>
      </c>
      <c r="D379" s="10" t="s">
        <v>29</v>
      </c>
      <c r="E379" s="10" t="s">
        <v>29</v>
      </c>
      <c r="F379" s="10" t="s">
        <v>30</v>
      </c>
      <c r="G379" s="10" t="s">
        <v>22</v>
      </c>
      <c r="H379" s="10" t="s">
        <v>29</v>
      </c>
      <c r="I379" s="10" t="s">
        <v>1116</v>
      </c>
      <c r="J379" s="10" t="s">
        <v>1135</v>
      </c>
      <c r="K379" s="10" t="s">
        <v>1124</v>
      </c>
      <c r="L379" s="10" t="s">
        <v>954</v>
      </c>
      <c r="M379" s="10" t="s">
        <v>954</v>
      </c>
      <c r="N379" s="10" t="s">
        <v>1104</v>
      </c>
      <c r="O379" s="10" t="s">
        <v>1203</v>
      </c>
      <c r="P379" s="10" t="s">
        <v>1105</v>
      </c>
      <c r="Q379" s="10" t="s">
        <v>1105</v>
      </c>
    </row>
    <row r="380" spans="1:17">
      <c r="A380" s="10" t="s">
        <v>496</v>
      </c>
      <c r="B380" s="10" t="s">
        <v>497</v>
      </c>
      <c r="C380" s="10" t="s">
        <v>140</v>
      </c>
      <c r="D380" s="10" t="s">
        <v>29</v>
      </c>
      <c r="E380" s="10" t="s">
        <v>29</v>
      </c>
      <c r="F380" s="10" t="s">
        <v>42</v>
      </c>
      <c r="G380" s="10" t="s">
        <v>42</v>
      </c>
      <c r="H380" s="10" t="s">
        <v>29</v>
      </c>
      <c r="I380" s="10" t="s">
        <v>1257</v>
      </c>
      <c r="J380" s="10" t="s">
        <v>1135</v>
      </c>
      <c r="K380" s="10" t="s">
        <v>1210</v>
      </c>
      <c r="L380" s="10" t="s">
        <v>947</v>
      </c>
      <c r="M380" s="10" t="s">
        <v>1129</v>
      </c>
      <c r="N380" s="10" t="s">
        <v>1104</v>
      </c>
      <c r="O380" s="10" t="s">
        <v>1136</v>
      </c>
      <c r="P380" s="10" t="s">
        <v>1105</v>
      </c>
      <c r="Q380" s="10" t="s">
        <v>1105</v>
      </c>
    </row>
    <row r="381" spans="1:17">
      <c r="A381" s="10" t="s">
        <v>494</v>
      </c>
      <c r="B381" s="10" t="s">
        <v>495</v>
      </c>
      <c r="C381" s="10" t="s">
        <v>140</v>
      </c>
      <c r="D381" s="10" t="s">
        <v>29</v>
      </c>
      <c r="E381" s="10" t="s">
        <v>29</v>
      </c>
      <c r="F381" s="10" t="s">
        <v>38</v>
      </c>
      <c r="G381" s="10" t="s">
        <v>38</v>
      </c>
      <c r="H381" s="10" t="s">
        <v>29</v>
      </c>
      <c r="I381" s="10" t="s">
        <v>1257</v>
      </c>
      <c r="J381" s="10" t="s">
        <v>1135</v>
      </c>
      <c r="K381" s="10" t="s">
        <v>1210</v>
      </c>
      <c r="L381" s="10" t="s">
        <v>947</v>
      </c>
      <c r="M381" s="10" t="s">
        <v>1129</v>
      </c>
      <c r="N381" s="10" t="s">
        <v>1104</v>
      </c>
      <c r="O381" s="10" t="s">
        <v>1136</v>
      </c>
      <c r="P381" s="10" t="s">
        <v>1105</v>
      </c>
      <c r="Q381" s="10" t="s">
        <v>1105</v>
      </c>
    </row>
    <row r="382" spans="1:17">
      <c r="A382" s="10" t="s">
        <v>492</v>
      </c>
      <c r="B382" s="10" t="s">
        <v>493</v>
      </c>
      <c r="C382" s="10" t="s">
        <v>140</v>
      </c>
      <c r="D382" s="10" t="s">
        <v>29</v>
      </c>
      <c r="E382" s="10" t="s">
        <v>29</v>
      </c>
      <c r="F382" s="10" t="s">
        <v>42</v>
      </c>
      <c r="G382" s="10" t="s">
        <v>42</v>
      </c>
      <c r="H382" s="10" t="s">
        <v>29</v>
      </c>
      <c r="I382" s="10" t="s">
        <v>1116</v>
      </c>
      <c r="J382" s="10" t="s">
        <v>1135</v>
      </c>
      <c r="K382" s="10" t="s">
        <v>1124</v>
      </c>
      <c r="L382" s="10" t="s">
        <v>947</v>
      </c>
      <c r="M382" s="10" t="s">
        <v>1119</v>
      </c>
      <c r="N382" s="10" t="s">
        <v>1104</v>
      </c>
      <c r="O382" s="10" t="s">
        <v>1131</v>
      </c>
      <c r="P382" s="10" t="s">
        <v>1105</v>
      </c>
      <c r="Q382" s="10" t="s">
        <v>1105</v>
      </c>
    </row>
    <row r="383" spans="1:17">
      <c r="A383" s="10" t="s">
        <v>490</v>
      </c>
      <c r="B383" s="10" t="s">
        <v>491</v>
      </c>
      <c r="C383" s="10" t="s">
        <v>140</v>
      </c>
      <c r="D383" s="10" t="s">
        <v>29</v>
      </c>
      <c r="E383" s="10" t="s">
        <v>29</v>
      </c>
      <c r="F383" s="10" t="s">
        <v>38</v>
      </c>
      <c r="G383" s="10" t="s">
        <v>38</v>
      </c>
      <c r="H383" s="10" t="s">
        <v>29</v>
      </c>
      <c r="I383" s="10" t="s">
        <v>1116</v>
      </c>
      <c r="J383" s="10" t="s">
        <v>1135</v>
      </c>
      <c r="K383" s="10" t="s">
        <v>1124</v>
      </c>
      <c r="L383" s="10" t="s">
        <v>947</v>
      </c>
      <c r="M383" s="10" t="s">
        <v>1119</v>
      </c>
      <c r="N383" s="10" t="s">
        <v>1104</v>
      </c>
      <c r="O383" s="10" t="s">
        <v>1131</v>
      </c>
      <c r="P383" s="10" t="s">
        <v>1105</v>
      </c>
      <c r="Q383" s="10" t="s">
        <v>1105</v>
      </c>
    </row>
    <row r="384" spans="1:17">
      <c r="A384" s="10" t="s">
        <v>488</v>
      </c>
      <c r="B384" s="10" t="s">
        <v>489</v>
      </c>
      <c r="C384" s="10" t="s">
        <v>140</v>
      </c>
      <c r="D384" s="10" t="s">
        <v>29</v>
      </c>
      <c r="E384" s="10" t="s">
        <v>29</v>
      </c>
      <c r="F384" s="10" t="s">
        <v>156</v>
      </c>
      <c r="G384" s="10" t="s">
        <v>156</v>
      </c>
      <c r="H384" s="10" t="s">
        <v>29</v>
      </c>
      <c r="I384" s="10" t="s">
        <v>1116</v>
      </c>
      <c r="J384" s="10" t="s">
        <v>1135</v>
      </c>
      <c r="K384" s="10" t="s">
        <v>1124</v>
      </c>
      <c r="L384" s="10" t="s">
        <v>947</v>
      </c>
      <c r="M384" s="10" t="s">
        <v>1119</v>
      </c>
      <c r="N384" s="10" t="s">
        <v>1104</v>
      </c>
      <c r="O384" s="10" t="s">
        <v>351</v>
      </c>
      <c r="P384" s="10" t="s">
        <v>1105</v>
      </c>
      <c r="Q384" s="10" t="s">
        <v>1105</v>
      </c>
    </row>
    <row r="385" spans="1:17">
      <c r="A385" s="10" t="s">
        <v>486</v>
      </c>
      <c r="B385" s="10" t="s">
        <v>487</v>
      </c>
      <c r="C385" s="10" t="s">
        <v>140</v>
      </c>
      <c r="D385" s="10" t="s">
        <v>29</v>
      </c>
      <c r="E385" s="10" t="s">
        <v>29</v>
      </c>
      <c r="F385" s="10" t="s">
        <v>156</v>
      </c>
      <c r="G385" s="10" t="s">
        <v>156</v>
      </c>
      <c r="H385" s="10" t="s">
        <v>29</v>
      </c>
      <c r="I385" s="10" t="s">
        <v>1116</v>
      </c>
      <c r="J385" s="10" t="s">
        <v>1135</v>
      </c>
      <c r="K385" s="10" t="s">
        <v>1124</v>
      </c>
      <c r="L385" s="10" t="s">
        <v>947</v>
      </c>
      <c r="M385" s="10" t="s">
        <v>1119</v>
      </c>
      <c r="N385" s="10" t="s">
        <v>1104</v>
      </c>
      <c r="O385" s="10" t="s">
        <v>351</v>
      </c>
      <c r="P385" s="10" t="s">
        <v>1105</v>
      </c>
      <c r="Q385" s="10" t="s">
        <v>1105</v>
      </c>
    </row>
    <row r="386" spans="1:17">
      <c r="A386" s="10" t="s">
        <v>484</v>
      </c>
      <c r="B386" s="10" t="s">
        <v>485</v>
      </c>
      <c r="C386" s="10" t="s">
        <v>28</v>
      </c>
      <c r="D386" s="10" t="s">
        <v>29</v>
      </c>
      <c r="E386" s="10" t="s">
        <v>29</v>
      </c>
      <c r="F386" s="10" t="s">
        <v>56</v>
      </c>
      <c r="G386" s="10" t="s">
        <v>22</v>
      </c>
      <c r="H386" s="10" t="s">
        <v>29</v>
      </c>
      <c r="I386" s="10" t="s">
        <v>1116</v>
      </c>
      <c r="J386" s="10" t="s">
        <v>1135</v>
      </c>
      <c r="K386" s="10" t="s">
        <v>1124</v>
      </c>
      <c r="L386" s="10" t="s">
        <v>947</v>
      </c>
      <c r="M386" s="10" t="s">
        <v>1119</v>
      </c>
      <c r="N386" s="10" t="s">
        <v>1104</v>
      </c>
      <c r="O386" s="10" t="s">
        <v>1146</v>
      </c>
      <c r="P386" s="10" t="s">
        <v>1105</v>
      </c>
      <c r="Q386" s="10" t="s">
        <v>1105</v>
      </c>
    </row>
    <row r="387" spans="1:17">
      <c r="A387" s="10" t="s">
        <v>482</v>
      </c>
      <c r="B387" s="10" t="s">
        <v>483</v>
      </c>
      <c r="C387" s="10" t="s">
        <v>28</v>
      </c>
      <c r="D387" s="10" t="s">
        <v>29</v>
      </c>
      <c r="E387" s="10" t="s">
        <v>29</v>
      </c>
      <c r="F387" s="10" t="s">
        <v>51</v>
      </c>
      <c r="G387" s="10" t="s">
        <v>22</v>
      </c>
      <c r="H387" s="10" t="s">
        <v>29</v>
      </c>
      <c r="I387" s="10" t="s">
        <v>1116</v>
      </c>
      <c r="J387" s="10" t="s">
        <v>1135</v>
      </c>
      <c r="K387" s="10" t="s">
        <v>1124</v>
      </c>
      <c r="L387" s="10" t="s">
        <v>947</v>
      </c>
      <c r="M387" s="10" t="s">
        <v>1119</v>
      </c>
      <c r="N387" s="10" t="s">
        <v>1104</v>
      </c>
      <c r="O387" s="10" t="s">
        <v>1146</v>
      </c>
      <c r="P387" s="10" t="s">
        <v>1105</v>
      </c>
      <c r="Q387" s="10" t="s">
        <v>1105</v>
      </c>
    </row>
    <row r="388" spans="1:17">
      <c r="A388" s="10" t="s">
        <v>1370</v>
      </c>
      <c r="B388" s="10" t="s">
        <v>1371</v>
      </c>
      <c r="C388" s="10" t="s">
        <v>18</v>
      </c>
      <c r="D388" s="10" t="s">
        <v>107</v>
      </c>
      <c r="E388" s="10" t="s">
        <v>1353</v>
      </c>
      <c r="F388" s="10" t="s">
        <v>1353</v>
      </c>
      <c r="G388" s="10" t="s">
        <v>156</v>
      </c>
      <c r="H388" s="10" t="s">
        <v>110</v>
      </c>
      <c r="I388" s="10" t="s">
        <v>1372</v>
      </c>
      <c r="J388" s="10" t="s">
        <v>1114</v>
      </c>
      <c r="K388" s="10" t="s">
        <v>1373</v>
      </c>
      <c r="L388" s="10" t="s">
        <v>947</v>
      </c>
      <c r="M388" s="10" t="s">
        <v>1119</v>
      </c>
      <c r="N388" s="10" t="s">
        <v>1104</v>
      </c>
      <c r="O388" s="10" t="s">
        <v>1143</v>
      </c>
      <c r="P388" s="10" t="s">
        <v>1105</v>
      </c>
      <c r="Q388" s="10" t="s">
        <v>1105</v>
      </c>
    </row>
    <row r="389" spans="1:17">
      <c r="A389" s="10" t="s">
        <v>1374</v>
      </c>
      <c r="B389" s="10" t="s">
        <v>1375</v>
      </c>
      <c r="C389" s="10" t="s">
        <v>18</v>
      </c>
      <c r="D389" s="10" t="s">
        <v>107</v>
      </c>
      <c r="E389" s="10" t="s">
        <v>1353</v>
      </c>
      <c r="F389" s="10" t="s">
        <v>1353</v>
      </c>
      <c r="G389" s="10" t="s">
        <v>156</v>
      </c>
      <c r="H389" s="10" t="s">
        <v>110</v>
      </c>
      <c r="I389" s="10" t="s">
        <v>1354</v>
      </c>
      <c r="J389" s="10" t="s">
        <v>1117</v>
      </c>
      <c r="K389" s="10" t="s">
        <v>1355</v>
      </c>
      <c r="L389" s="10" t="s">
        <v>947</v>
      </c>
      <c r="M389" s="10" t="s">
        <v>1119</v>
      </c>
      <c r="N389" s="10" t="s">
        <v>1104</v>
      </c>
      <c r="O389" s="10" t="s">
        <v>1143</v>
      </c>
      <c r="P389" s="10" t="s">
        <v>1105</v>
      </c>
      <c r="Q389" s="10" t="s">
        <v>1105</v>
      </c>
    </row>
    <row r="390" spans="1:17">
      <c r="A390" s="10" t="s">
        <v>1376</v>
      </c>
      <c r="B390" s="10" t="s">
        <v>1377</v>
      </c>
      <c r="C390" s="10" t="s">
        <v>18</v>
      </c>
      <c r="D390" s="10" t="s">
        <v>107</v>
      </c>
      <c r="E390" s="10" t="s">
        <v>1353</v>
      </c>
      <c r="F390" s="10" t="s">
        <v>1353</v>
      </c>
      <c r="G390" s="10" t="s">
        <v>156</v>
      </c>
      <c r="H390" s="10" t="s">
        <v>110</v>
      </c>
      <c r="I390" s="10" t="s">
        <v>1378</v>
      </c>
      <c r="J390" s="10" t="s">
        <v>1128</v>
      </c>
      <c r="K390" s="10" t="s">
        <v>1210</v>
      </c>
      <c r="L390" s="10" t="s">
        <v>947</v>
      </c>
      <c r="M390" s="10" t="s">
        <v>1129</v>
      </c>
      <c r="N390" s="10" t="s">
        <v>1104</v>
      </c>
      <c r="O390" s="10" t="s">
        <v>1143</v>
      </c>
      <c r="P390" s="10" t="s">
        <v>1105</v>
      </c>
      <c r="Q390" s="10" t="s">
        <v>1105</v>
      </c>
    </row>
    <row r="391" spans="1:17">
      <c r="A391" s="10" t="s">
        <v>1379</v>
      </c>
      <c r="B391" s="10" t="s">
        <v>1380</v>
      </c>
      <c r="C391" s="10" t="s">
        <v>18</v>
      </c>
      <c r="D391" s="10" t="s">
        <v>107</v>
      </c>
      <c r="E391" s="10" t="s">
        <v>1353</v>
      </c>
      <c r="F391" s="10" t="s">
        <v>1353</v>
      </c>
      <c r="G391" s="10" t="s">
        <v>156</v>
      </c>
      <c r="H391" s="10" t="s">
        <v>110</v>
      </c>
      <c r="I391" s="10" t="s">
        <v>1372</v>
      </c>
      <c r="J391" s="10" t="s">
        <v>1114</v>
      </c>
      <c r="K391" s="10" t="s">
        <v>1373</v>
      </c>
      <c r="L391" s="10" t="s">
        <v>947</v>
      </c>
      <c r="M391" s="10" t="s">
        <v>1119</v>
      </c>
      <c r="N391" s="10" t="s">
        <v>1104</v>
      </c>
      <c r="O391" s="10" t="s">
        <v>1143</v>
      </c>
      <c r="P391" s="10" t="s">
        <v>1105</v>
      </c>
      <c r="Q391" s="10" t="s">
        <v>1105</v>
      </c>
    </row>
    <row r="392" spans="1:17">
      <c r="A392" s="10" t="s">
        <v>1381</v>
      </c>
      <c r="B392" s="10" t="s">
        <v>1382</v>
      </c>
      <c r="C392" s="10" t="s">
        <v>18</v>
      </c>
      <c r="D392" s="10" t="s">
        <v>107</v>
      </c>
      <c r="E392" s="10" t="s">
        <v>1353</v>
      </c>
      <c r="F392" s="10" t="s">
        <v>1353</v>
      </c>
      <c r="G392" s="10" t="s">
        <v>156</v>
      </c>
      <c r="H392" s="10" t="s">
        <v>110</v>
      </c>
      <c r="I392" s="10" t="s">
        <v>1378</v>
      </c>
      <c r="J392" s="10" t="s">
        <v>1128</v>
      </c>
      <c r="K392" s="10" t="s">
        <v>1210</v>
      </c>
      <c r="L392" s="10" t="s">
        <v>947</v>
      </c>
      <c r="M392" s="10" t="s">
        <v>1129</v>
      </c>
      <c r="N392" s="10" t="s">
        <v>1104</v>
      </c>
      <c r="O392" s="10" t="s">
        <v>1143</v>
      </c>
      <c r="P392" s="10" t="s">
        <v>1105</v>
      </c>
      <c r="Q392" s="10" t="s">
        <v>1105</v>
      </c>
    </row>
    <row r="393" spans="1:17">
      <c r="A393" s="10" t="s">
        <v>480</v>
      </c>
      <c r="B393" s="10" t="s">
        <v>481</v>
      </c>
      <c r="C393" s="10" t="s">
        <v>140</v>
      </c>
      <c r="D393" s="10" t="s">
        <v>29</v>
      </c>
      <c r="E393" s="10" t="s">
        <v>29</v>
      </c>
      <c r="F393" s="10" t="s">
        <v>355</v>
      </c>
      <c r="G393" s="10" t="s">
        <v>22</v>
      </c>
      <c r="H393" s="10" t="s">
        <v>29</v>
      </c>
      <c r="I393" s="10" t="s">
        <v>1116</v>
      </c>
      <c r="J393" s="10" t="s">
        <v>1123</v>
      </c>
      <c r="K393" s="10" t="s">
        <v>1308</v>
      </c>
      <c r="L393" s="10" t="s">
        <v>954</v>
      </c>
      <c r="M393" s="10" t="s">
        <v>954</v>
      </c>
      <c r="N393" s="10" t="s">
        <v>1104</v>
      </c>
      <c r="O393" s="10" t="s">
        <v>1149</v>
      </c>
      <c r="P393" s="10" t="s">
        <v>1105</v>
      </c>
      <c r="Q393" s="10" t="s">
        <v>1105</v>
      </c>
    </row>
    <row r="394" spans="1:17">
      <c r="A394" s="10" t="s">
        <v>1383</v>
      </c>
      <c r="B394" s="10" t="s">
        <v>1384</v>
      </c>
      <c r="C394" s="10" t="s">
        <v>18</v>
      </c>
      <c r="D394" s="10" t="s">
        <v>1385</v>
      </c>
      <c r="E394" s="10" t="s">
        <v>1385</v>
      </c>
      <c r="F394" s="10" t="s">
        <v>1385</v>
      </c>
      <c r="G394" s="10" t="s">
        <v>33</v>
      </c>
      <c r="H394" s="10" t="s">
        <v>23</v>
      </c>
      <c r="I394" s="10" t="s">
        <v>1386</v>
      </c>
      <c r="J394" s="10" t="s">
        <v>1114</v>
      </c>
      <c r="K394" s="10" t="s">
        <v>1387</v>
      </c>
      <c r="L394" s="10" t="s">
        <v>947</v>
      </c>
      <c r="M394" s="10" t="s">
        <v>1119</v>
      </c>
      <c r="N394" s="10" t="s">
        <v>1142</v>
      </c>
      <c r="O394" s="10" t="s">
        <v>1143</v>
      </c>
      <c r="P394" s="10" t="s">
        <v>1105</v>
      </c>
      <c r="Q394" s="10" t="s">
        <v>1105</v>
      </c>
    </row>
    <row r="395" spans="1:17">
      <c r="A395" s="10" t="s">
        <v>478</v>
      </c>
      <c r="B395" s="10" t="s">
        <v>479</v>
      </c>
      <c r="C395" s="10" t="s">
        <v>50</v>
      </c>
      <c r="D395" s="10" t="s">
        <v>29</v>
      </c>
      <c r="E395" s="10" t="s">
        <v>29</v>
      </c>
      <c r="F395" s="10" t="s">
        <v>21</v>
      </c>
      <c r="G395" s="10" t="s">
        <v>22</v>
      </c>
      <c r="H395" s="10" t="s">
        <v>29</v>
      </c>
      <c r="I395" s="10" t="s">
        <v>1116</v>
      </c>
      <c r="J395" s="10" t="s">
        <v>1114</v>
      </c>
      <c r="K395" s="10" t="s">
        <v>1210</v>
      </c>
      <c r="L395" s="10" t="s">
        <v>947</v>
      </c>
      <c r="M395" s="10" t="s">
        <v>1119</v>
      </c>
      <c r="N395" s="10" t="s">
        <v>1104</v>
      </c>
      <c r="O395" s="10" t="s">
        <v>1146</v>
      </c>
      <c r="P395" s="10" t="s">
        <v>1105</v>
      </c>
      <c r="Q395" s="10" t="s">
        <v>1105</v>
      </c>
    </row>
    <row r="396" spans="1:17">
      <c r="A396" s="10" t="s">
        <v>1388</v>
      </c>
      <c r="B396" s="10" t="s">
        <v>1389</v>
      </c>
      <c r="C396" s="10" t="s">
        <v>18</v>
      </c>
      <c r="D396" s="10" t="s">
        <v>107</v>
      </c>
      <c r="E396" s="10" t="s">
        <v>394</v>
      </c>
      <c r="F396" s="10" t="s">
        <v>618</v>
      </c>
      <c r="G396" s="10" t="s">
        <v>156</v>
      </c>
      <c r="H396" s="10" t="s">
        <v>110</v>
      </c>
      <c r="I396" s="10" t="s">
        <v>1116</v>
      </c>
      <c r="J396" s="10" t="s">
        <v>1135</v>
      </c>
      <c r="K396" s="10" t="s">
        <v>1124</v>
      </c>
      <c r="L396" s="10" t="s">
        <v>947</v>
      </c>
      <c r="M396" s="10" t="s">
        <v>1119</v>
      </c>
      <c r="N396" s="10" t="s">
        <v>1104</v>
      </c>
      <c r="O396" s="10" t="s">
        <v>205</v>
      </c>
      <c r="P396" s="10" t="s">
        <v>1105</v>
      </c>
      <c r="Q396" s="10" t="s">
        <v>1105</v>
      </c>
    </row>
    <row r="397" spans="1:17">
      <c r="A397" s="10" t="s">
        <v>1390</v>
      </c>
      <c r="B397" s="10" t="s">
        <v>1391</v>
      </c>
      <c r="C397" s="10" t="s">
        <v>18</v>
      </c>
      <c r="D397" s="10" t="s">
        <v>107</v>
      </c>
      <c r="E397" s="10" t="s">
        <v>632</v>
      </c>
      <c r="F397" s="10" t="s">
        <v>618</v>
      </c>
      <c r="G397" s="10" t="s">
        <v>156</v>
      </c>
      <c r="H397" s="10" t="s">
        <v>110</v>
      </c>
      <c r="I397" s="10" t="s">
        <v>1130</v>
      </c>
      <c r="J397" s="10" t="s">
        <v>1101</v>
      </c>
      <c r="K397" s="10" t="s">
        <v>1101</v>
      </c>
      <c r="L397" s="10" t="s">
        <v>947</v>
      </c>
      <c r="M397" s="10" t="s">
        <v>1103</v>
      </c>
      <c r="N397" s="10" t="s">
        <v>1104</v>
      </c>
      <c r="O397" s="10" t="s">
        <v>205</v>
      </c>
      <c r="P397" s="10" t="s">
        <v>1105</v>
      </c>
      <c r="Q397" s="10" t="s">
        <v>1105</v>
      </c>
    </row>
    <row r="398" spans="1:17">
      <c r="A398" s="10" t="s">
        <v>1392</v>
      </c>
      <c r="B398" s="10" t="s">
        <v>1393</v>
      </c>
      <c r="C398" s="10" t="s">
        <v>18</v>
      </c>
      <c r="D398" s="10" t="s">
        <v>107</v>
      </c>
      <c r="E398" s="10" t="s">
        <v>632</v>
      </c>
      <c r="F398" s="10" t="s">
        <v>618</v>
      </c>
      <c r="G398" s="10" t="s">
        <v>156</v>
      </c>
      <c r="H398" s="10" t="s">
        <v>110</v>
      </c>
      <c r="I398" s="10" t="s">
        <v>1130</v>
      </c>
      <c r="J398" s="10" t="s">
        <v>1101</v>
      </c>
      <c r="K398" s="10" t="s">
        <v>1101</v>
      </c>
      <c r="L398" s="10" t="s">
        <v>947</v>
      </c>
      <c r="M398" s="10" t="s">
        <v>1103</v>
      </c>
      <c r="N398" s="10" t="s">
        <v>1104</v>
      </c>
      <c r="O398" s="10" t="s">
        <v>216</v>
      </c>
      <c r="P398" s="10" t="s">
        <v>1105</v>
      </c>
      <c r="Q398" s="10" t="s">
        <v>1105</v>
      </c>
    </row>
    <row r="399" spans="1:17">
      <c r="A399" s="10" t="s">
        <v>1394</v>
      </c>
      <c r="B399" s="10" t="s">
        <v>1395</v>
      </c>
      <c r="C399" s="10" t="s">
        <v>18</v>
      </c>
      <c r="D399" s="10" t="s">
        <v>107</v>
      </c>
      <c r="E399" s="10" t="s">
        <v>632</v>
      </c>
      <c r="F399" s="10" t="s">
        <v>618</v>
      </c>
      <c r="G399" s="10" t="s">
        <v>156</v>
      </c>
      <c r="H399" s="10" t="s">
        <v>110</v>
      </c>
      <c r="I399" s="10" t="s">
        <v>1130</v>
      </c>
      <c r="J399" s="10" t="s">
        <v>1101</v>
      </c>
      <c r="K399" s="10" t="s">
        <v>1101</v>
      </c>
      <c r="L399" s="10" t="s">
        <v>947</v>
      </c>
      <c r="M399" s="10" t="s">
        <v>1103</v>
      </c>
      <c r="N399" s="10" t="s">
        <v>1104</v>
      </c>
      <c r="O399" s="10" t="s">
        <v>623</v>
      </c>
      <c r="P399" s="10" t="s">
        <v>1105</v>
      </c>
      <c r="Q399" s="10" t="s">
        <v>1105</v>
      </c>
    </row>
    <row r="400" spans="1:17">
      <c r="A400" s="10" t="s">
        <v>1396</v>
      </c>
      <c r="B400" s="10" t="s">
        <v>1397</v>
      </c>
      <c r="C400" s="10" t="s">
        <v>18</v>
      </c>
      <c r="D400" s="10" t="s">
        <v>107</v>
      </c>
      <c r="E400" s="10" t="s">
        <v>617</v>
      </c>
      <c r="F400" s="10" t="s">
        <v>618</v>
      </c>
      <c r="G400" s="10" t="s">
        <v>156</v>
      </c>
      <c r="H400" s="10" t="s">
        <v>110</v>
      </c>
      <c r="I400" s="10" t="s">
        <v>1130</v>
      </c>
      <c r="J400" s="10" t="s">
        <v>1101</v>
      </c>
      <c r="K400" s="10" t="s">
        <v>1101</v>
      </c>
      <c r="L400" s="10" t="s">
        <v>947</v>
      </c>
      <c r="M400" s="10" t="s">
        <v>1103</v>
      </c>
      <c r="N400" s="10" t="s">
        <v>1104</v>
      </c>
      <c r="O400" s="10" t="s">
        <v>216</v>
      </c>
      <c r="P400" s="10" t="s">
        <v>1105</v>
      </c>
      <c r="Q400" s="10" t="s">
        <v>1105</v>
      </c>
    </row>
    <row r="401" spans="1:17">
      <c r="A401" s="10" t="s">
        <v>1398</v>
      </c>
      <c r="B401" s="10" t="s">
        <v>1399</v>
      </c>
      <c r="C401" s="10" t="s">
        <v>18</v>
      </c>
      <c r="D401" s="10" t="s">
        <v>107</v>
      </c>
      <c r="E401" s="10" t="s">
        <v>617</v>
      </c>
      <c r="F401" s="10" t="s">
        <v>618</v>
      </c>
      <c r="G401" s="10" t="s">
        <v>156</v>
      </c>
      <c r="H401" s="10" t="s">
        <v>110</v>
      </c>
      <c r="I401" s="10" t="s">
        <v>1130</v>
      </c>
      <c r="J401" s="10" t="s">
        <v>1101</v>
      </c>
      <c r="K401" s="10" t="s">
        <v>1101</v>
      </c>
      <c r="L401" s="10" t="s">
        <v>947</v>
      </c>
      <c r="M401" s="10" t="s">
        <v>1103</v>
      </c>
      <c r="N401" s="10" t="s">
        <v>1104</v>
      </c>
      <c r="O401" s="10" t="s">
        <v>377</v>
      </c>
      <c r="P401" s="10" t="s">
        <v>1105</v>
      </c>
      <c r="Q401" s="10" t="s">
        <v>1105</v>
      </c>
    </row>
    <row r="402" spans="1:17">
      <c r="A402" s="10" t="s">
        <v>476</v>
      </c>
      <c r="B402" s="10" t="s">
        <v>477</v>
      </c>
      <c r="C402" s="10" t="s">
        <v>18</v>
      </c>
      <c r="D402" s="10" t="s">
        <v>80</v>
      </c>
      <c r="E402" s="10" t="s">
        <v>189</v>
      </c>
      <c r="F402" s="10" t="s">
        <v>190</v>
      </c>
      <c r="G402" s="10" t="s">
        <v>38</v>
      </c>
      <c r="H402" s="10" t="s">
        <v>83</v>
      </c>
      <c r="I402" s="10" t="s">
        <v>1217</v>
      </c>
      <c r="J402" s="10" t="s">
        <v>1101</v>
      </c>
      <c r="K402" s="10" t="s">
        <v>1218</v>
      </c>
      <c r="L402" s="10" t="s">
        <v>947</v>
      </c>
      <c r="M402" s="10" t="s">
        <v>1103</v>
      </c>
      <c r="N402" s="10" t="s">
        <v>1104</v>
      </c>
      <c r="O402" s="10" t="s">
        <v>1265</v>
      </c>
      <c r="P402" s="10" t="s">
        <v>1105</v>
      </c>
      <c r="Q402" s="10" t="s">
        <v>1105</v>
      </c>
    </row>
    <row r="403" spans="1:17">
      <c r="A403" s="10" t="s">
        <v>474</v>
      </c>
      <c r="B403" s="10" t="s">
        <v>475</v>
      </c>
      <c r="C403" s="10" t="s">
        <v>18</v>
      </c>
      <c r="D403" s="10" t="s">
        <v>80</v>
      </c>
      <c r="E403" s="10" t="s">
        <v>189</v>
      </c>
      <c r="F403" s="10" t="s">
        <v>190</v>
      </c>
      <c r="G403" s="10" t="s">
        <v>38</v>
      </c>
      <c r="H403" s="10" t="s">
        <v>83</v>
      </c>
      <c r="I403" s="10" t="s">
        <v>1219</v>
      </c>
      <c r="J403" s="10" t="s">
        <v>1135</v>
      </c>
      <c r="K403" s="10" t="s">
        <v>1220</v>
      </c>
      <c r="L403" s="10" t="s">
        <v>947</v>
      </c>
      <c r="M403" s="10" t="s">
        <v>1119</v>
      </c>
      <c r="N403" s="10" t="s">
        <v>1104</v>
      </c>
      <c r="O403" s="10" t="s">
        <v>1131</v>
      </c>
      <c r="P403" s="10" t="s">
        <v>1105</v>
      </c>
      <c r="Q403" s="10" t="s">
        <v>1105</v>
      </c>
    </row>
    <row r="404" spans="1:17">
      <c r="A404" s="10" t="s">
        <v>472</v>
      </c>
      <c r="B404" s="10" t="s">
        <v>473</v>
      </c>
      <c r="C404" s="10" t="s">
        <v>18</v>
      </c>
      <c r="D404" s="10" t="s">
        <v>80</v>
      </c>
      <c r="E404" s="10" t="s">
        <v>189</v>
      </c>
      <c r="F404" s="10" t="s">
        <v>190</v>
      </c>
      <c r="G404" s="10" t="s">
        <v>38</v>
      </c>
      <c r="H404" s="10" t="s">
        <v>83</v>
      </c>
      <c r="I404" s="10" t="s">
        <v>1400</v>
      </c>
      <c r="J404" s="10" t="s">
        <v>1135</v>
      </c>
      <c r="K404" s="10" t="s">
        <v>1401</v>
      </c>
      <c r="L404" s="10" t="s">
        <v>947</v>
      </c>
      <c r="M404" s="10" t="s">
        <v>1129</v>
      </c>
      <c r="N404" s="10" t="s">
        <v>1104</v>
      </c>
      <c r="O404" s="10" t="s">
        <v>1136</v>
      </c>
      <c r="P404" s="10" t="s">
        <v>1105</v>
      </c>
      <c r="Q404" s="10" t="s">
        <v>1105</v>
      </c>
    </row>
    <row r="405" spans="1:17">
      <c r="A405" s="10" t="s">
        <v>470</v>
      </c>
      <c r="B405" s="10" t="s">
        <v>471</v>
      </c>
      <c r="C405" s="10" t="s">
        <v>18</v>
      </c>
      <c r="D405" s="10" t="s">
        <v>80</v>
      </c>
      <c r="E405" s="10" t="s">
        <v>92</v>
      </c>
      <c r="F405" s="10" t="s">
        <v>93</v>
      </c>
      <c r="G405" s="10" t="s">
        <v>42</v>
      </c>
      <c r="H405" s="10" t="s">
        <v>83</v>
      </c>
      <c r="I405" s="10" t="s">
        <v>1148</v>
      </c>
      <c r="J405" s="10" t="s">
        <v>1114</v>
      </c>
      <c r="K405" s="10" t="s">
        <v>1124</v>
      </c>
      <c r="L405" s="10" t="s">
        <v>954</v>
      </c>
      <c r="M405" s="10" t="s">
        <v>954</v>
      </c>
      <c r="N405" s="10" t="s">
        <v>1104</v>
      </c>
      <c r="O405" s="10" t="s">
        <v>1203</v>
      </c>
      <c r="P405" s="10" t="s">
        <v>1105</v>
      </c>
      <c r="Q405" s="10" t="s">
        <v>1105</v>
      </c>
    </row>
    <row r="406" spans="1:17">
      <c r="A406" s="10" t="s">
        <v>468</v>
      </c>
      <c r="B406" s="10" t="s">
        <v>469</v>
      </c>
      <c r="C406" s="10" t="s">
        <v>18</v>
      </c>
      <c r="D406" s="10" t="s">
        <v>80</v>
      </c>
      <c r="E406" s="10" t="s">
        <v>81</v>
      </c>
      <c r="F406" s="10" t="s">
        <v>82</v>
      </c>
      <c r="G406" s="10" t="s">
        <v>38</v>
      </c>
      <c r="H406" s="10" t="s">
        <v>83</v>
      </c>
      <c r="I406" s="10" t="s">
        <v>1148</v>
      </c>
      <c r="J406" s="10" t="s">
        <v>1114</v>
      </c>
      <c r="K406" s="10" t="s">
        <v>1124</v>
      </c>
      <c r="L406" s="10" t="s">
        <v>954</v>
      </c>
      <c r="M406" s="10" t="s">
        <v>954</v>
      </c>
      <c r="N406" s="10" t="s">
        <v>1104</v>
      </c>
      <c r="O406" s="10" t="s">
        <v>1203</v>
      </c>
      <c r="P406" s="10" t="s">
        <v>1105</v>
      </c>
      <c r="Q406" s="10" t="s">
        <v>1105</v>
      </c>
    </row>
    <row r="407" spans="1:17">
      <c r="A407" s="10" t="s">
        <v>466</v>
      </c>
      <c r="B407" s="10" t="s">
        <v>467</v>
      </c>
      <c r="C407" s="10" t="s">
        <v>18</v>
      </c>
      <c r="D407" s="10" t="s">
        <v>80</v>
      </c>
      <c r="E407" s="10" t="s">
        <v>92</v>
      </c>
      <c r="F407" s="10" t="s">
        <v>93</v>
      </c>
      <c r="G407" s="10" t="s">
        <v>42</v>
      </c>
      <c r="H407" s="10" t="s">
        <v>83</v>
      </c>
      <c r="I407" s="10" t="s">
        <v>1154</v>
      </c>
      <c r="J407" s="10" t="s">
        <v>1123</v>
      </c>
      <c r="K407" s="10" t="s">
        <v>1155</v>
      </c>
      <c r="L407" s="10" t="s">
        <v>947</v>
      </c>
      <c r="M407" s="10" t="s">
        <v>1103</v>
      </c>
      <c r="N407" s="10" t="s">
        <v>1104</v>
      </c>
      <c r="O407" s="10" t="s">
        <v>1265</v>
      </c>
      <c r="P407" s="10" t="s">
        <v>1105</v>
      </c>
      <c r="Q407" s="10" t="s">
        <v>1105</v>
      </c>
    </row>
    <row r="408" spans="1:17">
      <c r="A408" s="10" t="s">
        <v>464</v>
      </c>
      <c r="B408" s="10" t="s">
        <v>465</v>
      </c>
      <c r="C408" s="10" t="s">
        <v>18</v>
      </c>
      <c r="D408" s="10" t="s">
        <v>80</v>
      </c>
      <c r="E408" s="10" t="s">
        <v>81</v>
      </c>
      <c r="F408" s="10" t="s">
        <v>82</v>
      </c>
      <c r="G408" s="10" t="s">
        <v>38</v>
      </c>
      <c r="H408" s="10" t="s">
        <v>83</v>
      </c>
      <c r="I408" s="10" t="s">
        <v>1154</v>
      </c>
      <c r="J408" s="10" t="s">
        <v>1123</v>
      </c>
      <c r="K408" s="10" t="s">
        <v>1155</v>
      </c>
      <c r="L408" s="10" t="s">
        <v>947</v>
      </c>
      <c r="M408" s="10" t="s">
        <v>1103</v>
      </c>
      <c r="N408" s="10" t="s">
        <v>1104</v>
      </c>
      <c r="O408" s="10" t="s">
        <v>1265</v>
      </c>
      <c r="P408" s="10" t="s">
        <v>1105</v>
      </c>
      <c r="Q408" s="10" t="s">
        <v>1105</v>
      </c>
    </row>
    <row r="409" spans="1:17">
      <c r="A409" s="10" t="s">
        <v>462</v>
      </c>
      <c r="B409" s="10" t="s">
        <v>463</v>
      </c>
      <c r="C409" s="10" t="s">
        <v>18</v>
      </c>
      <c r="D409" s="10" t="s">
        <v>80</v>
      </c>
      <c r="E409" s="10" t="s">
        <v>92</v>
      </c>
      <c r="F409" s="10" t="s">
        <v>93</v>
      </c>
      <c r="G409" s="10" t="s">
        <v>42</v>
      </c>
      <c r="H409" s="10" t="s">
        <v>83</v>
      </c>
      <c r="I409" s="10" t="s">
        <v>1116</v>
      </c>
      <c r="J409" s="10" t="s">
        <v>1135</v>
      </c>
      <c r="K409" s="10" t="s">
        <v>1124</v>
      </c>
      <c r="L409" s="10" t="s">
        <v>947</v>
      </c>
      <c r="M409" s="10" t="s">
        <v>1119</v>
      </c>
      <c r="N409" s="10" t="s">
        <v>1104</v>
      </c>
      <c r="O409" s="10" t="s">
        <v>1131</v>
      </c>
      <c r="P409" s="10" t="s">
        <v>1105</v>
      </c>
      <c r="Q409" s="10" t="s">
        <v>1105</v>
      </c>
    </row>
    <row r="410" spans="1:17">
      <c r="A410" s="10" t="s">
        <v>460</v>
      </c>
      <c r="B410" s="10" t="s">
        <v>461</v>
      </c>
      <c r="C410" s="10" t="s">
        <v>18</v>
      </c>
      <c r="D410" s="10" t="s">
        <v>80</v>
      </c>
      <c r="E410" s="10" t="s">
        <v>81</v>
      </c>
      <c r="F410" s="10" t="s">
        <v>82</v>
      </c>
      <c r="G410" s="10" t="s">
        <v>38</v>
      </c>
      <c r="H410" s="10" t="s">
        <v>83</v>
      </c>
      <c r="I410" s="10" t="s">
        <v>1116</v>
      </c>
      <c r="J410" s="10" t="s">
        <v>1135</v>
      </c>
      <c r="K410" s="10" t="s">
        <v>1124</v>
      </c>
      <c r="L410" s="10" t="s">
        <v>947</v>
      </c>
      <c r="M410" s="10" t="s">
        <v>1119</v>
      </c>
      <c r="N410" s="10" t="s">
        <v>1104</v>
      </c>
      <c r="O410" s="10" t="s">
        <v>1131</v>
      </c>
      <c r="P410" s="10" t="s">
        <v>1105</v>
      </c>
      <c r="Q410" s="10" t="s">
        <v>1105</v>
      </c>
    </row>
    <row r="411" spans="1:17">
      <c r="A411" s="10" t="s">
        <v>458</v>
      </c>
      <c r="B411" s="10" t="s">
        <v>459</v>
      </c>
      <c r="C411" s="10" t="s">
        <v>18</v>
      </c>
      <c r="D411" s="10" t="s">
        <v>80</v>
      </c>
      <c r="E411" s="10" t="s">
        <v>92</v>
      </c>
      <c r="F411" s="10" t="s">
        <v>93</v>
      </c>
      <c r="G411" s="10" t="s">
        <v>42</v>
      </c>
      <c r="H411" s="10" t="s">
        <v>83</v>
      </c>
      <c r="I411" s="10" t="s">
        <v>1257</v>
      </c>
      <c r="J411" s="10" t="s">
        <v>1135</v>
      </c>
      <c r="K411" s="10" t="s">
        <v>1210</v>
      </c>
      <c r="L411" s="10" t="s">
        <v>947</v>
      </c>
      <c r="M411" s="10" t="s">
        <v>1129</v>
      </c>
      <c r="N411" s="10" t="s">
        <v>1104</v>
      </c>
      <c r="O411" s="10" t="s">
        <v>1136</v>
      </c>
      <c r="P411" s="10" t="s">
        <v>1105</v>
      </c>
      <c r="Q411" s="10" t="s">
        <v>1105</v>
      </c>
    </row>
    <row r="412" spans="1:17">
      <c r="A412" s="10" t="s">
        <v>456</v>
      </c>
      <c r="B412" s="10" t="s">
        <v>457</v>
      </c>
      <c r="C412" s="10" t="s">
        <v>18</v>
      </c>
      <c r="D412" s="10" t="s">
        <v>80</v>
      </c>
      <c r="E412" s="10" t="s">
        <v>81</v>
      </c>
      <c r="F412" s="10" t="s">
        <v>82</v>
      </c>
      <c r="G412" s="10" t="s">
        <v>38</v>
      </c>
      <c r="H412" s="10" t="s">
        <v>83</v>
      </c>
      <c r="I412" s="10" t="s">
        <v>1257</v>
      </c>
      <c r="J412" s="10" t="s">
        <v>1135</v>
      </c>
      <c r="K412" s="10" t="s">
        <v>1210</v>
      </c>
      <c r="L412" s="10" t="s">
        <v>947</v>
      </c>
      <c r="M412" s="10" t="s">
        <v>1129</v>
      </c>
      <c r="N412" s="10" t="s">
        <v>1104</v>
      </c>
      <c r="O412" s="10" t="s">
        <v>1136</v>
      </c>
      <c r="P412" s="10" t="s">
        <v>1105</v>
      </c>
      <c r="Q412" s="10" t="s">
        <v>1105</v>
      </c>
    </row>
    <row r="413" spans="1:17">
      <c r="A413" s="10" t="s">
        <v>454</v>
      </c>
      <c r="B413" s="10" t="s">
        <v>455</v>
      </c>
      <c r="C413" s="10" t="s">
        <v>354</v>
      </c>
      <c r="D413" s="10" t="s">
        <v>29</v>
      </c>
      <c r="E413" s="10" t="s">
        <v>29</v>
      </c>
      <c r="F413" s="10" t="s">
        <v>355</v>
      </c>
      <c r="G413" s="10" t="s">
        <v>22</v>
      </c>
      <c r="H413" s="10" t="s">
        <v>29</v>
      </c>
      <c r="I413" s="10" t="s">
        <v>1116</v>
      </c>
      <c r="J413" s="10" t="s">
        <v>1123</v>
      </c>
      <c r="K413" s="10" t="s">
        <v>1308</v>
      </c>
      <c r="L413" s="10" t="s">
        <v>954</v>
      </c>
      <c r="M413" s="10" t="s">
        <v>954</v>
      </c>
      <c r="N413" s="10" t="s">
        <v>1104</v>
      </c>
      <c r="O413" s="10" t="s">
        <v>1203</v>
      </c>
      <c r="P413" s="10" t="s">
        <v>1105</v>
      </c>
      <c r="Q413" s="10" t="s">
        <v>1105</v>
      </c>
    </row>
    <row r="414" spans="1:17">
      <c r="A414" s="10" t="s">
        <v>452</v>
      </c>
      <c r="B414" s="10" t="s">
        <v>453</v>
      </c>
      <c r="C414" s="10" t="s">
        <v>354</v>
      </c>
      <c r="D414" s="10" t="s">
        <v>29</v>
      </c>
      <c r="E414" s="10" t="s">
        <v>29</v>
      </c>
      <c r="F414" s="10" t="s">
        <v>355</v>
      </c>
      <c r="G414" s="10" t="s">
        <v>22</v>
      </c>
      <c r="H414" s="10" t="s">
        <v>29</v>
      </c>
      <c r="I414" s="10" t="s">
        <v>1116</v>
      </c>
      <c r="J414" s="10" t="s">
        <v>1123</v>
      </c>
      <c r="K414" s="10" t="s">
        <v>1308</v>
      </c>
      <c r="L414" s="10" t="s">
        <v>954</v>
      </c>
      <c r="M414" s="10" t="s">
        <v>954</v>
      </c>
      <c r="N414" s="10" t="s">
        <v>1104</v>
      </c>
      <c r="O414" s="10" t="s">
        <v>1203</v>
      </c>
      <c r="P414" s="10" t="s">
        <v>1105</v>
      </c>
      <c r="Q414" s="10" t="s">
        <v>1105</v>
      </c>
    </row>
    <row r="415" spans="1:17">
      <c r="A415" s="10" t="s">
        <v>450</v>
      </c>
      <c r="B415" s="10" t="s">
        <v>451</v>
      </c>
      <c r="C415" s="10" t="s">
        <v>18</v>
      </c>
      <c r="D415" s="10" t="s">
        <v>107</v>
      </c>
      <c r="E415" s="10" t="s">
        <v>123</v>
      </c>
      <c r="F415" s="10" t="s">
        <v>51</v>
      </c>
      <c r="G415" s="10" t="s">
        <v>22</v>
      </c>
      <c r="H415" s="10" t="s">
        <v>110</v>
      </c>
      <c r="I415" s="10" t="s">
        <v>1217</v>
      </c>
      <c r="J415" s="10" t="s">
        <v>1101</v>
      </c>
      <c r="K415" s="10" t="s">
        <v>1218</v>
      </c>
      <c r="L415" s="10" t="s">
        <v>947</v>
      </c>
      <c r="M415" s="10" t="s">
        <v>1103</v>
      </c>
      <c r="N415" s="10" t="s">
        <v>1104</v>
      </c>
      <c r="O415" s="10" t="s">
        <v>1146</v>
      </c>
      <c r="P415" s="10" t="s">
        <v>1105</v>
      </c>
      <c r="Q415" s="10" t="s">
        <v>1105</v>
      </c>
    </row>
    <row r="416" spans="1:17">
      <c r="A416" s="10" t="s">
        <v>448</v>
      </c>
      <c r="B416" s="10" t="s">
        <v>449</v>
      </c>
      <c r="C416" s="10" t="s">
        <v>18</v>
      </c>
      <c r="D416" s="10" t="s">
        <v>107</v>
      </c>
      <c r="E416" s="10" t="s">
        <v>123</v>
      </c>
      <c r="F416" s="10" t="s">
        <v>51</v>
      </c>
      <c r="G416" s="10" t="s">
        <v>22</v>
      </c>
      <c r="H416" s="10" t="s">
        <v>110</v>
      </c>
      <c r="I416" s="10" t="s">
        <v>1217</v>
      </c>
      <c r="J416" s="10" t="s">
        <v>1101</v>
      </c>
      <c r="K416" s="10" t="s">
        <v>1218</v>
      </c>
      <c r="L416" s="10" t="s">
        <v>947</v>
      </c>
      <c r="M416" s="10" t="s">
        <v>1103</v>
      </c>
      <c r="N416" s="10" t="s">
        <v>1104</v>
      </c>
      <c r="O416" s="10" t="s">
        <v>1146</v>
      </c>
      <c r="P416" s="10" t="s">
        <v>1105</v>
      </c>
      <c r="Q416" s="10" t="s">
        <v>1105</v>
      </c>
    </row>
    <row r="417" spans="1:17">
      <c r="A417" s="10" t="s">
        <v>446</v>
      </c>
      <c r="B417" s="10" t="s">
        <v>447</v>
      </c>
      <c r="C417" s="10" t="s">
        <v>18</v>
      </c>
      <c r="D417" s="10" t="s">
        <v>107</v>
      </c>
      <c r="E417" s="10" t="s">
        <v>115</v>
      </c>
      <c r="F417" s="10" t="s">
        <v>62</v>
      </c>
      <c r="G417" s="10" t="s">
        <v>22</v>
      </c>
      <c r="H417" s="10" t="s">
        <v>110</v>
      </c>
      <c r="I417" s="10" t="s">
        <v>1217</v>
      </c>
      <c r="J417" s="10" t="s">
        <v>1101</v>
      </c>
      <c r="K417" s="10" t="s">
        <v>1218</v>
      </c>
      <c r="L417" s="10" t="s">
        <v>947</v>
      </c>
      <c r="M417" s="10" t="s">
        <v>1103</v>
      </c>
      <c r="N417" s="10" t="s">
        <v>1104</v>
      </c>
      <c r="O417" s="10" t="s">
        <v>1146</v>
      </c>
      <c r="P417" s="10" t="s">
        <v>1105</v>
      </c>
      <c r="Q417" s="10" t="s">
        <v>1105</v>
      </c>
    </row>
    <row r="418" spans="1:17">
      <c r="A418" s="10" t="s">
        <v>444</v>
      </c>
      <c r="B418" s="10" t="s">
        <v>445</v>
      </c>
      <c r="C418" s="10" t="s">
        <v>18</v>
      </c>
      <c r="D418" s="10" t="s">
        <v>107</v>
      </c>
      <c r="E418" s="10" t="s">
        <v>123</v>
      </c>
      <c r="F418" s="10" t="s">
        <v>51</v>
      </c>
      <c r="G418" s="10" t="s">
        <v>22</v>
      </c>
      <c r="H418" s="10" t="s">
        <v>110</v>
      </c>
      <c r="I418" s="10" t="s">
        <v>1116</v>
      </c>
      <c r="J418" s="10" t="s">
        <v>1135</v>
      </c>
      <c r="K418" s="10" t="s">
        <v>1124</v>
      </c>
      <c r="L418" s="10" t="s">
        <v>947</v>
      </c>
      <c r="M418" s="10" t="s">
        <v>1119</v>
      </c>
      <c r="N418" s="10" t="s">
        <v>1104</v>
      </c>
      <c r="O418" s="10" t="s">
        <v>1146</v>
      </c>
      <c r="P418" s="10" t="s">
        <v>1105</v>
      </c>
      <c r="Q418" s="10" t="s">
        <v>1105</v>
      </c>
    </row>
    <row r="419" spans="1:17">
      <c r="A419" s="10" t="s">
        <v>442</v>
      </c>
      <c r="B419" s="10" t="s">
        <v>443</v>
      </c>
      <c r="C419" s="10" t="s">
        <v>18</v>
      </c>
      <c r="D419" s="10" t="s">
        <v>107</v>
      </c>
      <c r="E419" s="10" t="s">
        <v>123</v>
      </c>
      <c r="F419" s="10" t="s">
        <v>51</v>
      </c>
      <c r="G419" s="10" t="s">
        <v>22</v>
      </c>
      <c r="H419" s="10" t="s">
        <v>110</v>
      </c>
      <c r="I419" s="10" t="s">
        <v>1116</v>
      </c>
      <c r="J419" s="10" t="s">
        <v>1135</v>
      </c>
      <c r="K419" s="10" t="s">
        <v>1124</v>
      </c>
      <c r="L419" s="10" t="s">
        <v>947</v>
      </c>
      <c r="M419" s="10" t="s">
        <v>1119</v>
      </c>
      <c r="N419" s="10" t="s">
        <v>1104</v>
      </c>
      <c r="O419" s="10" t="s">
        <v>1146</v>
      </c>
      <c r="P419" s="10" t="s">
        <v>1105</v>
      </c>
      <c r="Q419" s="10" t="s">
        <v>1105</v>
      </c>
    </row>
    <row r="420" spans="1:17">
      <c r="A420" s="10" t="s">
        <v>440</v>
      </c>
      <c r="B420" s="10" t="s">
        <v>441</v>
      </c>
      <c r="C420" s="10" t="s">
        <v>18</v>
      </c>
      <c r="D420" s="10" t="s">
        <v>107</v>
      </c>
      <c r="E420" s="10" t="s">
        <v>115</v>
      </c>
      <c r="F420" s="10" t="s">
        <v>62</v>
      </c>
      <c r="G420" s="10" t="s">
        <v>22</v>
      </c>
      <c r="H420" s="10" t="s">
        <v>110</v>
      </c>
      <c r="I420" s="10" t="s">
        <v>1116</v>
      </c>
      <c r="J420" s="10" t="s">
        <v>1135</v>
      </c>
      <c r="K420" s="10" t="s">
        <v>1124</v>
      </c>
      <c r="L420" s="10" t="s">
        <v>947</v>
      </c>
      <c r="M420" s="10" t="s">
        <v>1119</v>
      </c>
      <c r="N420" s="10" t="s">
        <v>1104</v>
      </c>
      <c r="O420" s="10" t="s">
        <v>1146</v>
      </c>
      <c r="P420" s="10" t="s">
        <v>1105</v>
      </c>
      <c r="Q420" s="10" t="s">
        <v>1105</v>
      </c>
    </row>
    <row r="421" spans="1:17">
      <c r="A421" s="10" t="s">
        <v>438</v>
      </c>
      <c r="B421" s="10" t="s">
        <v>439</v>
      </c>
      <c r="C421" s="10" t="s">
        <v>18</v>
      </c>
      <c r="D421" s="10" t="s">
        <v>107</v>
      </c>
      <c r="E421" s="10" t="s">
        <v>120</v>
      </c>
      <c r="F421" s="10" t="s">
        <v>56</v>
      </c>
      <c r="G421" s="10" t="s">
        <v>22</v>
      </c>
      <c r="H421" s="10" t="s">
        <v>110</v>
      </c>
      <c r="I421" s="10" t="s">
        <v>1257</v>
      </c>
      <c r="J421" s="10" t="s">
        <v>1135</v>
      </c>
      <c r="K421" s="10" t="s">
        <v>1210</v>
      </c>
      <c r="L421" s="10" t="s">
        <v>947</v>
      </c>
      <c r="M421" s="10" t="s">
        <v>1129</v>
      </c>
      <c r="N421" s="10" t="s">
        <v>1104</v>
      </c>
      <c r="O421" s="10" t="s">
        <v>1146</v>
      </c>
      <c r="P421" s="10" t="s">
        <v>1105</v>
      </c>
      <c r="Q421" s="10" t="s">
        <v>1105</v>
      </c>
    </row>
    <row r="422" spans="1:17">
      <c r="A422" s="10" t="s">
        <v>436</v>
      </c>
      <c r="B422" s="10" t="s">
        <v>437</v>
      </c>
      <c r="C422" s="10" t="s">
        <v>100</v>
      </c>
      <c r="D422" s="10" t="s">
        <v>29</v>
      </c>
      <c r="E422" s="10" t="s">
        <v>29</v>
      </c>
      <c r="F422" s="10" t="s">
        <v>42</v>
      </c>
      <c r="G422" s="10" t="s">
        <v>42</v>
      </c>
      <c r="H422" s="10" t="s">
        <v>29</v>
      </c>
      <c r="I422" s="10" t="s">
        <v>1148</v>
      </c>
      <c r="J422" s="10" t="s">
        <v>1114</v>
      </c>
      <c r="K422" s="10" t="s">
        <v>1124</v>
      </c>
      <c r="L422" s="10" t="s">
        <v>954</v>
      </c>
      <c r="M422" s="10" t="s">
        <v>954</v>
      </c>
      <c r="N422" s="10" t="s">
        <v>1104</v>
      </c>
      <c r="O422" s="10" t="s">
        <v>1203</v>
      </c>
      <c r="P422" s="10" t="s">
        <v>1105</v>
      </c>
      <c r="Q422" s="10" t="s">
        <v>1105</v>
      </c>
    </row>
    <row r="423" spans="1:17">
      <c r="A423" s="10" t="s">
        <v>434</v>
      </c>
      <c r="B423" s="10" t="s">
        <v>435</v>
      </c>
      <c r="C423" s="10" t="s">
        <v>137</v>
      </c>
      <c r="D423" s="10" t="s">
        <v>29</v>
      </c>
      <c r="E423" s="10" t="s">
        <v>29</v>
      </c>
      <c r="F423" s="10" t="s">
        <v>156</v>
      </c>
      <c r="G423" s="10" t="s">
        <v>156</v>
      </c>
      <c r="H423" s="10" t="s">
        <v>29</v>
      </c>
      <c r="I423" s="10" t="s">
        <v>1148</v>
      </c>
      <c r="J423" s="10" t="s">
        <v>1114</v>
      </c>
      <c r="K423" s="10" t="s">
        <v>1124</v>
      </c>
      <c r="L423" s="10" t="s">
        <v>954</v>
      </c>
      <c r="M423" s="10" t="s">
        <v>954</v>
      </c>
      <c r="N423" s="10" t="s">
        <v>1104</v>
      </c>
      <c r="O423" s="10" t="s">
        <v>1203</v>
      </c>
      <c r="P423" s="10" t="s">
        <v>1105</v>
      </c>
      <c r="Q423" s="10" t="s">
        <v>1105</v>
      </c>
    </row>
    <row r="424" spans="1:17">
      <c r="A424" s="10" t="s">
        <v>432</v>
      </c>
      <c r="B424" s="10" t="s">
        <v>433</v>
      </c>
      <c r="C424" s="10" t="s">
        <v>137</v>
      </c>
      <c r="D424" s="10" t="s">
        <v>29</v>
      </c>
      <c r="E424" s="10" t="s">
        <v>29</v>
      </c>
      <c r="F424" s="10" t="s">
        <v>42</v>
      </c>
      <c r="G424" s="10" t="s">
        <v>42</v>
      </c>
      <c r="H424" s="10" t="s">
        <v>29</v>
      </c>
      <c r="I424" s="10" t="s">
        <v>1148</v>
      </c>
      <c r="J424" s="10" t="s">
        <v>1114</v>
      </c>
      <c r="K424" s="10" t="s">
        <v>1124</v>
      </c>
      <c r="L424" s="10" t="s">
        <v>954</v>
      </c>
      <c r="M424" s="10" t="s">
        <v>954</v>
      </c>
      <c r="N424" s="10" t="s">
        <v>1104</v>
      </c>
      <c r="O424" s="10" t="s">
        <v>1203</v>
      </c>
      <c r="P424" s="10" t="s">
        <v>1105</v>
      </c>
      <c r="Q424" s="10" t="s">
        <v>1105</v>
      </c>
    </row>
    <row r="425" spans="1:17">
      <c r="A425" s="10" t="s">
        <v>430</v>
      </c>
      <c r="B425" s="10" t="s">
        <v>431</v>
      </c>
      <c r="C425" s="10" t="s">
        <v>100</v>
      </c>
      <c r="D425" s="10" t="s">
        <v>29</v>
      </c>
      <c r="E425" s="10" t="s">
        <v>29</v>
      </c>
      <c r="F425" s="10" t="s">
        <v>38</v>
      </c>
      <c r="G425" s="10" t="s">
        <v>38</v>
      </c>
      <c r="H425" s="10" t="s">
        <v>29</v>
      </c>
      <c r="I425" s="10" t="s">
        <v>1148</v>
      </c>
      <c r="J425" s="10" t="s">
        <v>1114</v>
      </c>
      <c r="K425" s="10" t="s">
        <v>1124</v>
      </c>
      <c r="L425" s="10" t="s">
        <v>954</v>
      </c>
      <c r="M425" s="10" t="s">
        <v>954</v>
      </c>
      <c r="N425" s="10" t="s">
        <v>1104</v>
      </c>
      <c r="O425" s="10" t="s">
        <v>1203</v>
      </c>
      <c r="P425" s="10" t="s">
        <v>1105</v>
      </c>
      <c r="Q425" s="10" t="s">
        <v>1105</v>
      </c>
    </row>
    <row r="426" spans="1:17">
      <c r="A426" s="10" t="s">
        <v>428</v>
      </c>
      <c r="B426" s="10" t="s">
        <v>429</v>
      </c>
      <c r="C426" s="10" t="s">
        <v>50</v>
      </c>
      <c r="D426" s="10" t="s">
        <v>29</v>
      </c>
      <c r="E426" s="10" t="s">
        <v>29</v>
      </c>
      <c r="F426" s="10" t="s">
        <v>156</v>
      </c>
      <c r="G426" s="10" t="s">
        <v>156</v>
      </c>
      <c r="H426" s="10" t="s">
        <v>29</v>
      </c>
      <c r="I426" s="10" t="s">
        <v>1148</v>
      </c>
      <c r="J426" s="10" t="s">
        <v>1114</v>
      </c>
      <c r="K426" s="10" t="s">
        <v>1124</v>
      </c>
      <c r="L426" s="10" t="s">
        <v>954</v>
      </c>
      <c r="M426" s="10" t="s">
        <v>954</v>
      </c>
      <c r="N426" s="10" t="s">
        <v>1104</v>
      </c>
      <c r="O426" s="10" t="s">
        <v>1203</v>
      </c>
      <c r="P426" s="10" t="s">
        <v>1105</v>
      </c>
      <c r="Q426" s="10" t="s">
        <v>1105</v>
      </c>
    </row>
    <row r="427" spans="1:17">
      <c r="A427" s="10" t="s">
        <v>426</v>
      </c>
      <c r="B427" s="10" t="s">
        <v>427</v>
      </c>
      <c r="C427" s="10" t="s">
        <v>50</v>
      </c>
      <c r="D427" s="10" t="s">
        <v>29</v>
      </c>
      <c r="E427" s="10" t="s">
        <v>29</v>
      </c>
      <c r="F427" s="10" t="s">
        <v>42</v>
      </c>
      <c r="G427" s="10" t="s">
        <v>42</v>
      </c>
      <c r="H427" s="10" t="s">
        <v>29</v>
      </c>
      <c r="I427" s="10" t="s">
        <v>1148</v>
      </c>
      <c r="J427" s="10" t="s">
        <v>1114</v>
      </c>
      <c r="K427" s="10" t="s">
        <v>1124</v>
      </c>
      <c r="L427" s="10" t="s">
        <v>954</v>
      </c>
      <c r="M427" s="10" t="s">
        <v>954</v>
      </c>
      <c r="N427" s="10" t="s">
        <v>1104</v>
      </c>
      <c r="O427" s="10" t="s">
        <v>1203</v>
      </c>
      <c r="P427" s="10" t="s">
        <v>1105</v>
      </c>
      <c r="Q427" s="10" t="s">
        <v>1105</v>
      </c>
    </row>
    <row r="428" spans="1:17">
      <c r="A428" s="10" t="s">
        <v>424</v>
      </c>
      <c r="B428" s="10" t="s">
        <v>425</v>
      </c>
      <c r="C428" s="10" t="s">
        <v>147</v>
      </c>
      <c r="D428" s="10" t="s">
        <v>29</v>
      </c>
      <c r="E428" s="10" t="s">
        <v>29</v>
      </c>
      <c r="F428" s="10" t="s">
        <v>156</v>
      </c>
      <c r="G428" s="10" t="s">
        <v>156</v>
      </c>
      <c r="H428" s="10" t="s">
        <v>29</v>
      </c>
      <c r="I428" s="10" t="s">
        <v>1148</v>
      </c>
      <c r="J428" s="10" t="s">
        <v>1114</v>
      </c>
      <c r="K428" s="10" t="s">
        <v>1124</v>
      </c>
      <c r="L428" s="10" t="s">
        <v>954</v>
      </c>
      <c r="M428" s="10" t="s">
        <v>954</v>
      </c>
      <c r="N428" s="10" t="s">
        <v>1104</v>
      </c>
      <c r="O428" s="10" t="s">
        <v>1203</v>
      </c>
      <c r="P428" s="10" t="s">
        <v>1105</v>
      </c>
      <c r="Q428" s="10" t="s">
        <v>1105</v>
      </c>
    </row>
    <row r="429" spans="1:17">
      <c r="A429" s="10" t="s">
        <v>422</v>
      </c>
      <c r="B429" s="10" t="s">
        <v>423</v>
      </c>
      <c r="C429" s="10" t="s">
        <v>147</v>
      </c>
      <c r="D429" s="10" t="s">
        <v>29</v>
      </c>
      <c r="E429" s="10" t="s">
        <v>29</v>
      </c>
      <c r="F429" s="10" t="s">
        <v>42</v>
      </c>
      <c r="G429" s="10" t="s">
        <v>42</v>
      </c>
      <c r="H429" s="10" t="s">
        <v>29</v>
      </c>
      <c r="I429" s="10" t="s">
        <v>1148</v>
      </c>
      <c r="J429" s="10" t="s">
        <v>1114</v>
      </c>
      <c r="K429" s="10" t="s">
        <v>1124</v>
      </c>
      <c r="L429" s="10" t="s">
        <v>954</v>
      </c>
      <c r="M429" s="10" t="s">
        <v>954</v>
      </c>
      <c r="N429" s="10" t="s">
        <v>1104</v>
      </c>
      <c r="O429" s="10" t="s">
        <v>1203</v>
      </c>
      <c r="P429" s="10" t="s">
        <v>1105</v>
      </c>
      <c r="Q429" s="10" t="s">
        <v>1105</v>
      </c>
    </row>
    <row r="430" spans="1:17">
      <c r="A430" s="10" t="s">
        <v>420</v>
      </c>
      <c r="B430" s="10" t="s">
        <v>421</v>
      </c>
      <c r="C430" s="10" t="s">
        <v>147</v>
      </c>
      <c r="D430" s="10" t="s">
        <v>29</v>
      </c>
      <c r="E430" s="10" t="s">
        <v>29</v>
      </c>
      <c r="F430" s="10" t="s">
        <v>38</v>
      </c>
      <c r="G430" s="10" t="s">
        <v>38</v>
      </c>
      <c r="H430" s="10" t="s">
        <v>29</v>
      </c>
      <c r="I430" s="10" t="s">
        <v>1148</v>
      </c>
      <c r="J430" s="10" t="s">
        <v>1114</v>
      </c>
      <c r="K430" s="10" t="s">
        <v>1124</v>
      </c>
      <c r="L430" s="10" t="s">
        <v>954</v>
      </c>
      <c r="M430" s="10" t="s">
        <v>954</v>
      </c>
      <c r="N430" s="10" t="s">
        <v>1104</v>
      </c>
      <c r="O430" s="10" t="s">
        <v>1203</v>
      </c>
      <c r="P430" s="10" t="s">
        <v>1105</v>
      </c>
      <c r="Q430" s="10" t="s">
        <v>1105</v>
      </c>
    </row>
    <row r="431" spans="1:17">
      <c r="A431" s="10" t="s">
        <v>418</v>
      </c>
      <c r="B431" s="10" t="s">
        <v>419</v>
      </c>
      <c r="C431" s="10" t="s">
        <v>147</v>
      </c>
      <c r="D431" s="10" t="s">
        <v>29</v>
      </c>
      <c r="E431" s="10" t="s">
        <v>29</v>
      </c>
      <c r="F431" s="10" t="s">
        <v>156</v>
      </c>
      <c r="G431" s="10" t="s">
        <v>156</v>
      </c>
      <c r="H431" s="10" t="s">
        <v>29</v>
      </c>
      <c r="I431" s="10" t="s">
        <v>1148</v>
      </c>
      <c r="J431" s="10" t="s">
        <v>1114</v>
      </c>
      <c r="K431" s="10" t="s">
        <v>1124</v>
      </c>
      <c r="L431" s="10" t="s">
        <v>954</v>
      </c>
      <c r="M431" s="10" t="s">
        <v>954</v>
      </c>
      <c r="N431" s="10" t="s">
        <v>1104</v>
      </c>
      <c r="O431" s="10" t="s">
        <v>1203</v>
      </c>
      <c r="P431" s="10" t="s">
        <v>1105</v>
      </c>
      <c r="Q431" s="10" t="s">
        <v>1105</v>
      </c>
    </row>
    <row r="432" spans="1:17">
      <c r="A432" s="10" t="s">
        <v>416</v>
      </c>
      <c r="B432" s="10" t="s">
        <v>417</v>
      </c>
      <c r="C432" s="10" t="s">
        <v>147</v>
      </c>
      <c r="D432" s="10" t="s">
        <v>29</v>
      </c>
      <c r="E432" s="10" t="s">
        <v>29</v>
      </c>
      <c r="F432" s="10" t="s">
        <v>42</v>
      </c>
      <c r="G432" s="10" t="s">
        <v>42</v>
      </c>
      <c r="H432" s="10" t="s">
        <v>29</v>
      </c>
      <c r="I432" s="10" t="s">
        <v>1148</v>
      </c>
      <c r="J432" s="10" t="s">
        <v>1114</v>
      </c>
      <c r="K432" s="10" t="s">
        <v>1124</v>
      </c>
      <c r="L432" s="10" t="s">
        <v>954</v>
      </c>
      <c r="M432" s="10" t="s">
        <v>954</v>
      </c>
      <c r="N432" s="10" t="s">
        <v>1104</v>
      </c>
      <c r="O432" s="10" t="s">
        <v>1203</v>
      </c>
      <c r="P432" s="10" t="s">
        <v>1105</v>
      </c>
      <c r="Q432" s="10" t="s">
        <v>1105</v>
      </c>
    </row>
    <row r="433" spans="1:17">
      <c r="A433" s="10" t="s">
        <v>414</v>
      </c>
      <c r="B433" s="10" t="s">
        <v>415</v>
      </c>
      <c r="C433" s="10" t="s">
        <v>147</v>
      </c>
      <c r="D433" s="10" t="s">
        <v>29</v>
      </c>
      <c r="E433" s="10" t="s">
        <v>29</v>
      </c>
      <c r="F433" s="10" t="s">
        <v>38</v>
      </c>
      <c r="G433" s="10" t="s">
        <v>38</v>
      </c>
      <c r="H433" s="10" t="s">
        <v>29</v>
      </c>
      <c r="I433" s="10" t="s">
        <v>1148</v>
      </c>
      <c r="J433" s="10" t="s">
        <v>1114</v>
      </c>
      <c r="K433" s="10" t="s">
        <v>1124</v>
      </c>
      <c r="L433" s="10" t="s">
        <v>954</v>
      </c>
      <c r="M433" s="10" t="s">
        <v>954</v>
      </c>
      <c r="N433" s="10" t="s">
        <v>1104</v>
      </c>
      <c r="O433" s="10" t="s">
        <v>1203</v>
      </c>
      <c r="P433" s="10" t="s">
        <v>1105</v>
      </c>
      <c r="Q433" s="10" t="s">
        <v>1105</v>
      </c>
    </row>
    <row r="434" spans="1:17">
      <c r="A434" s="10" t="s">
        <v>412</v>
      </c>
      <c r="B434" s="10" t="s">
        <v>413</v>
      </c>
      <c r="C434" s="10" t="s">
        <v>147</v>
      </c>
      <c r="D434" s="10" t="s">
        <v>29</v>
      </c>
      <c r="E434" s="10" t="s">
        <v>29</v>
      </c>
      <c r="F434" s="10" t="s">
        <v>38</v>
      </c>
      <c r="G434" s="10" t="s">
        <v>38</v>
      </c>
      <c r="H434" s="10" t="s">
        <v>29</v>
      </c>
      <c r="I434" s="10" t="s">
        <v>1116</v>
      </c>
      <c r="J434" s="10" t="s">
        <v>1135</v>
      </c>
      <c r="K434" s="10" t="s">
        <v>1124</v>
      </c>
      <c r="L434" s="10" t="s">
        <v>954</v>
      </c>
      <c r="M434" s="10" t="s">
        <v>954</v>
      </c>
      <c r="N434" s="10" t="s">
        <v>1104</v>
      </c>
      <c r="O434" s="10" t="s">
        <v>1203</v>
      </c>
      <c r="P434" s="10" t="s">
        <v>1105</v>
      </c>
      <c r="Q434" s="10" t="s">
        <v>1105</v>
      </c>
    </row>
    <row r="435" spans="1:17">
      <c r="A435" s="10" t="s">
        <v>410</v>
      </c>
      <c r="B435" s="10" t="s">
        <v>411</v>
      </c>
      <c r="C435" s="10" t="s">
        <v>137</v>
      </c>
      <c r="D435" s="10" t="s">
        <v>29</v>
      </c>
      <c r="E435" s="10" t="s">
        <v>29</v>
      </c>
      <c r="F435" s="10" t="s">
        <v>38</v>
      </c>
      <c r="G435" s="10" t="s">
        <v>38</v>
      </c>
      <c r="H435" s="10" t="s">
        <v>29</v>
      </c>
      <c r="I435" s="10" t="s">
        <v>1148</v>
      </c>
      <c r="J435" s="10" t="s">
        <v>1114</v>
      </c>
      <c r="K435" s="10" t="s">
        <v>1124</v>
      </c>
      <c r="L435" s="10" t="s">
        <v>954</v>
      </c>
      <c r="M435" s="10" t="s">
        <v>954</v>
      </c>
      <c r="N435" s="10" t="s">
        <v>1104</v>
      </c>
      <c r="O435" s="10" t="s">
        <v>1203</v>
      </c>
      <c r="P435" s="10" t="s">
        <v>1105</v>
      </c>
      <c r="Q435" s="10" t="s">
        <v>1105</v>
      </c>
    </row>
    <row r="436" spans="1:17">
      <c r="A436" s="10" t="s">
        <v>408</v>
      </c>
      <c r="B436" s="10" t="s">
        <v>409</v>
      </c>
      <c r="C436" s="10" t="s">
        <v>137</v>
      </c>
      <c r="D436" s="10" t="s">
        <v>29</v>
      </c>
      <c r="E436" s="10" t="s">
        <v>29</v>
      </c>
      <c r="F436" s="10" t="s">
        <v>42</v>
      </c>
      <c r="G436" s="10" t="s">
        <v>42</v>
      </c>
      <c r="H436" s="10" t="s">
        <v>29</v>
      </c>
      <c r="I436" s="10" t="s">
        <v>1116</v>
      </c>
      <c r="J436" s="10" t="s">
        <v>1135</v>
      </c>
      <c r="K436" s="10" t="s">
        <v>1124</v>
      </c>
      <c r="L436" s="10" t="s">
        <v>954</v>
      </c>
      <c r="M436" s="10" t="s">
        <v>954</v>
      </c>
      <c r="N436" s="10" t="s">
        <v>1104</v>
      </c>
      <c r="O436" s="10" t="s">
        <v>1203</v>
      </c>
      <c r="P436" s="10" t="s">
        <v>1105</v>
      </c>
      <c r="Q436" s="10" t="s">
        <v>1105</v>
      </c>
    </row>
    <row r="437" spans="1:17">
      <c r="A437" s="10" t="s">
        <v>406</v>
      </c>
      <c r="B437" s="10" t="s">
        <v>407</v>
      </c>
      <c r="C437" s="10" t="s">
        <v>137</v>
      </c>
      <c r="D437" s="10" t="s">
        <v>29</v>
      </c>
      <c r="E437" s="10" t="s">
        <v>29</v>
      </c>
      <c r="F437" s="10" t="s">
        <v>38</v>
      </c>
      <c r="G437" s="10" t="s">
        <v>38</v>
      </c>
      <c r="H437" s="10" t="s">
        <v>29</v>
      </c>
      <c r="I437" s="10" t="s">
        <v>1116</v>
      </c>
      <c r="J437" s="10" t="s">
        <v>1135</v>
      </c>
      <c r="K437" s="10" t="s">
        <v>1124</v>
      </c>
      <c r="L437" s="10" t="s">
        <v>954</v>
      </c>
      <c r="M437" s="10" t="s">
        <v>954</v>
      </c>
      <c r="N437" s="10" t="s">
        <v>1104</v>
      </c>
      <c r="O437" s="10" t="s">
        <v>1203</v>
      </c>
      <c r="P437" s="10" t="s">
        <v>1105</v>
      </c>
      <c r="Q437" s="10" t="s">
        <v>1105</v>
      </c>
    </row>
    <row r="438" spans="1:17">
      <c r="A438" s="10" t="s">
        <v>404</v>
      </c>
      <c r="B438" s="10" t="s">
        <v>405</v>
      </c>
      <c r="C438" s="10" t="s">
        <v>147</v>
      </c>
      <c r="D438" s="10" t="s">
        <v>29</v>
      </c>
      <c r="E438" s="10" t="s">
        <v>29</v>
      </c>
      <c r="F438" s="10" t="s">
        <v>42</v>
      </c>
      <c r="G438" s="10" t="s">
        <v>42</v>
      </c>
      <c r="H438" s="10" t="s">
        <v>29</v>
      </c>
      <c r="I438" s="10" t="s">
        <v>1116</v>
      </c>
      <c r="J438" s="10" t="s">
        <v>1135</v>
      </c>
      <c r="K438" s="10" t="s">
        <v>1124</v>
      </c>
      <c r="L438" s="10" t="s">
        <v>954</v>
      </c>
      <c r="M438" s="10" t="s">
        <v>954</v>
      </c>
      <c r="N438" s="10" t="s">
        <v>1104</v>
      </c>
      <c r="O438" s="10" t="s">
        <v>1203</v>
      </c>
      <c r="P438" s="10" t="s">
        <v>1105</v>
      </c>
      <c r="Q438" s="10" t="s">
        <v>1105</v>
      </c>
    </row>
    <row r="439" spans="1:17">
      <c r="A439" s="10" t="s">
        <v>402</v>
      </c>
      <c r="B439" s="10" t="s">
        <v>403</v>
      </c>
      <c r="C439" s="10" t="s">
        <v>147</v>
      </c>
      <c r="D439" s="10" t="s">
        <v>29</v>
      </c>
      <c r="E439" s="10" t="s">
        <v>29</v>
      </c>
      <c r="F439" s="10" t="s">
        <v>38</v>
      </c>
      <c r="G439" s="10" t="s">
        <v>38</v>
      </c>
      <c r="H439" s="10" t="s">
        <v>29</v>
      </c>
      <c r="I439" s="10" t="s">
        <v>1116</v>
      </c>
      <c r="J439" s="10" t="s">
        <v>1135</v>
      </c>
      <c r="K439" s="10" t="s">
        <v>1124</v>
      </c>
      <c r="L439" s="10" t="s">
        <v>954</v>
      </c>
      <c r="M439" s="10" t="s">
        <v>954</v>
      </c>
      <c r="N439" s="10" t="s">
        <v>1104</v>
      </c>
      <c r="O439" s="10" t="s">
        <v>1203</v>
      </c>
      <c r="P439" s="10" t="s">
        <v>1105</v>
      </c>
      <c r="Q439" s="10" t="s">
        <v>1105</v>
      </c>
    </row>
    <row r="440" spans="1:17">
      <c r="A440" s="10" t="s">
        <v>400</v>
      </c>
      <c r="B440" s="10" t="s">
        <v>401</v>
      </c>
      <c r="C440" s="10" t="s">
        <v>147</v>
      </c>
      <c r="D440" s="10" t="s">
        <v>29</v>
      </c>
      <c r="E440" s="10" t="s">
        <v>29</v>
      </c>
      <c r="F440" s="10" t="s">
        <v>22</v>
      </c>
      <c r="G440" s="10" t="s">
        <v>22</v>
      </c>
      <c r="H440" s="10" t="s">
        <v>29</v>
      </c>
      <c r="I440" s="10" t="s">
        <v>1116</v>
      </c>
      <c r="J440" s="10" t="s">
        <v>1135</v>
      </c>
      <c r="K440" s="10" t="s">
        <v>1124</v>
      </c>
      <c r="L440" s="10" t="s">
        <v>954</v>
      </c>
      <c r="M440" s="10" t="s">
        <v>954</v>
      </c>
      <c r="N440" s="10" t="s">
        <v>1104</v>
      </c>
      <c r="O440" s="10" t="s">
        <v>1203</v>
      </c>
      <c r="P440" s="10" t="s">
        <v>1105</v>
      </c>
      <c r="Q440" s="10" t="s">
        <v>1105</v>
      </c>
    </row>
    <row r="441" spans="1:17">
      <c r="A441" s="10" t="s">
        <v>398</v>
      </c>
      <c r="B441" s="10" t="s">
        <v>399</v>
      </c>
      <c r="C441" s="10" t="s">
        <v>147</v>
      </c>
      <c r="D441" s="10" t="s">
        <v>29</v>
      </c>
      <c r="E441" s="10" t="s">
        <v>29</v>
      </c>
      <c r="F441" s="10" t="s">
        <v>250</v>
      </c>
      <c r="G441" s="10" t="s">
        <v>250</v>
      </c>
      <c r="H441" s="10" t="s">
        <v>29</v>
      </c>
      <c r="I441" s="10" t="s">
        <v>1116</v>
      </c>
      <c r="J441" s="10" t="s">
        <v>1135</v>
      </c>
      <c r="K441" s="10" t="s">
        <v>1124</v>
      </c>
      <c r="L441" s="10" t="s">
        <v>954</v>
      </c>
      <c r="M441" s="10" t="s">
        <v>954</v>
      </c>
      <c r="N441" s="10" t="s">
        <v>1104</v>
      </c>
      <c r="O441" s="10" t="s">
        <v>1203</v>
      </c>
      <c r="P441" s="10" t="s">
        <v>1105</v>
      </c>
      <c r="Q441" s="10" t="s">
        <v>1105</v>
      </c>
    </row>
    <row r="442" spans="1:17">
      <c r="A442" s="10" t="s">
        <v>397</v>
      </c>
      <c r="B442" s="10" t="s">
        <v>144</v>
      </c>
      <c r="C442" s="10" t="s">
        <v>71</v>
      </c>
      <c r="D442" s="10" t="s">
        <v>29</v>
      </c>
      <c r="E442" s="10" t="s">
        <v>29</v>
      </c>
      <c r="F442" s="10" t="s">
        <v>51</v>
      </c>
      <c r="G442" s="10" t="s">
        <v>22</v>
      </c>
      <c r="H442" s="10" t="s">
        <v>29</v>
      </c>
      <c r="I442" s="10" t="s">
        <v>1111</v>
      </c>
      <c r="J442" s="10" t="s">
        <v>1402</v>
      </c>
      <c r="K442" s="10" t="s">
        <v>1403</v>
      </c>
      <c r="L442" s="10" t="s">
        <v>954</v>
      </c>
      <c r="M442" s="10" t="s">
        <v>954</v>
      </c>
      <c r="N442" s="10" t="s">
        <v>1104</v>
      </c>
      <c r="O442" s="10" t="s">
        <v>1203</v>
      </c>
      <c r="P442" s="10" t="s">
        <v>1105</v>
      </c>
      <c r="Q442" s="10" t="s">
        <v>1105</v>
      </c>
    </row>
    <row r="443" spans="1:17">
      <c r="A443" s="10" t="s">
        <v>395</v>
      </c>
      <c r="B443" s="10" t="s">
        <v>396</v>
      </c>
      <c r="C443" s="10" t="s">
        <v>18</v>
      </c>
      <c r="D443" s="10" t="s">
        <v>19</v>
      </c>
      <c r="E443" s="10" t="s">
        <v>20</v>
      </c>
      <c r="F443" s="10" t="s">
        <v>21</v>
      </c>
      <c r="G443" s="10" t="s">
        <v>22</v>
      </c>
      <c r="H443" s="10" t="s">
        <v>23</v>
      </c>
      <c r="I443" s="10" t="s">
        <v>1116</v>
      </c>
      <c r="J443" s="10" t="s">
        <v>1114</v>
      </c>
      <c r="K443" s="10" t="s">
        <v>1210</v>
      </c>
      <c r="L443" s="10" t="s">
        <v>954</v>
      </c>
      <c r="M443" s="10" t="s">
        <v>954</v>
      </c>
      <c r="N443" s="10" t="s">
        <v>1104</v>
      </c>
      <c r="O443" s="10" t="s">
        <v>1203</v>
      </c>
      <c r="P443" s="10" t="s">
        <v>1105</v>
      </c>
      <c r="Q443" s="10" t="s">
        <v>1105</v>
      </c>
    </row>
    <row r="444" spans="1:17">
      <c r="A444" s="10" t="s">
        <v>392</v>
      </c>
      <c r="B444" s="10" t="s">
        <v>393</v>
      </c>
      <c r="C444" s="10" t="s">
        <v>18</v>
      </c>
      <c r="D444" s="10" t="s">
        <v>107</v>
      </c>
      <c r="E444" s="10" t="s">
        <v>394</v>
      </c>
      <c r="F444" s="10" t="s">
        <v>30</v>
      </c>
      <c r="G444" s="10" t="s">
        <v>22</v>
      </c>
      <c r="H444" s="10" t="s">
        <v>110</v>
      </c>
      <c r="I444" s="10" t="s">
        <v>1116</v>
      </c>
      <c r="J444" s="10" t="s">
        <v>1135</v>
      </c>
      <c r="K444" s="10" t="s">
        <v>1124</v>
      </c>
      <c r="L444" s="10" t="s">
        <v>947</v>
      </c>
      <c r="M444" s="10" t="s">
        <v>1119</v>
      </c>
      <c r="N444" s="10" t="s">
        <v>1104</v>
      </c>
      <c r="O444" s="10" t="s">
        <v>1131</v>
      </c>
      <c r="P444" s="10" t="s">
        <v>1105</v>
      </c>
      <c r="Q444" s="10" t="s">
        <v>1105</v>
      </c>
    </row>
    <row r="445" spans="1:17">
      <c r="A445" s="10" t="s">
        <v>390</v>
      </c>
      <c r="B445" s="10" t="s">
        <v>391</v>
      </c>
      <c r="C445" s="10" t="s">
        <v>18</v>
      </c>
      <c r="D445" s="10" t="s">
        <v>80</v>
      </c>
      <c r="E445" s="10" t="s">
        <v>384</v>
      </c>
      <c r="F445" s="10" t="s">
        <v>385</v>
      </c>
      <c r="G445" s="10" t="s">
        <v>22</v>
      </c>
      <c r="H445" s="10" t="s">
        <v>83</v>
      </c>
      <c r="I445" s="10" t="s">
        <v>1217</v>
      </c>
      <c r="J445" s="10" t="s">
        <v>1101</v>
      </c>
      <c r="K445" s="10" t="s">
        <v>1218</v>
      </c>
      <c r="L445" s="10" t="s">
        <v>947</v>
      </c>
      <c r="M445" s="10" t="s">
        <v>1103</v>
      </c>
      <c r="N445" s="10" t="s">
        <v>1104</v>
      </c>
      <c r="O445" s="10" t="s">
        <v>1265</v>
      </c>
      <c r="P445" s="10" t="s">
        <v>1105</v>
      </c>
      <c r="Q445" s="10" t="s">
        <v>1105</v>
      </c>
    </row>
    <row r="446" spans="1:17">
      <c r="A446" s="10" t="s">
        <v>1404</v>
      </c>
      <c r="B446" s="10" t="s">
        <v>1405</v>
      </c>
      <c r="C446" s="10" t="s">
        <v>18</v>
      </c>
      <c r="D446" s="10" t="s">
        <v>107</v>
      </c>
      <c r="E446" s="10" t="s">
        <v>632</v>
      </c>
      <c r="F446" s="10" t="s">
        <v>618</v>
      </c>
      <c r="G446" s="10" t="s">
        <v>156</v>
      </c>
      <c r="H446" s="10" t="s">
        <v>110</v>
      </c>
      <c r="I446" s="10" t="s">
        <v>1125</v>
      </c>
      <c r="J446" s="10" t="s">
        <v>1114</v>
      </c>
      <c r="K446" s="10" t="s">
        <v>1126</v>
      </c>
      <c r="L446" s="10" t="s">
        <v>947</v>
      </c>
      <c r="M446" s="10" t="s">
        <v>1119</v>
      </c>
      <c r="N446" s="10" t="s">
        <v>1104</v>
      </c>
      <c r="O446" s="10" t="s">
        <v>623</v>
      </c>
      <c r="P446" s="10" t="s">
        <v>1105</v>
      </c>
      <c r="Q446" s="10" t="s">
        <v>1105</v>
      </c>
    </row>
    <row r="447" spans="1:17">
      <c r="A447" s="10" t="s">
        <v>1406</v>
      </c>
      <c r="B447" s="10" t="s">
        <v>1407</v>
      </c>
      <c r="C447" s="10" t="s">
        <v>18</v>
      </c>
      <c r="D447" s="10" t="s">
        <v>107</v>
      </c>
      <c r="E447" s="10" t="s">
        <v>617</v>
      </c>
      <c r="F447" s="10" t="s">
        <v>618</v>
      </c>
      <c r="G447" s="10" t="s">
        <v>156</v>
      </c>
      <c r="H447" s="10" t="s">
        <v>110</v>
      </c>
      <c r="I447" s="10" t="s">
        <v>1127</v>
      </c>
      <c r="J447" s="10" t="s">
        <v>1128</v>
      </c>
      <c r="K447" s="10" t="s">
        <v>1126</v>
      </c>
      <c r="L447" s="10" t="s">
        <v>947</v>
      </c>
      <c r="M447" s="10" t="s">
        <v>1129</v>
      </c>
      <c r="N447" s="10" t="s">
        <v>1104</v>
      </c>
      <c r="O447" s="10" t="s">
        <v>1408</v>
      </c>
      <c r="P447" s="10" t="s">
        <v>1105</v>
      </c>
      <c r="Q447" s="10" t="s">
        <v>1105</v>
      </c>
    </row>
    <row r="448" spans="1:17">
      <c r="A448" s="10" t="s">
        <v>1409</v>
      </c>
      <c r="B448" s="10" t="s">
        <v>1410</v>
      </c>
      <c r="C448" s="10" t="s">
        <v>18</v>
      </c>
      <c r="D448" s="10" t="s">
        <v>107</v>
      </c>
      <c r="E448" s="10" t="s">
        <v>617</v>
      </c>
      <c r="F448" s="10" t="s">
        <v>618</v>
      </c>
      <c r="G448" s="10" t="s">
        <v>156</v>
      </c>
      <c r="H448" s="10" t="s">
        <v>110</v>
      </c>
      <c r="I448" s="10" t="s">
        <v>1127</v>
      </c>
      <c r="J448" s="10" t="s">
        <v>1128</v>
      </c>
      <c r="K448" s="10" t="s">
        <v>1126</v>
      </c>
      <c r="L448" s="10" t="s">
        <v>947</v>
      </c>
      <c r="M448" s="10" t="s">
        <v>1129</v>
      </c>
      <c r="N448" s="10" t="s">
        <v>1104</v>
      </c>
      <c r="O448" s="10" t="s">
        <v>377</v>
      </c>
      <c r="P448" s="10" t="s">
        <v>1105</v>
      </c>
      <c r="Q448" s="10" t="s">
        <v>1105</v>
      </c>
    </row>
    <row r="449" spans="1:17">
      <c r="A449" s="10" t="s">
        <v>386</v>
      </c>
      <c r="B449" s="10" t="s">
        <v>387</v>
      </c>
      <c r="C449" s="10" t="s">
        <v>18</v>
      </c>
      <c r="D449" s="10" t="s">
        <v>80</v>
      </c>
      <c r="E449" s="10" t="s">
        <v>388</v>
      </c>
      <c r="F449" s="10" t="s">
        <v>389</v>
      </c>
      <c r="G449" s="10" t="s">
        <v>22</v>
      </c>
      <c r="H449" s="10" t="s">
        <v>83</v>
      </c>
      <c r="I449" s="10" t="s">
        <v>1268</v>
      </c>
      <c r="J449" s="10" t="s">
        <v>1135</v>
      </c>
      <c r="K449" s="10" t="s">
        <v>1269</v>
      </c>
      <c r="L449" s="10" t="s">
        <v>947</v>
      </c>
      <c r="M449" s="10" t="s">
        <v>1129</v>
      </c>
      <c r="N449" s="10" t="s">
        <v>1104</v>
      </c>
      <c r="O449" s="10" t="s">
        <v>1146</v>
      </c>
      <c r="P449" s="10" t="s">
        <v>1105</v>
      </c>
      <c r="Q449" s="10" t="s">
        <v>1105</v>
      </c>
    </row>
    <row r="450" spans="1:17">
      <c r="A450" s="10" t="s">
        <v>382</v>
      </c>
      <c r="B450" s="10" t="s">
        <v>383</v>
      </c>
      <c r="C450" s="10" t="s">
        <v>18</v>
      </c>
      <c r="D450" s="10" t="s">
        <v>80</v>
      </c>
      <c r="E450" s="10" t="s">
        <v>384</v>
      </c>
      <c r="F450" s="10" t="s">
        <v>385</v>
      </c>
      <c r="G450" s="10" t="s">
        <v>22</v>
      </c>
      <c r="H450" s="10" t="s">
        <v>83</v>
      </c>
      <c r="I450" s="10" t="s">
        <v>1219</v>
      </c>
      <c r="J450" s="10" t="s">
        <v>1135</v>
      </c>
      <c r="K450" s="10" t="s">
        <v>1220</v>
      </c>
      <c r="L450" s="10" t="s">
        <v>947</v>
      </c>
      <c r="M450" s="10" t="s">
        <v>1119</v>
      </c>
      <c r="N450" s="10" t="s">
        <v>1104</v>
      </c>
      <c r="O450" s="10" t="s">
        <v>1131</v>
      </c>
      <c r="P450" s="10" t="s">
        <v>1105</v>
      </c>
      <c r="Q450" s="10" t="s">
        <v>1105</v>
      </c>
    </row>
    <row r="451" spans="1:17">
      <c r="A451" s="10" t="s">
        <v>378</v>
      </c>
      <c r="B451" s="10" t="s">
        <v>379</v>
      </c>
      <c r="C451" s="10" t="s">
        <v>18</v>
      </c>
      <c r="D451" s="10" t="s">
        <v>80</v>
      </c>
      <c r="E451" s="10" t="s">
        <v>380</v>
      </c>
      <c r="F451" s="10" t="s">
        <v>381</v>
      </c>
      <c r="G451" s="10" t="s">
        <v>22</v>
      </c>
      <c r="H451" s="10" t="s">
        <v>83</v>
      </c>
      <c r="I451" s="10" t="s">
        <v>1219</v>
      </c>
      <c r="J451" s="10" t="s">
        <v>1135</v>
      </c>
      <c r="K451" s="10" t="s">
        <v>1220</v>
      </c>
      <c r="L451" s="10" t="s">
        <v>947</v>
      </c>
      <c r="M451" s="10" t="s">
        <v>1119</v>
      </c>
      <c r="N451" s="10" t="s">
        <v>1104</v>
      </c>
      <c r="O451" s="10" t="s">
        <v>1146</v>
      </c>
      <c r="P451" s="10" t="s">
        <v>1105</v>
      </c>
      <c r="Q451" s="10" t="s">
        <v>1105</v>
      </c>
    </row>
    <row r="452" spans="1:17">
      <c r="A452" s="10" t="s">
        <v>1411</v>
      </c>
      <c r="B452" s="10" t="s">
        <v>1412</v>
      </c>
      <c r="C452" s="10" t="s">
        <v>18</v>
      </c>
      <c r="D452" s="10" t="s">
        <v>107</v>
      </c>
      <c r="E452" s="10" t="s">
        <v>360</v>
      </c>
      <c r="F452" s="10" t="s">
        <v>361</v>
      </c>
      <c r="G452" s="10" t="s">
        <v>250</v>
      </c>
      <c r="H452" s="10" t="s">
        <v>110</v>
      </c>
      <c r="I452" s="10" t="s">
        <v>1127</v>
      </c>
      <c r="J452" s="10" t="s">
        <v>1128</v>
      </c>
      <c r="K452" s="10" t="s">
        <v>1126</v>
      </c>
      <c r="L452" s="10" t="s">
        <v>947</v>
      </c>
      <c r="M452" s="10" t="s">
        <v>1129</v>
      </c>
      <c r="N452" s="10" t="s">
        <v>1104</v>
      </c>
      <c r="O452" s="10" t="s">
        <v>205</v>
      </c>
      <c r="P452" s="10" t="s">
        <v>1105</v>
      </c>
      <c r="Q452" s="10" t="s">
        <v>1105</v>
      </c>
    </row>
    <row r="453" spans="1:17">
      <c r="A453" s="10" t="s">
        <v>375</v>
      </c>
      <c r="B453" s="10" t="s">
        <v>376</v>
      </c>
      <c r="C453" s="10" t="s">
        <v>18</v>
      </c>
      <c r="D453" s="10" t="s">
        <v>107</v>
      </c>
      <c r="E453" s="10" t="s">
        <v>360</v>
      </c>
      <c r="F453" s="10" t="s">
        <v>361</v>
      </c>
      <c r="G453" s="10" t="s">
        <v>250</v>
      </c>
      <c r="H453" s="10" t="s">
        <v>110</v>
      </c>
      <c r="I453" s="10" t="s">
        <v>1127</v>
      </c>
      <c r="J453" s="10" t="s">
        <v>1128</v>
      </c>
      <c r="K453" s="10" t="s">
        <v>1126</v>
      </c>
      <c r="L453" s="10" t="s">
        <v>947</v>
      </c>
      <c r="M453" s="10" t="s">
        <v>1129</v>
      </c>
      <c r="N453" s="10" t="s">
        <v>1104</v>
      </c>
      <c r="O453" s="10" t="s">
        <v>205</v>
      </c>
      <c r="P453" s="10" t="s">
        <v>1105</v>
      </c>
      <c r="Q453" s="10" t="s">
        <v>1105</v>
      </c>
    </row>
    <row r="454" spans="1:17">
      <c r="A454" s="10" t="s">
        <v>1413</v>
      </c>
      <c r="B454" s="10" t="s">
        <v>1414</v>
      </c>
      <c r="C454" s="10" t="s">
        <v>18</v>
      </c>
      <c r="D454" s="10" t="s">
        <v>107</v>
      </c>
      <c r="E454" s="10" t="s">
        <v>632</v>
      </c>
      <c r="F454" s="10" t="s">
        <v>618</v>
      </c>
      <c r="G454" s="10" t="s">
        <v>156</v>
      </c>
      <c r="H454" s="10" t="s">
        <v>110</v>
      </c>
      <c r="I454" s="10" t="s">
        <v>1127</v>
      </c>
      <c r="J454" s="10" t="s">
        <v>1128</v>
      </c>
      <c r="K454" s="10" t="s">
        <v>1126</v>
      </c>
      <c r="L454" s="10" t="s">
        <v>947</v>
      </c>
      <c r="M454" s="10" t="s">
        <v>1129</v>
      </c>
      <c r="N454" s="10" t="s">
        <v>1104</v>
      </c>
      <c r="O454" s="10" t="s">
        <v>377</v>
      </c>
      <c r="P454" s="10" t="s">
        <v>1105</v>
      </c>
      <c r="Q454" s="10" t="s">
        <v>1105</v>
      </c>
    </row>
    <row r="455" spans="1:17">
      <c r="A455" s="10" t="s">
        <v>1415</v>
      </c>
      <c r="B455" s="10" t="s">
        <v>1416</v>
      </c>
      <c r="C455" s="10" t="s">
        <v>18</v>
      </c>
      <c r="D455" s="10" t="s">
        <v>107</v>
      </c>
      <c r="E455" s="10" t="s">
        <v>531</v>
      </c>
      <c r="F455" s="10" t="s">
        <v>532</v>
      </c>
      <c r="G455" s="10" t="s">
        <v>42</v>
      </c>
      <c r="H455" s="10" t="s">
        <v>110</v>
      </c>
      <c r="I455" s="10" t="s">
        <v>1127</v>
      </c>
      <c r="J455" s="10" t="s">
        <v>1128</v>
      </c>
      <c r="K455" s="10" t="s">
        <v>1126</v>
      </c>
      <c r="L455" s="10" t="s">
        <v>947</v>
      </c>
      <c r="M455" s="10" t="s">
        <v>1129</v>
      </c>
      <c r="N455" s="10" t="s">
        <v>1104</v>
      </c>
      <c r="O455" s="10" t="s">
        <v>1408</v>
      </c>
      <c r="P455" s="10" t="s">
        <v>1105</v>
      </c>
      <c r="Q455" s="10" t="s">
        <v>1105</v>
      </c>
    </row>
    <row r="456" spans="1:17">
      <c r="A456" s="10" t="s">
        <v>1417</v>
      </c>
      <c r="B456" s="10" t="s">
        <v>1418</v>
      </c>
      <c r="C456" s="10" t="s">
        <v>18</v>
      </c>
      <c r="D456" s="10" t="s">
        <v>107</v>
      </c>
      <c r="E456" s="10" t="s">
        <v>531</v>
      </c>
      <c r="F456" s="10" t="s">
        <v>532</v>
      </c>
      <c r="G456" s="10" t="s">
        <v>42</v>
      </c>
      <c r="H456" s="10" t="s">
        <v>110</v>
      </c>
      <c r="I456" s="10" t="s">
        <v>1137</v>
      </c>
      <c r="J456" s="10" t="s">
        <v>1128</v>
      </c>
      <c r="K456" s="10" t="s">
        <v>1138</v>
      </c>
      <c r="L456" s="10" t="s">
        <v>947</v>
      </c>
      <c r="M456" s="10" t="s">
        <v>1129</v>
      </c>
      <c r="N456" s="10" t="s">
        <v>1104</v>
      </c>
      <c r="O456" s="10" t="s">
        <v>1408</v>
      </c>
      <c r="P456" s="10" t="s">
        <v>1105</v>
      </c>
      <c r="Q456" s="10" t="s">
        <v>1105</v>
      </c>
    </row>
    <row r="457" spans="1:17">
      <c r="A457" s="10" t="s">
        <v>373</v>
      </c>
      <c r="B457" s="10" t="s">
        <v>374</v>
      </c>
      <c r="C457" s="10" t="s">
        <v>18</v>
      </c>
      <c r="D457" s="10" t="s">
        <v>107</v>
      </c>
      <c r="E457" s="10" t="s">
        <v>365</v>
      </c>
      <c r="F457" s="10" t="s">
        <v>366</v>
      </c>
      <c r="G457" s="10" t="s">
        <v>38</v>
      </c>
      <c r="H457" s="10" t="s">
        <v>110</v>
      </c>
      <c r="I457" s="10" t="s">
        <v>1130</v>
      </c>
      <c r="J457" s="10" t="s">
        <v>1101</v>
      </c>
      <c r="K457" s="10" t="s">
        <v>1101</v>
      </c>
      <c r="L457" s="10" t="s">
        <v>947</v>
      </c>
      <c r="M457" s="10" t="s">
        <v>1103</v>
      </c>
      <c r="N457" s="10" t="s">
        <v>1104</v>
      </c>
      <c r="O457" s="10" t="s">
        <v>1265</v>
      </c>
      <c r="P457" s="10" t="s">
        <v>1105</v>
      </c>
      <c r="Q457" s="10" t="s">
        <v>1105</v>
      </c>
    </row>
    <row r="458" spans="1:17">
      <c r="A458" s="10" t="s">
        <v>371</v>
      </c>
      <c r="B458" s="10" t="s">
        <v>372</v>
      </c>
      <c r="C458" s="10" t="s">
        <v>18</v>
      </c>
      <c r="D458" s="10" t="s">
        <v>107</v>
      </c>
      <c r="E458" s="10" t="s">
        <v>365</v>
      </c>
      <c r="F458" s="10" t="s">
        <v>366</v>
      </c>
      <c r="G458" s="10" t="s">
        <v>38</v>
      </c>
      <c r="H458" s="10" t="s">
        <v>110</v>
      </c>
      <c r="I458" s="10" t="s">
        <v>1125</v>
      </c>
      <c r="J458" s="10" t="s">
        <v>1114</v>
      </c>
      <c r="K458" s="10" t="s">
        <v>1126</v>
      </c>
      <c r="L458" s="10" t="s">
        <v>947</v>
      </c>
      <c r="M458" s="10" t="s">
        <v>1119</v>
      </c>
      <c r="N458" s="10" t="s">
        <v>1104</v>
      </c>
      <c r="O458" s="10" t="s">
        <v>1131</v>
      </c>
      <c r="P458" s="10" t="s">
        <v>1105</v>
      </c>
      <c r="Q458" s="10" t="s">
        <v>1105</v>
      </c>
    </row>
    <row r="459" spans="1:17">
      <c r="A459" s="10" t="s">
        <v>369</v>
      </c>
      <c r="B459" s="10" t="s">
        <v>370</v>
      </c>
      <c r="C459" s="10" t="s">
        <v>18</v>
      </c>
      <c r="D459" s="10" t="s">
        <v>107</v>
      </c>
      <c r="E459" s="10" t="s">
        <v>365</v>
      </c>
      <c r="F459" s="10" t="s">
        <v>366</v>
      </c>
      <c r="G459" s="10" t="s">
        <v>38</v>
      </c>
      <c r="H459" s="10" t="s">
        <v>110</v>
      </c>
      <c r="I459" s="10" t="s">
        <v>1127</v>
      </c>
      <c r="J459" s="10" t="s">
        <v>1128</v>
      </c>
      <c r="K459" s="10" t="s">
        <v>1126</v>
      </c>
      <c r="L459" s="10" t="s">
        <v>947</v>
      </c>
      <c r="M459" s="10" t="s">
        <v>1129</v>
      </c>
      <c r="N459" s="10" t="s">
        <v>1104</v>
      </c>
      <c r="O459" s="10" t="s">
        <v>1136</v>
      </c>
      <c r="P459" s="10" t="s">
        <v>1105</v>
      </c>
      <c r="Q459" s="10" t="s">
        <v>1105</v>
      </c>
    </row>
    <row r="460" spans="1:17">
      <c r="A460" s="10" t="s">
        <v>367</v>
      </c>
      <c r="B460" s="10" t="s">
        <v>368</v>
      </c>
      <c r="C460" s="10" t="s">
        <v>18</v>
      </c>
      <c r="D460" s="10" t="s">
        <v>107</v>
      </c>
      <c r="E460" s="10" t="s">
        <v>365</v>
      </c>
      <c r="F460" s="10" t="s">
        <v>366</v>
      </c>
      <c r="G460" s="10" t="s">
        <v>38</v>
      </c>
      <c r="H460" s="10" t="s">
        <v>110</v>
      </c>
      <c r="I460" s="10" t="s">
        <v>1137</v>
      </c>
      <c r="J460" s="10" t="s">
        <v>1128</v>
      </c>
      <c r="K460" s="10" t="s">
        <v>1138</v>
      </c>
      <c r="L460" s="10" t="s">
        <v>947</v>
      </c>
      <c r="M460" s="10" t="s">
        <v>1129</v>
      </c>
      <c r="N460" s="10" t="s">
        <v>1104</v>
      </c>
      <c r="O460" s="10" t="s">
        <v>1136</v>
      </c>
      <c r="P460" s="10" t="s">
        <v>1105</v>
      </c>
      <c r="Q460" s="10" t="s">
        <v>1105</v>
      </c>
    </row>
    <row r="461" spans="1:17">
      <c r="A461" s="10" t="s">
        <v>363</v>
      </c>
      <c r="B461" s="10" t="s">
        <v>364</v>
      </c>
      <c r="C461" s="10" t="s">
        <v>18</v>
      </c>
      <c r="D461" s="10" t="s">
        <v>107</v>
      </c>
      <c r="E461" s="10" t="s">
        <v>365</v>
      </c>
      <c r="F461" s="10" t="s">
        <v>366</v>
      </c>
      <c r="G461" s="10" t="s">
        <v>38</v>
      </c>
      <c r="H461" s="10" t="s">
        <v>110</v>
      </c>
      <c r="I461" s="10" t="s">
        <v>1116</v>
      </c>
      <c r="J461" s="10" t="s">
        <v>1135</v>
      </c>
      <c r="K461" s="10" t="s">
        <v>1124</v>
      </c>
      <c r="L461" s="10" t="s">
        <v>947</v>
      </c>
      <c r="M461" s="10" t="s">
        <v>1119</v>
      </c>
      <c r="N461" s="10" t="s">
        <v>1104</v>
      </c>
      <c r="O461" s="10" t="s">
        <v>1131</v>
      </c>
      <c r="P461" s="10" t="s">
        <v>1105</v>
      </c>
      <c r="Q461" s="10" t="s">
        <v>1105</v>
      </c>
    </row>
    <row r="462" spans="1:17">
      <c r="A462" s="10" t="s">
        <v>1419</v>
      </c>
      <c r="B462" s="10" t="s">
        <v>1420</v>
      </c>
      <c r="C462" s="10" t="s">
        <v>18</v>
      </c>
      <c r="D462" s="10" t="s">
        <v>107</v>
      </c>
      <c r="E462" s="10" t="s">
        <v>632</v>
      </c>
      <c r="F462" s="10" t="s">
        <v>618</v>
      </c>
      <c r="G462" s="10" t="s">
        <v>156</v>
      </c>
      <c r="H462" s="10" t="s">
        <v>110</v>
      </c>
      <c r="I462" s="10" t="s">
        <v>1125</v>
      </c>
      <c r="J462" s="10" t="s">
        <v>1114</v>
      </c>
      <c r="K462" s="10" t="s">
        <v>1126</v>
      </c>
      <c r="L462" s="10" t="s">
        <v>947</v>
      </c>
      <c r="M462" s="10" t="s">
        <v>1119</v>
      </c>
      <c r="N462" s="10" t="s">
        <v>1104</v>
      </c>
      <c r="O462" s="10" t="s">
        <v>623</v>
      </c>
      <c r="P462" s="10" t="s">
        <v>1105</v>
      </c>
      <c r="Q462" s="10" t="s">
        <v>1105</v>
      </c>
    </row>
    <row r="463" spans="1:17">
      <c r="A463" s="10" t="s">
        <v>1421</v>
      </c>
      <c r="B463" s="10" t="s">
        <v>1422</v>
      </c>
      <c r="C463" s="10" t="s">
        <v>18</v>
      </c>
      <c r="D463" s="10" t="s">
        <v>107</v>
      </c>
      <c r="E463" s="10" t="s">
        <v>617</v>
      </c>
      <c r="F463" s="10" t="s">
        <v>618</v>
      </c>
      <c r="G463" s="10" t="s">
        <v>156</v>
      </c>
      <c r="H463" s="10" t="s">
        <v>110</v>
      </c>
      <c r="I463" s="10" t="s">
        <v>1125</v>
      </c>
      <c r="J463" s="10" t="s">
        <v>1114</v>
      </c>
      <c r="K463" s="10" t="s">
        <v>1126</v>
      </c>
      <c r="L463" s="10" t="s">
        <v>947</v>
      </c>
      <c r="M463" s="10" t="s">
        <v>1119</v>
      </c>
      <c r="N463" s="10" t="s">
        <v>1104</v>
      </c>
      <c r="O463" s="10" t="s">
        <v>623</v>
      </c>
      <c r="P463" s="10" t="s">
        <v>1105</v>
      </c>
      <c r="Q463" s="10" t="s">
        <v>1105</v>
      </c>
    </row>
    <row r="464" spans="1:17">
      <c r="A464" s="10" t="s">
        <v>1423</v>
      </c>
      <c r="B464" s="10" t="s">
        <v>1424</v>
      </c>
      <c r="C464" s="10" t="s">
        <v>18</v>
      </c>
      <c r="D464" s="10" t="s">
        <v>107</v>
      </c>
      <c r="E464" s="10" t="s">
        <v>617</v>
      </c>
      <c r="F464" s="10" t="s">
        <v>618</v>
      </c>
      <c r="G464" s="10" t="s">
        <v>156</v>
      </c>
      <c r="H464" s="10" t="s">
        <v>110</v>
      </c>
      <c r="I464" s="10" t="s">
        <v>1125</v>
      </c>
      <c r="J464" s="10" t="s">
        <v>1114</v>
      </c>
      <c r="K464" s="10" t="s">
        <v>1126</v>
      </c>
      <c r="L464" s="10" t="s">
        <v>947</v>
      </c>
      <c r="M464" s="10" t="s">
        <v>1119</v>
      </c>
      <c r="N464" s="10" t="s">
        <v>1104</v>
      </c>
      <c r="O464" s="10" t="s">
        <v>623</v>
      </c>
      <c r="P464" s="10" t="s">
        <v>1105</v>
      </c>
      <c r="Q464" s="10" t="s">
        <v>1105</v>
      </c>
    </row>
    <row r="465" spans="1:17">
      <c r="A465" s="10" t="s">
        <v>1425</v>
      </c>
      <c r="B465" s="10" t="s">
        <v>1426</v>
      </c>
      <c r="C465" s="10" t="s">
        <v>18</v>
      </c>
      <c r="D465" s="10" t="s">
        <v>107</v>
      </c>
      <c r="E465" s="10" t="s">
        <v>531</v>
      </c>
      <c r="F465" s="10" t="s">
        <v>532</v>
      </c>
      <c r="G465" s="10" t="s">
        <v>42</v>
      </c>
      <c r="H465" s="10" t="s">
        <v>110</v>
      </c>
      <c r="I465" s="10" t="s">
        <v>1125</v>
      </c>
      <c r="J465" s="10" t="s">
        <v>1114</v>
      </c>
      <c r="K465" s="10" t="s">
        <v>1126</v>
      </c>
      <c r="L465" s="10" t="s">
        <v>947</v>
      </c>
      <c r="M465" s="10" t="s">
        <v>1119</v>
      </c>
      <c r="N465" s="10" t="s">
        <v>1104</v>
      </c>
      <c r="O465" s="10" t="s">
        <v>623</v>
      </c>
      <c r="P465" s="10" t="s">
        <v>1105</v>
      </c>
      <c r="Q465" s="10" t="s">
        <v>1105</v>
      </c>
    </row>
    <row r="466" spans="1:17">
      <c r="A466" s="10" t="s">
        <v>1427</v>
      </c>
      <c r="B466" s="10" t="s">
        <v>1428</v>
      </c>
      <c r="C466" s="10" t="s">
        <v>18</v>
      </c>
      <c r="D466" s="10" t="s">
        <v>107</v>
      </c>
      <c r="E466" s="10" t="s">
        <v>632</v>
      </c>
      <c r="F466" s="10" t="s">
        <v>618</v>
      </c>
      <c r="G466" s="10" t="s">
        <v>156</v>
      </c>
      <c r="H466" s="10" t="s">
        <v>110</v>
      </c>
      <c r="I466" s="10" t="s">
        <v>1111</v>
      </c>
      <c r="J466" s="10" t="s">
        <v>1101</v>
      </c>
      <c r="K466" s="10" t="s">
        <v>1112</v>
      </c>
      <c r="L466" s="10" t="s">
        <v>947</v>
      </c>
      <c r="M466" s="10" t="s">
        <v>1103</v>
      </c>
      <c r="N466" s="10" t="s">
        <v>1104</v>
      </c>
      <c r="O466" s="10" t="s">
        <v>216</v>
      </c>
      <c r="P466" s="10" t="s">
        <v>1105</v>
      </c>
      <c r="Q466" s="10" t="s">
        <v>1105</v>
      </c>
    </row>
    <row r="467" spans="1:17">
      <c r="A467" s="10" t="s">
        <v>1429</v>
      </c>
      <c r="B467" s="10" t="s">
        <v>1430</v>
      </c>
      <c r="C467" s="10" t="s">
        <v>18</v>
      </c>
      <c r="D467" s="10" t="s">
        <v>107</v>
      </c>
      <c r="E467" s="10" t="s">
        <v>676</v>
      </c>
      <c r="F467" s="10" t="s">
        <v>618</v>
      </c>
      <c r="G467" s="10" t="s">
        <v>156</v>
      </c>
      <c r="H467" s="10" t="s">
        <v>110</v>
      </c>
      <c r="I467" s="10" t="s">
        <v>1111</v>
      </c>
      <c r="J467" s="10" t="s">
        <v>1101</v>
      </c>
      <c r="K467" s="10" t="s">
        <v>1112</v>
      </c>
      <c r="L467" s="10" t="s">
        <v>947</v>
      </c>
      <c r="M467" s="10" t="s">
        <v>1103</v>
      </c>
      <c r="N467" s="10" t="s">
        <v>1104</v>
      </c>
      <c r="O467" s="10" t="s">
        <v>205</v>
      </c>
      <c r="P467" s="10" t="s">
        <v>1105</v>
      </c>
      <c r="Q467" s="10" t="s">
        <v>1105</v>
      </c>
    </row>
    <row r="468" spans="1:17">
      <c r="A468" s="10" t="s">
        <v>1431</v>
      </c>
      <c r="B468" s="10" t="s">
        <v>1432</v>
      </c>
      <c r="C468" s="10" t="s">
        <v>18</v>
      </c>
      <c r="D468" s="10" t="s">
        <v>107</v>
      </c>
      <c r="E468" s="10" t="s">
        <v>676</v>
      </c>
      <c r="F468" s="10" t="s">
        <v>618</v>
      </c>
      <c r="G468" s="10" t="s">
        <v>156</v>
      </c>
      <c r="H468" s="10" t="s">
        <v>110</v>
      </c>
      <c r="I468" s="10" t="s">
        <v>1111</v>
      </c>
      <c r="J468" s="10" t="s">
        <v>1101</v>
      </c>
      <c r="K468" s="10" t="s">
        <v>1112</v>
      </c>
      <c r="L468" s="10" t="s">
        <v>947</v>
      </c>
      <c r="M468" s="10" t="s">
        <v>1103</v>
      </c>
      <c r="N468" s="10" t="s">
        <v>1104</v>
      </c>
      <c r="O468" s="10" t="s">
        <v>205</v>
      </c>
      <c r="P468" s="10" t="s">
        <v>1105</v>
      </c>
      <c r="Q468" s="10" t="s">
        <v>1105</v>
      </c>
    </row>
    <row r="469" spans="1:17">
      <c r="A469" s="10" t="s">
        <v>1433</v>
      </c>
      <c r="B469" s="10" t="s">
        <v>1434</v>
      </c>
      <c r="C469" s="10" t="s">
        <v>18</v>
      </c>
      <c r="D469" s="10" t="s">
        <v>107</v>
      </c>
      <c r="E469" s="10" t="s">
        <v>632</v>
      </c>
      <c r="F469" s="10" t="s">
        <v>618</v>
      </c>
      <c r="G469" s="10" t="s">
        <v>156</v>
      </c>
      <c r="H469" s="10" t="s">
        <v>110</v>
      </c>
      <c r="I469" s="10" t="s">
        <v>1111</v>
      </c>
      <c r="J469" s="10" t="s">
        <v>1101</v>
      </c>
      <c r="K469" s="10" t="s">
        <v>1112</v>
      </c>
      <c r="L469" s="10" t="s">
        <v>947</v>
      </c>
      <c r="M469" s="10" t="s">
        <v>1103</v>
      </c>
      <c r="N469" s="10" t="s">
        <v>1104</v>
      </c>
      <c r="O469" s="10" t="s">
        <v>623</v>
      </c>
      <c r="P469" s="10" t="s">
        <v>1105</v>
      </c>
      <c r="Q469" s="10" t="s">
        <v>1105</v>
      </c>
    </row>
    <row r="470" spans="1:17">
      <c r="A470" s="10" t="s">
        <v>1435</v>
      </c>
      <c r="B470" s="10" t="s">
        <v>1436</v>
      </c>
      <c r="C470" s="10" t="s">
        <v>18</v>
      </c>
      <c r="D470" s="10" t="s">
        <v>107</v>
      </c>
      <c r="E470" s="10" t="s">
        <v>632</v>
      </c>
      <c r="F470" s="10" t="s">
        <v>618</v>
      </c>
      <c r="G470" s="10" t="s">
        <v>156</v>
      </c>
      <c r="H470" s="10" t="s">
        <v>110</v>
      </c>
      <c r="I470" s="10" t="s">
        <v>1111</v>
      </c>
      <c r="J470" s="10" t="s">
        <v>1101</v>
      </c>
      <c r="K470" s="10" t="s">
        <v>1112</v>
      </c>
      <c r="L470" s="10" t="s">
        <v>947</v>
      </c>
      <c r="M470" s="10" t="s">
        <v>1103</v>
      </c>
      <c r="N470" s="10" t="s">
        <v>1104</v>
      </c>
      <c r="O470" s="10" t="s">
        <v>205</v>
      </c>
      <c r="P470" s="10" t="s">
        <v>1105</v>
      </c>
      <c r="Q470" s="10" t="s">
        <v>1105</v>
      </c>
    </row>
    <row r="471" spans="1:17">
      <c r="A471" s="10" t="s">
        <v>1437</v>
      </c>
      <c r="B471" s="10" t="s">
        <v>1438</v>
      </c>
      <c r="C471" s="10" t="s">
        <v>18</v>
      </c>
      <c r="D471" s="10" t="s">
        <v>107</v>
      </c>
      <c r="E471" s="10" t="s">
        <v>617</v>
      </c>
      <c r="F471" s="10" t="s">
        <v>618</v>
      </c>
      <c r="G471" s="10" t="s">
        <v>156</v>
      </c>
      <c r="H471" s="10" t="s">
        <v>110</v>
      </c>
      <c r="I471" s="10" t="s">
        <v>1111</v>
      </c>
      <c r="J471" s="10" t="s">
        <v>1101</v>
      </c>
      <c r="K471" s="10" t="s">
        <v>1112</v>
      </c>
      <c r="L471" s="10" t="s">
        <v>947</v>
      </c>
      <c r="M471" s="10" t="s">
        <v>1103</v>
      </c>
      <c r="N471" s="10" t="s">
        <v>1104</v>
      </c>
      <c r="O471" s="10" t="s">
        <v>216</v>
      </c>
      <c r="P471" s="10" t="s">
        <v>1105</v>
      </c>
      <c r="Q471" s="10" t="s">
        <v>1105</v>
      </c>
    </row>
    <row r="472" spans="1:17">
      <c r="A472" s="10" t="s">
        <v>1439</v>
      </c>
      <c r="B472" s="10" t="s">
        <v>1440</v>
      </c>
      <c r="C472" s="10" t="s">
        <v>18</v>
      </c>
      <c r="D472" s="10" t="s">
        <v>107</v>
      </c>
      <c r="E472" s="10" t="s">
        <v>617</v>
      </c>
      <c r="F472" s="10" t="s">
        <v>618</v>
      </c>
      <c r="G472" s="10" t="s">
        <v>156</v>
      </c>
      <c r="H472" s="10" t="s">
        <v>110</v>
      </c>
      <c r="I472" s="10" t="s">
        <v>1111</v>
      </c>
      <c r="J472" s="10" t="s">
        <v>1101</v>
      </c>
      <c r="K472" s="10" t="s">
        <v>1112</v>
      </c>
      <c r="L472" s="10" t="s">
        <v>947</v>
      </c>
      <c r="M472" s="10" t="s">
        <v>1103</v>
      </c>
      <c r="N472" s="10" t="s">
        <v>1104</v>
      </c>
      <c r="O472" s="10" t="s">
        <v>377</v>
      </c>
      <c r="P472" s="10" t="s">
        <v>1105</v>
      </c>
      <c r="Q472" s="10" t="s">
        <v>1105</v>
      </c>
    </row>
    <row r="473" spans="1:17">
      <c r="A473" s="10" t="s">
        <v>1441</v>
      </c>
      <c r="B473" s="10" t="s">
        <v>1442</v>
      </c>
      <c r="C473" s="10" t="s">
        <v>18</v>
      </c>
      <c r="D473" s="10" t="s">
        <v>107</v>
      </c>
      <c r="E473" s="10" t="s">
        <v>531</v>
      </c>
      <c r="F473" s="10" t="s">
        <v>532</v>
      </c>
      <c r="G473" s="10" t="s">
        <v>42</v>
      </c>
      <c r="H473" s="10" t="s">
        <v>110</v>
      </c>
      <c r="I473" s="10" t="s">
        <v>1116</v>
      </c>
      <c r="J473" s="10" t="s">
        <v>1117</v>
      </c>
      <c r="K473" s="10" t="s">
        <v>1118</v>
      </c>
      <c r="L473" s="10" t="s">
        <v>947</v>
      </c>
      <c r="M473" s="10" t="s">
        <v>1119</v>
      </c>
      <c r="N473" s="10" t="s">
        <v>1104</v>
      </c>
      <c r="O473" s="10" t="s">
        <v>362</v>
      </c>
      <c r="P473" s="10" t="s">
        <v>1105</v>
      </c>
      <c r="Q473" s="10" t="s">
        <v>1105</v>
      </c>
    </row>
    <row r="474" spans="1:17">
      <c r="A474" s="10" t="s">
        <v>1443</v>
      </c>
      <c r="B474" s="10" t="s">
        <v>1444</v>
      </c>
      <c r="C474" s="10" t="s">
        <v>18</v>
      </c>
      <c r="D474" s="10" t="s">
        <v>107</v>
      </c>
      <c r="E474" s="10" t="s">
        <v>531</v>
      </c>
      <c r="F474" s="10" t="s">
        <v>532</v>
      </c>
      <c r="G474" s="10" t="s">
        <v>42</v>
      </c>
      <c r="H474" s="10" t="s">
        <v>110</v>
      </c>
      <c r="I474" s="10" t="s">
        <v>1130</v>
      </c>
      <c r="J474" s="10" t="s">
        <v>1101</v>
      </c>
      <c r="K474" s="10" t="s">
        <v>1101</v>
      </c>
      <c r="L474" s="10" t="s">
        <v>947</v>
      </c>
      <c r="M474" s="10" t="s">
        <v>1103</v>
      </c>
      <c r="N474" s="10" t="s">
        <v>1104</v>
      </c>
      <c r="O474" s="10" t="s">
        <v>623</v>
      </c>
      <c r="P474" s="10" t="s">
        <v>1105</v>
      </c>
      <c r="Q474" s="10" t="s">
        <v>1105</v>
      </c>
    </row>
    <row r="475" spans="1:17">
      <c r="A475" s="10" t="s">
        <v>1445</v>
      </c>
      <c r="B475" s="10" t="s">
        <v>1446</v>
      </c>
      <c r="C475" s="10" t="s">
        <v>18</v>
      </c>
      <c r="D475" s="10" t="s">
        <v>107</v>
      </c>
      <c r="E475" s="10" t="s">
        <v>617</v>
      </c>
      <c r="F475" s="10" t="s">
        <v>618</v>
      </c>
      <c r="G475" s="10" t="s">
        <v>156</v>
      </c>
      <c r="H475" s="10" t="s">
        <v>110</v>
      </c>
      <c r="I475" s="10" t="s">
        <v>1116</v>
      </c>
      <c r="J475" s="10" t="s">
        <v>1117</v>
      </c>
      <c r="K475" s="10" t="s">
        <v>1118</v>
      </c>
      <c r="L475" s="10" t="s">
        <v>947</v>
      </c>
      <c r="M475" s="10" t="s">
        <v>1119</v>
      </c>
      <c r="N475" s="10" t="s">
        <v>1104</v>
      </c>
      <c r="O475" s="10" t="s">
        <v>362</v>
      </c>
      <c r="P475" s="10" t="s">
        <v>1105</v>
      </c>
      <c r="Q475" s="10" t="s">
        <v>1105</v>
      </c>
    </row>
    <row r="476" spans="1:17">
      <c r="A476" s="10" t="s">
        <v>358</v>
      </c>
      <c r="B476" s="10" t="s">
        <v>359</v>
      </c>
      <c r="C476" s="10" t="s">
        <v>18</v>
      </c>
      <c r="D476" s="10" t="s">
        <v>107</v>
      </c>
      <c r="E476" s="10" t="s">
        <v>360</v>
      </c>
      <c r="F476" s="10" t="s">
        <v>361</v>
      </c>
      <c r="G476" s="10" t="s">
        <v>250</v>
      </c>
      <c r="H476" s="10" t="s">
        <v>110</v>
      </c>
      <c r="I476" s="10" t="s">
        <v>1211</v>
      </c>
      <c r="J476" s="10" t="s">
        <v>1117</v>
      </c>
      <c r="K476" s="10" t="s">
        <v>1447</v>
      </c>
      <c r="L476" s="10" t="s">
        <v>947</v>
      </c>
      <c r="M476" s="10" t="s">
        <v>1119</v>
      </c>
      <c r="N476" s="10" t="s">
        <v>1104</v>
      </c>
      <c r="O476" s="10" t="s">
        <v>205</v>
      </c>
      <c r="P476" s="10" t="s">
        <v>1105</v>
      </c>
      <c r="Q476" s="10" t="s">
        <v>1105</v>
      </c>
    </row>
    <row r="477" spans="1:17">
      <c r="A477" s="10" t="s">
        <v>1448</v>
      </c>
      <c r="B477" s="10" t="s">
        <v>1449</v>
      </c>
      <c r="C477" s="10" t="s">
        <v>18</v>
      </c>
      <c r="D477" s="10" t="s">
        <v>107</v>
      </c>
      <c r="E477" s="10" t="s">
        <v>676</v>
      </c>
      <c r="F477" s="10" t="s">
        <v>618</v>
      </c>
      <c r="G477" s="10" t="s">
        <v>156</v>
      </c>
      <c r="H477" s="10" t="s">
        <v>110</v>
      </c>
      <c r="I477" s="10" t="s">
        <v>1116</v>
      </c>
      <c r="J477" s="10" t="s">
        <v>1117</v>
      </c>
      <c r="K477" s="10" t="s">
        <v>1118</v>
      </c>
      <c r="L477" s="10" t="s">
        <v>947</v>
      </c>
      <c r="M477" s="10" t="s">
        <v>1119</v>
      </c>
      <c r="N477" s="10" t="s">
        <v>1104</v>
      </c>
      <c r="O477" s="10" t="s">
        <v>205</v>
      </c>
      <c r="P477" s="10" t="s">
        <v>1105</v>
      </c>
      <c r="Q477" s="10" t="s">
        <v>1105</v>
      </c>
    </row>
    <row r="478" spans="1:17">
      <c r="A478" s="10" t="s">
        <v>1450</v>
      </c>
      <c r="B478" s="10" t="s">
        <v>1449</v>
      </c>
      <c r="C478" s="10" t="s">
        <v>18</v>
      </c>
      <c r="D478" s="10" t="s">
        <v>107</v>
      </c>
      <c r="E478" s="10" t="s">
        <v>676</v>
      </c>
      <c r="F478" s="10" t="s">
        <v>618</v>
      </c>
      <c r="G478" s="10" t="s">
        <v>156</v>
      </c>
      <c r="H478" s="10" t="s">
        <v>110</v>
      </c>
      <c r="I478" s="10" t="s">
        <v>1116</v>
      </c>
      <c r="J478" s="10" t="s">
        <v>1117</v>
      </c>
      <c r="K478" s="10" t="s">
        <v>1118</v>
      </c>
      <c r="L478" s="10" t="s">
        <v>947</v>
      </c>
      <c r="M478" s="10" t="s">
        <v>1119</v>
      </c>
      <c r="N478" s="10" t="s">
        <v>1104</v>
      </c>
      <c r="O478" s="10" t="s">
        <v>205</v>
      </c>
      <c r="P478" s="10" t="s">
        <v>1105</v>
      </c>
      <c r="Q478" s="10" t="s">
        <v>1105</v>
      </c>
    </row>
    <row r="479" spans="1:17">
      <c r="A479" s="10" t="s">
        <v>1451</v>
      </c>
      <c r="B479" s="10" t="s">
        <v>1452</v>
      </c>
      <c r="C479" s="10" t="s">
        <v>18</v>
      </c>
      <c r="D479" s="10" t="s">
        <v>107</v>
      </c>
      <c r="E479" s="10" t="s">
        <v>632</v>
      </c>
      <c r="F479" s="10" t="s">
        <v>618</v>
      </c>
      <c r="G479" s="10" t="s">
        <v>156</v>
      </c>
      <c r="H479" s="10" t="s">
        <v>110</v>
      </c>
      <c r="I479" s="10" t="s">
        <v>1116</v>
      </c>
      <c r="J479" s="10" t="s">
        <v>1117</v>
      </c>
      <c r="K479" s="10" t="s">
        <v>1118</v>
      </c>
      <c r="L479" s="10" t="s">
        <v>947</v>
      </c>
      <c r="M479" s="10" t="s">
        <v>1119</v>
      </c>
      <c r="N479" s="10" t="s">
        <v>1104</v>
      </c>
      <c r="O479" s="10" t="s">
        <v>362</v>
      </c>
      <c r="P479" s="10" t="s">
        <v>1105</v>
      </c>
      <c r="Q479" s="10" t="s">
        <v>1105</v>
      </c>
    </row>
    <row r="480" spans="1:17">
      <c r="A480" s="10" t="s">
        <v>1453</v>
      </c>
      <c r="B480" s="10" t="s">
        <v>1454</v>
      </c>
      <c r="C480" s="10" t="s">
        <v>18</v>
      </c>
      <c r="D480" s="10" t="s">
        <v>107</v>
      </c>
      <c r="E480" s="10" t="s">
        <v>632</v>
      </c>
      <c r="F480" s="10" t="s">
        <v>618</v>
      </c>
      <c r="G480" s="10" t="s">
        <v>156</v>
      </c>
      <c r="H480" s="10" t="s">
        <v>110</v>
      </c>
      <c r="I480" s="10" t="s">
        <v>1116</v>
      </c>
      <c r="J480" s="10" t="s">
        <v>1117</v>
      </c>
      <c r="K480" s="10" t="s">
        <v>1118</v>
      </c>
      <c r="L480" s="10" t="s">
        <v>947</v>
      </c>
      <c r="M480" s="10" t="s">
        <v>1119</v>
      </c>
      <c r="N480" s="10" t="s">
        <v>1104</v>
      </c>
      <c r="O480" s="10" t="s">
        <v>362</v>
      </c>
      <c r="P480" s="10" t="s">
        <v>1105</v>
      </c>
      <c r="Q480" s="10" t="s">
        <v>1105</v>
      </c>
    </row>
    <row r="481" spans="1:17">
      <c r="A481" s="10" t="s">
        <v>1455</v>
      </c>
      <c r="B481" s="10" t="s">
        <v>1456</v>
      </c>
      <c r="C481" s="10" t="s">
        <v>18</v>
      </c>
      <c r="D481" s="10" t="s">
        <v>107</v>
      </c>
      <c r="E481" s="10" t="s">
        <v>632</v>
      </c>
      <c r="F481" s="10" t="s">
        <v>618</v>
      </c>
      <c r="G481" s="10" t="s">
        <v>156</v>
      </c>
      <c r="H481" s="10" t="s">
        <v>110</v>
      </c>
      <c r="I481" s="10" t="s">
        <v>1116</v>
      </c>
      <c r="J481" s="10" t="s">
        <v>1117</v>
      </c>
      <c r="K481" s="10" t="s">
        <v>1118</v>
      </c>
      <c r="L481" s="10" t="s">
        <v>947</v>
      </c>
      <c r="M481" s="10" t="s">
        <v>1119</v>
      </c>
      <c r="N481" s="10" t="s">
        <v>1104</v>
      </c>
      <c r="O481" s="10" t="s">
        <v>205</v>
      </c>
      <c r="P481" s="10" t="s">
        <v>1105</v>
      </c>
      <c r="Q481" s="10" t="s">
        <v>1105</v>
      </c>
    </row>
    <row r="482" spans="1:17">
      <c r="A482" s="10" t="s">
        <v>1457</v>
      </c>
      <c r="B482" s="10" t="s">
        <v>1458</v>
      </c>
      <c r="C482" s="10" t="s">
        <v>18</v>
      </c>
      <c r="D482" s="10" t="s">
        <v>107</v>
      </c>
      <c r="E482" s="10" t="s">
        <v>617</v>
      </c>
      <c r="F482" s="10" t="s">
        <v>618</v>
      </c>
      <c r="G482" s="10" t="s">
        <v>156</v>
      </c>
      <c r="H482" s="10" t="s">
        <v>110</v>
      </c>
      <c r="I482" s="10" t="s">
        <v>1116</v>
      </c>
      <c r="J482" s="10" t="s">
        <v>1117</v>
      </c>
      <c r="K482" s="10" t="s">
        <v>1118</v>
      </c>
      <c r="L482" s="10" t="s">
        <v>947</v>
      </c>
      <c r="M482" s="10" t="s">
        <v>1119</v>
      </c>
      <c r="N482" s="10" t="s">
        <v>1104</v>
      </c>
      <c r="O482" s="10" t="s">
        <v>362</v>
      </c>
      <c r="P482" s="10" t="s">
        <v>1105</v>
      </c>
      <c r="Q482" s="10" t="s">
        <v>1105</v>
      </c>
    </row>
    <row r="483" spans="1:17">
      <c r="A483" s="10" t="s">
        <v>356</v>
      </c>
      <c r="B483" s="10" t="s">
        <v>357</v>
      </c>
      <c r="C483" s="10" t="s">
        <v>18</v>
      </c>
      <c r="D483" s="10" t="s">
        <v>19</v>
      </c>
      <c r="E483" s="10" t="s">
        <v>20</v>
      </c>
      <c r="F483" s="10" t="s">
        <v>30</v>
      </c>
      <c r="G483" s="10" t="s">
        <v>22</v>
      </c>
      <c r="H483" s="10" t="s">
        <v>23</v>
      </c>
      <c r="I483" s="10" t="s">
        <v>1116</v>
      </c>
      <c r="J483" s="10" t="s">
        <v>1123</v>
      </c>
      <c r="K483" s="10" t="s">
        <v>1308</v>
      </c>
      <c r="L483" s="10" t="s">
        <v>954</v>
      </c>
      <c r="M483" s="10" t="s">
        <v>954</v>
      </c>
      <c r="N483" s="10" t="s">
        <v>1104</v>
      </c>
      <c r="O483" s="10" t="s">
        <v>1203</v>
      </c>
      <c r="P483" s="10" t="s">
        <v>1105</v>
      </c>
      <c r="Q483" s="10" t="s">
        <v>1105</v>
      </c>
    </row>
    <row r="484" spans="1:17">
      <c r="A484" s="10" t="s">
        <v>352</v>
      </c>
      <c r="B484" s="10" t="s">
        <v>353</v>
      </c>
      <c r="C484" s="10" t="s">
        <v>354</v>
      </c>
      <c r="D484" s="10" t="s">
        <v>29</v>
      </c>
      <c r="E484" s="10" t="s">
        <v>29</v>
      </c>
      <c r="F484" s="10" t="s">
        <v>355</v>
      </c>
      <c r="G484" s="10" t="s">
        <v>22</v>
      </c>
      <c r="H484" s="10" t="s">
        <v>29</v>
      </c>
      <c r="I484" s="10" t="s">
        <v>1116</v>
      </c>
      <c r="J484" s="10" t="s">
        <v>1123</v>
      </c>
      <c r="K484" s="10" t="s">
        <v>1308</v>
      </c>
      <c r="L484" s="10" t="s">
        <v>954</v>
      </c>
      <c r="M484" s="10" t="s">
        <v>954</v>
      </c>
      <c r="N484" s="10" t="s">
        <v>1104</v>
      </c>
      <c r="O484" s="10" t="s">
        <v>1203</v>
      </c>
      <c r="P484" s="10" t="s">
        <v>1105</v>
      </c>
      <c r="Q484" s="10" t="s">
        <v>1105</v>
      </c>
    </row>
    <row r="485" spans="1:17">
      <c r="A485" s="10" t="s">
        <v>349</v>
      </c>
      <c r="B485" s="10" t="s">
        <v>350</v>
      </c>
      <c r="C485" s="10" t="s">
        <v>59</v>
      </c>
      <c r="D485" s="10" t="s">
        <v>29</v>
      </c>
      <c r="E485" s="10" t="s">
        <v>29</v>
      </c>
      <c r="F485" s="10" t="s">
        <v>156</v>
      </c>
      <c r="G485" s="10" t="s">
        <v>156</v>
      </c>
      <c r="H485" s="10" t="s">
        <v>29</v>
      </c>
      <c r="I485" s="10" t="s">
        <v>1257</v>
      </c>
      <c r="J485" s="10" t="s">
        <v>1135</v>
      </c>
      <c r="K485" s="10" t="s">
        <v>1210</v>
      </c>
      <c r="L485" s="10" t="s">
        <v>947</v>
      </c>
      <c r="M485" s="10" t="s">
        <v>1129</v>
      </c>
      <c r="N485" s="10" t="s">
        <v>1104</v>
      </c>
      <c r="O485" s="10" t="s">
        <v>205</v>
      </c>
      <c r="P485" s="10" t="s">
        <v>1105</v>
      </c>
      <c r="Q485" s="10" t="s">
        <v>1105</v>
      </c>
    </row>
    <row r="486" spans="1:17">
      <c r="A486" s="10" t="s">
        <v>347</v>
      </c>
      <c r="B486" s="10" t="s">
        <v>348</v>
      </c>
      <c r="C486" s="10" t="s">
        <v>59</v>
      </c>
      <c r="D486" s="10" t="s">
        <v>29</v>
      </c>
      <c r="E486" s="10" t="s">
        <v>29</v>
      </c>
      <c r="F486" s="10" t="s">
        <v>156</v>
      </c>
      <c r="G486" s="10" t="s">
        <v>156</v>
      </c>
      <c r="H486" s="10" t="s">
        <v>29</v>
      </c>
      <c r="I486" s="10" t="s">
        <v>1212</v>
      </c>
      <c r="J486" s="10" t="s">
        <v>1135</v>
      </c>
      <c r="K486" s="10" t="s">
        <v>1118</v>
      </c>
      <c r="L486" s="10" t="s">
        <v>947</v>
      </c>
      <c r="M486" s="10" t="s">
        <v>1119</v>
      </c>
      <c r="N486" s="10" t="s">
        <v>1104</v>
      </c>
      <c r="O486" s="10" t="s">
        <v>205</v>
      </c>
      <c r="P486" s="10" t="s">
        <v>1105</v>
      </c>
      <c r="Q486" s="10" t="s">
        <v>1105</v>
      </c>
    </row>
    <row r="487" spans="1:17">
      <c r="A487" s="10" t="s">
        <v>345</v>
      </c>
      <c r="B487" s="10" t="s">
        <v>346</v>
      </c>
      <c r="C487" s="10" t="s">
        <v>59</v>
      </c>
      <c r="D487" s="10" t="s">
        <v>29</v>
      </c>
      <c r="E487" s="10" t="s">
        <v>29</v>
      </c>
      <c r="F487" s="10" t="s">
        <v>156</v>
      </c>
      <c r="G487" s="10" t="s">
        <v>156</v>
      </c>
      <c r="H487" s="10" t="s">
        <v>29</v>
      </c>
      <c r="I487" s="10" t="s">
        <v>1212</v>
      </c>
      <c r="J487" s="10" t="s">
        <v>1135</v>
      </c>
      <c r="K487" s="10" t="s">
        <v>1118</v>
      </c>
      <c r="L487" s="10" t="s">
        <v>947</v>
      </c>
      <c r="M487" s="10" t="s">
        <v>1119</v>
      </c>
      <c r="N487" s="10" t="s">
        <v>1104</v>
      </c>
      <c r="O487" s="10" t="s">
        <v>205</v>
      </c>
      <c r="P487" s="10" t="s">
        <v>1105</v>
      </c>
      <c r="Q487" s="10" t="s">
        <v>1105</v>
      </c>
    </row>
    <row r="488" spans="1:17">
      <c r="A488" s="10" t="s">
        <v>343</v>
      </c>
      <c r="B488" s="10" t="s">
        <v>344</v>
      </c>
      <c r="C488" s="10" t="s">
        <v>137</v>
      </c>
      <c r="D488" s="10" t="s">
        <v>29</v>
      </c>
      <c r="E488" s="10" t="s">
        <v>29</v>
      </c>
      <c r="F488" s="10" t="s">
        <v>21</v>
      </c>
      <c r="G488" s="10" t="s">
        <v>22</v>
      </c>
      <c r="H488" s="10" t="s">
        <v>29</v>
      </c>
      <c r="I488" s="10" t="s">
        <v>1116</v>
      </c>
      <c r="J488" s="10" t="s">
        <v>1135</v>
      </c>
      <c r="K488" s="10" t="s">
        <v>1124</v>
      </c>
      <c r="L488" s="10" t="s">
        <v>947</v>
      </c>
      <c r="M488" s="10" t="s">
        <v>1119</v>
      </c>
      <c r="N488" s="10" t="s">
        <v>1104</v>
      </c>
      <c r="O488" s="10" t="s">
        <v>1146</v>
      </c>
      <c r="P488" s="10" t="s">
        <v>1105</v>
      </c>
      <c r="Q488" s="10" t="s">
        <v>1105</v>
      </c>
    </row>
    <row r="489" spans="1:17">
      <c r="A489" s="10" t="s">
        <v>341</v>
      </c>
      <c r="B489" s="10" t="s">
        <v>342</v>
      </c>
      <c r="C489" s="10" t="s">
        <v>18</v>
      </c>
      <c r="D489" s="10" t="s">
        <v>80</v>
      </c>
      <c r="E489" s="10" t="s">
        <v>81</v>
      </c>
      <c r="F489" s="10" t="s">
        <v>82</v>
      </c>
      <c r="G489" s="10" t="s">
        <v>38</v>
      </c>
      <c r="H489" s="10" t="s">
        <v>83</v>
      </c>
      <c r="I489" s="10" t="s">
        <v>1257</v>
      </c>
      <c r="J489" s="10" t="s">
        <v>1135</v>
      </c>
      <c r="K489" s="10" t="s">
        <v>1210</v>
      </c>
      <c r="L489" s="10" t="s">
        <v>947</v>
      </c>
      <c r="M489" s="10" t="s">
        <v>1129</v>
      </c>
      <c r="N489" s="10" t="s">
        <v>1104</v>
      </c>
      <c r="O489" s="10" t="s">
        <v>1136</v>
      </c>
      <c r="P489" s="10" t="s">
        <v>1105</v>
      </c>
      <c r="Q489" s="10" t="s">
        <v>1105</v>
      </c>
    </row>
    <row r="490" spans="1:17">
      <c r="A490" s="10" t="s">
        <v>339</v>
      </c>
      <c r="B490" s="10" t="s">
        <v>340</v>
      </c>
      <c r="C490" s="10" t="s">
        <v>18</v>
      </c>
      <c r="D490" s="10" t="s">
        <v>80</v>
      </c>
      <c r="E490" s="10" t="s">
        <v>92</v>
      </c>
      <c r="F490" s="10" t="s">
        <v>93</v>
      </c>
      <c r="G490" s="10" t="s">
        <v>42</v>
      </c>
      <c r="H490" s="10" t="s">
        <v>83</v>
      </c>
      <c r="I490" s="10" t="s">
        <v>1257</v>
      </c>
      <c r="J490" s="10" t="s">
        <v>1135</v>
      </c>
      <c r="K490" s="10" t="s">
        <v>1210</v>
      </c>
      <c r="L490" s="10" t="s">
        <v>947</v>
      </c>
      <c r="M490" s="10" t="s">
        <v>1129</v>
      </c>
      <c r="N490" s="10" t="s">
        <v>1104</v>
      </c>
      <c r="O490" s="10" t="s">
        <v>1136</v>
      </c>
      <c r="P490" s="10" t="s">
        <v>1105</v>
      </c>
      <c r="Q490" s="10" t="s">
        <v>1105</v>
      </c>
    </row>
    <row r="491" spans="1:17">
      <c r="A491" s="10" t="s">
        <v>1459</v>
      </c>
      <c r="B491" s="10" t="s">
        <v>1460</v>
      </c>
      <c r="C491" s="10" t="s">
        <v>18</v>
      </c>
      <c r="D491" s="10" t="s">
        <v>107</v>
      </c>
      <c r="E491" s="10" t="s">
        <v>531</v>
      </c>
      <c r="F491" s="10" t="s">
        <v>532</v>
      </c>
      <c r="G491" s="10" t="s">
        <v>42</v>
      </c>
      <c r="H491" s="10" t="s">
        <v>110</v>
      </c>
      <c r="I491" s="10" t="s">
        <v>1137</v>
      </c>
      <c r="J491" s="10" t="s">
        <v>1128</v>
      </c>
      <c r="K491" s="10" t="s">
        <v>1138</v>
      </c>
      <c r="L491" s="10" t="s">
        <v>947</v>
      </c>
      <c r="M491" s="10" t="s">
        <v>1129</v>
      </c>
      <c r="N491" s="10" t="s">
        <v>1104</v>
      </c>
      <c r="O491" s="10" t="s">
        <v>1408</v>
      </c>
      <c r="P491" s="10" t="s">
        <v>1105</v>
      </c>
      <c r="Q491" s="10" t="s">
        <v>1105</v>
      </c>
    </row>
    <row r="492" spans="1:17">
      <c r="A492" s="10" t="s">
        <v>1461</v>
      </c>
      <c r="B492" s="10" t="s">
        <v>1462</v>
      </c>
      <c r="C492" s="10" t="s">
        <v>18</v>
      </c>
      <c r="D492" s="10" t="s">
        <v>107</v>
      </c>
      <c r="E492" s="10" t="s">
        <v>365</v>
      </c>
      <c r="F492" s="10" t="s">
        <v>366</v>
      </c>
      <c r="G492" s="10" t="s">
        <v>38</v>
      </c>
      <c r="H492" s="10" t="s">
        <v>110</v>
      </c>
      <c r="I492" s="10" t="s">
        <v>1137</v>
      </c>
      <c r="J492" s="10" t="s">
        <v>1128</v>
      </c>
      <c r="K492" s="10" t="s">
        <v>1138</v>
      </c>
      <c r="L492" s="10" t="s">
        <v>947</v>
      </c>
      <c r="M492" s="10" t="s">
        <v>1129</v>
      </c>
      <c r="N492" s="10" t="s">
        <v>1104</v>
      </c>
      <c r="O492" s="10" t="s">
        <v>351</v>
      </c>
      <c r="P492" s="10" t="s">
        <v>1105</v>
      </c>
      <c r="Q492" s="10" t="s">
        <v>1105</v>
      </c>
    </row>
    <row r="493" spans="1:17">
      <c r="A493" s="10" t="s">
        <v>337</v>
      </c>
      <c r="B493" s="10" t="s">
        <v>338</v>
      </c>
      <c r="C493" s="10" t="s">
        <v>28</v>
      </c>
      <c r="D493" s="10" t="s">
        <v>29</v>
      </c>
      <c r="E493" s="10" t="s">
        <v>29</v>
      </c>
      <c r="F493" s="10" t="s">
        <v>51</v>
      </c>
      <c r="G493" s="10" t="s">
        <v>22</v>
      </c>
      <c r="H493" s="10" t="s">
        <v>29</v>
      </c>
      <c r="I493" s="10" t="s">
        <v>1116</v>
      </c>
      <c r="J493" s="10" t="s">
        <v>1135</v>
      </c>
      <c r="K493" s="10" t="s">
        <v>1124</v>
      </c>
      <c r="L493" s="10" t="s">
        <v>947</v>
      </c>
      <c r="M493" s="10" t="s">
        <v>1119</v>
      </c>
      <c r="N493" s="10" t="s">
        <v>1104</v>
      </c>
      <c r="O493" s="10" t="s">
        <v>1146</v>
      </c>
      <c r="P493" s="10" t="s">
        <v>1105</v>
      </c>
      <c r="Q493" s="10" t="s">
        <v>1105</v>
      </c>
    </row>
    <row r="494" spans="1:17">
      <c r="A494" s="10" t="s">
        <v>335</v>
      </c>
      <c r="B494" s="10" t="s">
        <v>336</v>
      </c>
      <c r="C494" s="10" t="s">
        <v>28</v>
      </c>
      <c r="D494" s="10" t="s">
        <v>29</v>
      </c>
      <c r="E494" s="10" t="s">
        <v>29</v>
      </c>
      <c r="F494" s="10" t="s">
        <v>56</v>
      </c>
      <c r="G494" s="10" t="s">
        <v>22</v>
      </c>
      <c r="H494" s="10" t="s">
        <v>29</v>
      </c>
      <c r="I494" s="10" t="s">
        <v>1116</v>
      </c>
      <c r="J494" s="10" t="s">
        <v>1135</v>
      </c>
      <c r="K494" s="10" t="s">
        <v>1124</v>
      </c>
      <c r="L494" s="10" t="s">
        <v>947</v>
      </c>
      <c r="M494" s="10" t="s">
        <v>1119</v>
      </c>
      <c r="N494" s="10" t="s">
        <v>1104</v>
      </c>
      <c r="O494" s="10" t="s">
        <v>1146</v>
      </c>
      <c r="P494" s="10" t="s">
        <v>1105</v>
      </c>
      <c r="Q494" s="10" t="s">
        <v>1105</v>
      </c>
    </row>
    <row r="495" spans="1:17">
      <c r="A495" s="10" t="s">
        <v>333</v>
      </c>
      <c r="B495" s="10" t="s">
        <v>334</v>
      </c>
      <c r="C495" s="10" t="s">
        <v>100</v>
      </c>
      <c r="D495" s="10" t="s">
        <v>29</v>
      </c>
      <c r="E495" s="10" t="s">
        <v>29</v>
      </c>
      <c r="F495" s="10" t="s">
        <v>56</v>
      </c>
      <c r="G495" s="10" t="s">
        <v>22</v>
      </c>
      <c r="H495" s="10" t="s">
        <v>29</v>
      </c>
      <c r="I495" s="10" t="s">
        <v>1111</v>
      </c>
      <c r="J495" s="10" t="s">
        <v>1402</v>
      </c>
      <c r="K495" s="10" t="s">
        <v>1403</v>
      </c>
      <c r="L495" s="10" t="s">
        <v>954</v>
      </c>
      <c r="M495" s="10" t="s">
        <v>954</v>
      </c>
      <c r="N495" s="10" t="s">
        <v>1104</v>
      </c>
      <c r="O495" s="10" t="s">
        <v>1203</v>
      </c>
      <c r="P495" s="10" t="s">
        <v>1105</v>
      </c>
      <c r="Q495" s="10" t="s">
        <v>1105</v>
      </c>
    </row>
    <row r="496" spans="1:17">
      <c r="A496" s="10" t="s">
        <v>331</v>
      </c>
      <c r="B496" s="10" t="s">
        <v>332</v>
      </c>
      <c r="C496" s="10" t="s">
        <v>100</v>
      </c>
      <c r="D496" s="10" t="s">
        <v>29</v>
      </c>
      <c r="E496" s="10" t="s">
        <v>29</v>
      </c>
      <c r="F496" s="10" t="s">
        <v>51</v>
      </c>
      <c r="G496" s="10" t="s">
        <v>22</v>
      </c>
      <c r="H496" s="10" t="s">
        <v>29</v>
      </c>
      <c r="I496" s="10" t="s">
        <v>1116</v>
      </c>
      <c r="J496" s="10" t="s">
        <v>1135</v>
      </c>
      <c r="K496" s="10" t="s">
        <v>1124</v>
      </c>
      <c r="L496" s="10" t="s">
        <v>954</v>
      </c>
      <c r="M496" s="10" t="s">
        <v>954</v>
      </c>
      <c r="N496" s="10" t="s">
        <v>1104</v>
      </c>
      <c r="O496" s="10" t="s">
        <v>1203</v>
      </c>
      <c r="P496" s="10" t="s">
        <v>1105</v>
      </c>
      <c r="Q496" s="10" t="s">
        <v>1105</v>
      </c>
    </row>
    <row r="497" spans="1:17">
      <c r="A497" s="10" t="s">
        <v>329</v>
      </c>
      <c r="B497" s="10" t="s">
        <v>330</v>
      </c>
      <c r="C497" s="10" t="s">
        <v>100</v>
      </c>
      <c r="D497" s="10" t="s">
        <v>29</v>
      </c>
      <c r="E497" s="10" t="s">
        <v>29</v>
      </c>
      <c r="F497" s="10" t="s">
        <v>51</v>
      </c>
      <c r="G497" s="10" t="s">
        <v>22</v>
      </c>
      <c r="H497" s="10" t="s">
        <v>29</v>
      </c>
      <c r="I497" s="10" t="s">
        <v>1148</v>
      </c>
      <c r="J497" s="10" t="s">
        <v>1114</v>
      </c>
      <c r="K497" s="10" t="s">
        <v>1124</v>
      </c>
      <c r="L497" s="10" t="s">
        <v>954</v>
      </c>
      <c r="M497" s="10" t="s">
        <v>954</v>
      </c>
      <c r="N497" s="10" t="s">
        <v>1104</v>
      </c>
      <c r="O497" s="10" t="s">
        <v>1203</v>
      </c>
      <c r="P497" s="10" t="s">
        <v>1105</v>
      </c>
      <c r="Q497" s="10" t="s">
        <v>1105</v>
      </c>
    </row>
    <row r="498" spans="1:17">
      <c r="A498" s="10" t="s">
        <v>327</v>
      </c>
      <c r="B498" s="10" t="s">
        <v>328</v>
      </c>
      <c r="C498" s="10" t="s">
        <v>28</v>
      </c>
      <c r="D498" s="10" t="s">
        <v>29</v>
      </c>
      <c r="E498" s="10" t="s">
        <v>29</v>
      </c>
      <c r="F498" s="10" t="s">
        <v>51</v>
      </c>
      <c r="G498" s="10" t="s">
        <v>22</v>
      </c>
      <c r="H498" s="10" t="s">
        <v>29</v>
      </c>
      <c r="I498" s="10" t="s">
        <v>1257</v>
      </c>
      <c r="J498" s="10" t="s">
        <v>1135</v>
      </c>
      <c r="K498" s="10" t="s">
        <v>1210</v>
      </c>
      <c r="L498" s="10" t="s">
        <v>947</v>
      </c>
      <c r="M498" s="10" t="s">
        <v>1129</v>
      </c>
      <c r="N498" s="10" t="s">
        <v>1104</v>
      </c>
      <c r="O498" s="10" t="s">
        <v>1146</v>
      </c>
      <c r="P498" s="10" t="s">
        <v>1105</v>
      </c>
      <c r="Q498" s="10" t="s">
        <v>1105</v>
      </c>
    </row>
    <row r="499" spans="1:17">
      <c r="A499" s="10" t="s">
        <v>325</v>
      </c>
      <c r="B499" s="10" t="s">
        <v>326</v>
      </c>
      <c r="C499" s="10" t="s">
        <v>28</v>
      </c>
      <c r="D499" s="10" t="s">
        <v>29</v>
      </c>
      <c r="E499" s="10" t="s">
        <v>29</v>
      </c>
      <c r="F499" s="10" t="s">
        <v>51</v>
      </c>
      <c r="G499" s="10" t="s">
        <v>22</v>
      </c>
      <c r="H499" s="10" t="s">
        <v>29</v>
      </c>
      <c r="I499" s="10" t="s">
        <v>1122</v>
      </c>
      <c r="J499" s="10" t="s">
        <v>1123</v>
      </c>
      <c r="K499" s="10" t="s">
        <v>1124</v>
      </c>
      <c r="L499" s="10" t="s">
        <v>947</v>
      </c>
      <c r="M499" s="10" t="s">
        <v>1103</v>
      </c>
      <c r="N499" s="10" t="s">
        <v>1104</v>
      </c>
      <c r="O499" s="10" t="s">
        <v>1146</v>
      </c>
      <c r="P499" s="10" t="s">
        <v>1105</v>
      </c>
      <c r="Q499" s="10" t="s">
        <v>1105</v>
      </c>
    </row>
    <row r="500" spans="1:17">
      <c r="A500" s="10" t="s">
        <v>323</v>
      </c>
      <c r="B500" s="10" t="s">
        <v>324</v>
      </c>
      <c r="C500" s="10" t="s">
        <v>28</v>
      </c>
      <c r="D500" s="10" t="s">
        <v>29</v>
      </c>
      <c r="E500" s="10" t="s">
        <v>29</v>
      </c>
      <c r="F500" s="10" t="s">
        <v>51</v>
      </c>
      <c r="G500" s="10" t="s">
        <v>22</v>
      </c>
      <c r="H500" s="10" t="s">
        <v>29</v>
      </c>
      <c r="I500" s="10" t="s">
        <v>1116</v>
      </c>
      <c r="J500" s="10" t="s">
        <v>1135</v>
      </c>
      <c r="K500" s="10" t="s">
        <v>1124</v>
      </c>
      <c r="L500" s="10" t="s">
        <v>947</v>
      </c>
      <c r="M500" s="10" t="s">
        <v>1119</v>
      </c>
      <c r="N500" s="10" t="s">
        <v>1104</v>
      </c>
      <c r="O500" s="10" t="s">
        <v>1146</v>
      </c>
      <c r="P500" s="10" t="s">
        <v>1105</v>
      </c>
      <c r="Q500" s="10" t="s">
        <v>1105</v>
      </c>
    </row>
    <row r="501" spans="1:17">
      <c r="A501" s="10" t="s">
        <v>321</v>
      </c>
      <c r="B501" s="10" t="s">
        <v>322</v>
      </c>
      <c r="C501" s="10" t="s">
        <v>50</v>
      </c>
      <c r="D501" s="10" t="s">
        <v>29</v>
      </c>
      <c r="E501" s="10" t="s">
        <v>29</v>
      </c>
      <c r="F501" s="10" t="s">
        <v>51</v>
      </c>
      <c r="G501" s="10" t="s">
        <v>22</v>
      </c>
      <c r="H501" s="10" t="s">
        <v>29</v>
      </c>
      <c r="I501" s="10" t="s">
        <v>1116</v>
      </c>
      <c r="J501" s="10" t="s">
        <v>1135</v>
      </c>
      <c r="K501" s="10" t="s">
        <v>1124</v>
      </c>
      <c r="L501" s="10" t="s">
        <v>947</v>
      </c>
      <c r="M501" s="10" t="s">
        <v>1119</v>
      </c>
      <c r="N501" s="10" t="s">
        <v>1104</v>
      </c>
      <c r="O501" s="10" t="s">
        <v>1146</v>
      </c>
      <c r="P501" s="10" t="s">
        <v>1105</v>
      </c>
      <c r="Q501" s="10" t="s">
        <v>1105</v>
      </c>
    </row>
    <row r="502" spans="1:17">
      <c r="A502" s="10" t="s">
        <v>319</v>
      </c>
      <c r="B502" s="10" t="s">
        <v>320</v>
      </c>
      <c r="C502" s="10" t="s">
        <v>50</v>
      </c>
      <c r="D502" s="10" t="s">
        <v>29</v>
      </c>
      <c r="E502" s="10" t="s">
        <v>29</v>
      </c>
      <c r="F502" s="10" t="s">
        <v>56</v>
      </c>
      <c r="G502" s="10" t="s">
        <v>22</v>
      </c>
      <c r="H502" s="10" t="s">
        <v>29</v>
      </c>
      <c r="I502" s="10" t="s">
        <v>1116</v>
      </c>
      <c r="J502" s="10" t="s">
        <v>1135</v>
      </c>
      <c r="K502" s="10" t="s">
        <v>1124</v>
      </c>
      <c r="L502" s="10" t="s">
        <v>947</v>
      </c>
      <c r="M502" s="10" t="s">
        <v>1119</v>
      </c>
      <c r="N502" s="10" t="s">
        <v>1104</v>
      </c>
      <c r="O502" s="10" t="s">
        <v>1131</v>
      </c>
      <c r="P502" s="10" t="s">
        <v>1105</v>
      </c>
      <c r="Q502" s="10" t="s">
        <v>1105</v>
      </c>
    </row>
    <row r="503" spans="1:17">
      <c r="A503" s="10" t="s">
        <v>317</v>
      </c>
      <c r="B503" s="10" t="s">
        <v>318</v>
      </c>
      <c r="C503" s="10" t="s">
        <v>50</v>
      </c>
      <c r="D503" s="10" t="s">
        <v>29</v>
      </c>
      <c r="E503" s="10" t="s">
        <v>29</v>
      </c>
      <c r="F503" s="10" t="s">
        <v>51</v>
      </c>
      <c r="G503" s="10" t="s">
        <v>22</v>
      </c>
      <c r="H503" s="10" t="s">
        <v>29</v>
      </c>
      <c r="I503" s="10" t="s">
        <v>1257</v>
      </c>
      <c r="J503" s="10" t="s">
        <v>1135</v>
      </c>
      <c r="K503" s="10" t="s">
        <v>1210</v>
      </c>
      <c r="L503" s="10" t="s">
        <v>947</v>
      </c>
      <c r="M503" s="10" t="s">
        <v>1129</v>
      </c>
      <c r="N503" s="10" t="s">
        <v>1104</v>
      </c>
      <c r="O503" s="10" t="s">
        <v>1146</v>
      </c>
      <c r="P503" s="10" t="s">
        <v>1105</v>
      </c>
      <c r="Q503" s="10" t="s">
        <v>1105</v>
      </c>
    </row>
    <row r="504" spans="1:17">
      <c r="A504" s="10" t="s">
        <v>315</v>
      </c>
      <c r="B504" s="10" t="s">
        <v>316</v>
      </c>
      <c r="C504" s="10" t="s">
        <v>28</v>
      </c>
      <c r="D504" s="10" t="s">
        <v>29</v>
      </c>
      <c r="E504" s="10" t="s">
        <v>29</v>
      </c>
      <c r="F504" s="10" t="s">
        <v>30</v>
      </c>
      <c r="G504" s="10" t="s">
        <v>22</v>
      </c>
      <c r="H504" s="10" t="s">
        <v>29</v>
      </c>
      <c r="I504" s="10" t="s">
        <v>1116</v>
      </c>
      <c r="J504" s="10" t="s">
        <v>1135</v>
      </c>
      <c r="K504" s="10" t="s">
        <v>1124</v>
      </c>
      <c r="L504" s="10" t="s">
        <v>954</v>
      </c>
      <c r="M504" s="10" t="s">
        <v>954</v>
      </c>
      <c r="N504" s="10" t="s">
        <v>1104</v>
      </c>
      <c r="O504" s="10" t="s">
        <v>1203</v>
      </c>
      <c r="P504" s="10" t="s">
        <v>1105</v>
      </c>
      <c r="Q504" s="10" t="s">
        <v>1105</v>
      </c>
    </row>
    <row r="505" spans="1:17">
      <c r="A505" s="10" t="s">
        <v>313</v>
      </c>
      <c r="B505" s="10" t="s">
        <v>314</v>
      </c>
      <c r="C505" s="10" t="s">
        <v>137</v>
      </c>
      <c r="D505" s="10" t="s">
        <v>29</v>
      </c>
      <c r="E505" s="10" t="s">
        <v>29</v>
      </c>
      <c r="F505" s="10" t="s">
        <v>250</v>
      </c>
      <c r="G505" s="10" t="s">
        <v>250</v>
      </c>
      <c r="H505" s="10" t="s">
        <v>29</v>
      </c>
      <c r="I505" s="10" t="s">
        <v>1116</v>
      </c>
      <c r="J505" s="10" t="s">
        <v>1135</v>
      </c>
      <c r="K505" s="10" t="s">
        <v>1124</v>
      </c>
      <c r="L505" s="10" t="s">
        <v>954</v>
      </c>
      <c r="M505" s="10" t="s">
        <v>954</v>
      </c>
      <c r="N505" s="10" t="s">
        <v>1104</v>
      </c>
      <c r="O505" s="10" t="s">
        <v>1203</v>
      </c>
      <c r="P505" s="10" t="s">
        <v>1105</v>
      </c>
      <c r="Q505" s="10" t="s">
        <v>1105</v>
      </c>
    </row>
    <row r="506" spans="1:17">
      <c r="A506" s="10" t="s">
        <v>311</v>
      </c>
      <c r="B506" s="10" t="s">
        <v>312</v>
      </c>
      <c r="C506" s="10" t="s">
        <v>137</v>
      </c>
      <c r="D506" s="10" t="s">
        <v>29</v>
      </c>
      <c r="E506" s="10" t="s">
        <v>29</v>
      </c>
      <c r="F506" s="10" t="s">
        <v>42</v>
      </c>
      <c r="G506" s="10" t="s">
        <v>42</v>
      </c>
      <c r="H506" s="10" t="s">
        <v>29</v>
      </c>
      <c r="I506" s="10" t="s">
        <v>1116</v>
      </c>
      <c r="J506" s="10" t="s">
        <v>1135</v>
      </c>
      <c r="K506" s="10" t="s">
        <v>1124</v>
      </c>
      <c r="L506" s="10" t="s">
        <v>954</v>
      </c>
      <c r="M506" s="10" t="s">
        <v>954</v>
      </c>
      <c r="N506" s="10" t="s">
        <v>1104</v>
      </c>
      <c r="O506" s="10" t="s">
        <v>1203</v>
      </c>
      <c r="P506" s="10" t="s">
        <v>1105</v>
      </c>
      <c r="Q506" s="10" t="s">
        <v>1105</v>
      </c>
    </row>
    <row r="507" spans="1:17">
      <c r="A507" s="10" t="s">
        <v>309</v>
      </c>
      <c r="B507" s="10" t="s">
        <v>310</v>
      </c>
      <c r="C507" s="10" t="s">
        <v>147</v>
      </c>
      <c r="D507" s="10" t="s">
        <v>29</v>
      </c>
      <c r="E507" s="10" t="s">
        <v>29</v>
      </c>
      <c r="F507" s="10" t="s">
        <v>42</v>
      </c>
      <c r="G507" s="10" t="s">
        <v>42</v>
      </c>
      <c r="H507" s="10" t="s">
        <v>29</v>
      </c>
      <c r="I507" s="10" t="s">
        <v>1116</v>
      </c>
      <c r="J507" s="10" t="s">
        <v>1135</v>
      </c>
      <c r="K507" s="10" t="s">
        <v>1124</v>
      </c>
      <c r="L507" s="10" t="s">
        <v>954</v>
      </c>
      <c r="M507" s="10" t="s">
        <v>954</v>
      </c>
      <c r="N507" s="10" t="s">
        <v>1104</v>
      </c>
      <c r="O507" s="10" t="s">
        <v>1203</v>
      </c>
      <c r="P507" s="10" t="s">
        <v>1105</v>
      </c>
      <c r="Q507" s="10" t="s">
        <v>1105</v>
      </c>
    </row>
    <row r="508" spans="1:17">
      <c r="A508" s="10" t="s">
        <v>307</v>
      </c>
      <c r="B508" s="10" t="s">
        <v>308</v>
      </c>
      <c r="C508" s="10" t="s">
        <v>50</v>
      </c>
      <c r="D508" s="10" t="s">
        <v>29</v>
      </c>
      <c r="E508" s="10" t="s">
        <v>29</v>
      </c>
      <c r="F508" s="10" t="s">
        <v>38</v>
      </c>
      <c r="G508" s="10" t="s">
        <v>38</v>
      </c>
      <c r="H508" s="10" t="s">
        <v>29</v>
      </c>
      <c r="I508" s="10" t="s">
        <v>1116</v>
      </c>
      <c r="J508" s="10" t="s">
        <v>1135</v>
      </c>
      <c r="K508" s="10" t="s">
        <v>1124</v>
      </c>
      <c r="L508" s="10" t="s">
        <v>954</v>
      </c>
      <c r="M508" s="10" t="s">
        <v>954</v>
      </c>
      <c r="N508" s="10" t="s">
        <v>1104</v>
      </c>
      <c r="O508" s="10" t="s">
        <v>1203</v>
      </c>
      <c r="P508" s="10" t="s">
        <v>1105</v>
      </c>
      <c r="Q508" s="10" t="s">
        <v>1105</v>
      </c>
    </row>
    <row r="509" spans="1:17">
      <c r="A509" s="10" t="s">
        <v>305</v>
      </c>
      <c r="B509" s="10" t="s">
        <v>306</v>
      </c>
      <c r="C509" s="10" t="s">
        <v>137</v>
      </c>
      <c r="D509" s="10" t="s">
        <v>29</v>
      </c>
      <c r="E509" s="10" t="s">
        <v>29</v>
      </c>
      <c r="F509" s="10" t="s">
        <v>38</v>
      </c>
      <c r="G509" s="10" t="s">
        <v>38</v>
      </c>
      <c r="H509" s="10" t="s">
        <v>29</v>
      </c>
      <c r="I509" s="10" t="s">
        <v>1116</v>
      </c>
      <c r="J509" s="10" t="s">
        <v>1135</v>
      </c>
      <c r="K509" s="10" t="s">
        <v>1124</v>
      </c>
      <c r="L509" s="10" t="s">
        <v>954</v>
      </c>
      <c r="M509" s="10" t="s">
        <v>954</v>
      </c>
      <c r="N509" s="10" t="s">
        <v>1104</v>
      </c>
      <c r="O509" s="10" t="s">
        <v>1203</v>
      </c>
      <c r="P509" s="10" t="s">
        <v>1105</v>
      </c>
      <c r="Q509" s="10" t="s">
        <v>1105</v>
      </c>
    </row>
    <row r="510" spans="1:17">
      <c r="A510" s="10" t="s">
        <v>303</v>
      </c>
      <c r="B510" s="10" t="s">
        <v>304</v>
      </c>
      <c r="C510" s="10" t="s">
        <v>147</v>
      </c>
      <c r="D510" s="10" t="s">
        <v>29</v>
      </c>
      <c r="E510" s="10" t="s">
        <v>29</v>
      </c>
      <c r="F510" s="10" t="s">
        <v>38</v>
      </c>
      <c r="G510" s="10" t="s">
        <v>38</v>
      </c>
      <c r="H510" s="10" t="s">
        <v>29</v>
      </c>
      <c r="I510" s="10" t="s">
        <v>1116</v>
      </c>
      <c r="J510" s="10" t="s">
        <v>1135</v>
      </c>
      <c r="K510" s="10" t="s">
        <v>1124</v>
      </c>
      <c r="L510" s="10" t="s">
        <v>954</v>
      </c>
      <c r="M510" s="10" t="s">
        <v>954</v>
      </c>
      <c r="N510" s="10" t="s">
        <v>1104</v>
      </c>
      <c r="O510" s="10" t="s">
        <v>1203</v>
      </c>
      <c r="P510" s="10" t="s">
        <v>1105</v>
      </c>
      <c r="Q510" s="10" t="s">
        <v>1105</v>
      </c>
    </row>
    <row r="511" spans="1:17">
      <c r="A511" s="10" t="s">
        <v>301</v>
      </c>
      <c r="B511" s="10" t="s">
        <v>302</v>
      </c>
      <c r="C511" s="10" t="s">
        <v>137</v>
      </c>
      <c r="D511" s="10" t="s">
        <v>29</v>
      </c>
      <c r="E511" s="10" t="s">
        <v>29</v>
      </c>
      <c r="F511" s="10" t="s">
        <v>156</v>
      </c>
      <c r="G511" s="10" t="s">
        <v>156</v>
      </c>
      <c r="H511" s="10" t="s">
        <v>29</v>
      </c>
      <c r="I511" s="10" t="s">
        <v>1148</v>
      </c>
      <c r="J511" s="10" t="s">
        <v>1114</v>
      </c>
      <c r="K511" s="10" t="s">
        <v>1124</v>
      </c>
      <c r="L511" s="10" t="s">
        <v>954</v>
      </c>
      <c r="M511" s="10" t="s">
        <v>954</v>
      </c>
      <c r="N511" s="10" t="s">
        <v>1104</v>
      </c>
      <c r="O511" s="10" t="s">
        <v>1203</v>
      </c>
      <c r="P511" s="10" t="s">
        <v>1105</v>
      </c>
      <c r="Q511" s="10" t="s">
        <v>1105</v>
      </c>
    </row>
    <row r="512" spans="1:17">
      <c r="A512" s="10" t="s">
        <v>299</v>
      </c>
      <c r="B512" s="10" t="s">
        <v>300</v>
      </c>
      <c r="C512" s="10" t="s">
        <v>50</v>
      </c>
      <c r="D512" s="10" t="s">
        <v>29</v>
      </c>
      <c r="E512" s="10" t="s">
        <v>29</v>
      </c>
      <c r="F512" s="10" t="s">
        <v>156</v>
      </c>
      <c r="G512" s="10" t="s">
        <v>156</v>
      </c>
      <c r="H512" s="10" t="s">
        <v>29</v>
      </c>
      <c r="I512" s="10" t="s">
        <v>1148</v>
      </c>
      <c r="J512" s="10" t="s">
        <v>1114</v>
      </c>
      <c r="K512" s="10" t="s">
        <v>1124</v>
      </c>
      <c r="L512" s="10" t="s">
        <v>954</v>
      </c>
      <c r="M512" s="10" t="s">
        <v>954</v>
      </c>
      <c r="N512" s="10" t="s">
        <v>1104</v>
      </c>
      <c r="O512" s="10" t="s">
        <v>1203</v>
      </c>
      <c r="P512" s="10" t="s">
        <v>1105</v>
      </c>
      <c r="Q512" s="10" t="s">
        <v>1105</v>
      </c>
    </row>
    <row r="513" spans="1:17">
      <c r="A513" s="10" t="s">
        <v>297</v>
      </c>
      <c r="B513" s="10" t="s">
        <v>298</v>
      </c>
      <c r="C513" s="10" t="s">
        <v>137</v>
      </c>
      <c r="D513" s="10" t="s">
        <v>29</v>
      </c>
      <c r="E513" s="10" t="s">
        <v>29</v>
      </c>
      <c r="F513" s="10" t="s">
        <v>156</v>
      </c>
      <c r="G513" s="10" t="s">
        <v>156</v>
      </c>
      <c r="H513" s="10" t="s">
        <v>29</v>
      </c>
      <c r="I513" s="10" t="s">
        <v>1148</v>
      </c>
      <c r="J513" s="10" t="s">
        <v>1114</v>
      </c>
      <c r="K513" s="10" t="s">
        <v>1124</v>
      </c>
      <c r="L513" s="10" t="s">
        <v>954</v>
      </c>
      <c r="M513" s="10" t="s">
        <v>954</v>
      </c>
      <c r="N513" s="10" t="s">
        <v>1104</v>
      </c>
      <c r="O513" s="10" t="s">
        <v>1203</v>
      </c>
      <c r="P513" s="10" t="s">
        <v>1105</v>
      </c>
      <c r="Q513" s="10" t="s">
        <v>1105</v>
      </c>
    </row>
    <row r="514" spans="1:17">
      <c r="A514" s="10" t="s">
        <v>295</v>
      </c>
      <c r="B514" s="10" t="s">
        <v>296</v>
      </c>
      <c r="C514" s="10" t="s">
        <v>50</v>
      </c>
      <c r="D514" s="10" t="s">
        <v>29</v>
      </c>
      <c r="E514" s="10" t="s">
        <v>29</v>
      </c>
      <c r="F514" s="10" t="s">
        <v>42</v>
      </c>
      <c r="G514" s="10" t="s">
        <v>42</v>
      </c>
      <c r="H514" s="10" t="s">
        <v>29</v>
      </c>
      <c r="I514" s="10" t="s">
        <v>1148</v>
      </c>
      <c r="J514" s="10" t="s">
        <v>1114</v>
      </c>
      <c r="K514" s="10" t="s">
        <v>1124</v>
      </c>
      <c r="L514" s="10" t="s">
        <v>954</v>
      </c>
      <c r="M514" s="10" t="s">
        <v>954</v>
      </c>
      <c r="N514" s="10" t="s">
        <v>1104</v>
      </c>
      <c r="O514" s="10" t="s">
        <v>1203</v>
      </c>
      <c r="P514" s="10" t="s">
        <v>1105</v>
      </c>
      <c r="Q514" s="10" t="s">
        <v>1105</v>
      </c>
    </row>
    <row r="515" spans="1:17">
      <c r="A515" s="10" t="s">
        <v>293</v>
      </c>
      <c r="B515" s="10" t="s">
        <v>294</v>
      </c>
      <c r="C515" s="10" t="s">
        <v>137</v>
      </c>
      <c r="D515" s="10" t="s">
        <v>29</v>
      </c>
      <c r="E515" s="10" t="s">
        <v>29</v>
      </c>
      <c r="F515" s="10" t="s">
        <v>42</v>
      </c>
      <c r="G515" s="10" t="s">
        <v>42</v>
      </c>
      <c r="H515" s="10" t="s">
        <v>29</v>
      </c>
      <c r="I515" s="10" t="s">
        <v>1148</v>
      </c>
      <c r="J515" s="10" t="s">
        <v>1114</v>
      </c>
      <c r="K515" s="10" t="s">
        <v>1124</v>
      </c>
      <c r="L515" s="10" t="s">
        <v>954</v>
      </c>
      <c r="M515" s="10" t="s">
        <v>954</v>
      </c>
      <c r="N515" s="10" t="s">
        <v>1104</v>
      </c>
      <c r="O515" s="10" t="s">
        <v>1203</v>
      </c>
      <c r="P515" s="10" t="s">
        <v>1105</v>
      </c>
      <c r="Q515" s="10" t="s">
        <v>1105</v>
      </c>
    </row>
    <row r="516" spans="1:17">
      <c r="A516" s="10" t="s">
        <v>291</v>
      </c>
      <c r="B516" s="10" t="s">
        <v>292</v>
      </c>
      <c r="C516" s="10" t="s">
        <v>100</v>
      </c>
      <c r="D516" s="10" t="s">
        <v>29</v>
      </c>
      <c r="E516" s="10" t="s">
        <v>29</v>
      </c>
      <c r="F516" s="10" t="s">
        <v>42</v>
      </c>
      <c r="G516" s="10" t="s">
        <v>42</v>
      </c>
      <c r="H516" s="10" t="s">
        <v>29</v>
      </c>
      <c r="I516" s="10" t="s">
        <v>1148</v>
      </c>
      <c r="J516" s="10" t="s">
        <v>1114</v>
      </c>
      <c r="K516" s="10" t="s">
        <v>1124</v>
      </c>
      <c r="L516" s="10" t="s">
        <v>954</v>
      </c>
      <c r="M516" s="10" t="s">
        <v>954</v>
      </c>
      <c r="N516" s="10" t="s">
        <v>1104</v>
      </c>
      <c r="O516" s="10" t="s">
        <v>1203</v>
      </c>
      <c r="P516" s="10" t="s">
        <v>1105</v>
      </c>
      <c r="Q516" s="10" t="s">
        <v>1105</v>
      </c>
    </row>
    <row r="517" spans="1:17">
      <c r="A517" s="10" t="s">
        <v>289</v>
      </c>
      <c r="B517" s="10" t="s">
        <v>290</v>
      </c>
      <c r="C517" s="10" t="s">
        <v>241</v>
      </c>
      <c r="D517" s="10" t="s">
        <v>29</v>
      </c>
      <c r="E517" s="10" t="s">
        <v>29</v>
      </c>
      <c r="F517" s="10" t="s">
        <v>42</v>
      </c>
      <c r="G517" s="10" t="s">
        <v>42</v>
      </c>
      <c r="H517" s="10" t="s">
        <v>29</v>
      </c>
      <c r="I517" s="10" t="s">
        <v>1148</v>
      </c>
      <c r="J517" s="10" t="s">
        <v>1114</v>
      </c>
      <c r="K517" s="10" t="s">
        <v>1124</v>
      </c>
      <c r="L517" s="10" t="s">
        <v>954</v>
      </c>
      <c r="M517" s="10" t="s">
        <v>954</v>
      </c>
      <c r="N517" s="10" t="s">
        <v>1104</v>
      </c>
      <c r="O517" s="10" t="s">
        <v>1203</v>
      </c>
      <c r="P517" s="10" t="s">
        <v>1105</v>
      </c>
      <c r="Q517" s="10" t="s">
        <v>1105</v>
      </c>
    </row>
    <row r="518" spans="1:17">
      <c r="A518" s="10" t="s">
        <v>287</v>
      </c>
      <c r="B518" s="10" t="s">
        <v>288</v>
      </c>
      <c r="C518" s="10" t="s">
        <v>137</v>
      </c>
      <c r="D518" s="10" t="s">
        <v>29</v>
      </c>
      <c r="E518" s="10" t="s">
        <v>29</v>
      </c>
      <c r="F518" s="10" t="s">
        <v>42</v>
      </c>
      <c r="G518" s="10" t="s">
        <v>42</v>
      </c>
      <c r="H518" s="10" t="s">
        <v>29</v>
      </c>
      <c r="I518" s="10" t="s">
        <v>1148</v>
      </c>
      <c r="J518" s="10" t="s">
        <v>1114</v>
      </c>
      <c r="K518" s="10" t="s">
        <v>1124</v>
      </c>
      <c r="L518" s="10" t="s">
        <v>954</v>
      </c>
      <c r="M518" s="10" t="s">
        <v>954</v>
      </c>
      <c r="N518" s="10" t="s">
        <v>1104</v>
      </c>
      <c r="O518" s="10" t="s">
        <v>1203</v>
      </c>
      <c r="P518" s="10" t="s">
        <v>1105</v>
      </c>
      <c r="Q518" s="10" t="s">
        <v>1105</v>
      </c>
    </row>
    <row r="519" spans="1:17">
      <c r="A519" s="10" t="s">
        <v>285</v>
      </c>
      <c r="B519" s="10" t="s">
        <v>286</v>
      </c>
      <c r="C519" s="10" t="s">
        <v>147</v>
      </c>
      <c r="D519" s="10" t="s">
        <v>29</v>
      </c>
      <c r="E519" s="10" t="s">
        <v>29</v>
      </c>
      <c r="F519" s="10" t="s">
        <v>42</v>
      </c>
      <c r="G519" s="10" t="s">
        <v>42</v>
      </c>
      <c r="H519" s="10" t="s">
        <v>29</v>
      </c>
      <c r="I519" s="10" t="s">
        <v>1148</v>
      </c>
      <c r="J519" s="10" t="s">
        <v>1114</v>
      </c>
      <c r="K519" s="10" t="s">
        <v>1124</v>
      </c>
      <c r="L519" s="10" t="s">
        <v>954</v>
      </c>
      <c r="M519" s="10" t="s">
        <v>954</v>
      </c>
      <c r="N519" s="10" t="s">
        <v>1104</v>
      </c>
      <c r="O519" s="10" t="s">
        <v>1203</v>
      </c>
      <c r="P519" s="10" t="s">
        <v>1105</v>
      </c>
      <c r="Q519" s="10" t="s">
        <v>1105</v>
      </c>
    </row>
    <row r="520" spans="1:17">
      <c r="A520" s="10" t="s">
        <v>283</v>
      </c>
      <c r="B520" s="10" t="s">
        <v>284</v>
      </c>
      <c r="C520" s="10" t="s">
        <v>50</v>
      </c>
      <c r="D520" s="10" t="s">
        <v>29</v>
      </c>
      <c r="E520" s="10" t="s">
        <v>29</v>
      </c>
      <c r="F520" s="10" t="s">
        <v>38</v>
      </c>
      <c r="G520" s="10" t="s">
        <v>38</v>
      </c>
      <c r="H520" s="10" t="s">
        <v>29</v>
      </c>
      <c r="I520" s="10" t="s">
        <v>1148</v>
      </c>
      <c r="J520" s="10" t="s">
        <v>1114</v>
      </c>
      <c r="K520" s="10" t="s">
        <v>1124</v>
      </c>
      <c r="L520" s="10" t="s">
        <v>954</v>
      </c>
      <c r="M520" s="10" t="s">
        <v>954</v>
      </c>
      <c r="N520" s="10" t="s">
        <v>1104</v>
      </c>
      <c r="O520" s="10" t="s">
        <v>1203</v>
      </c>
      <c r="P520" s="10" t="s">
        <v>1105</v>
      </c>
      <c r="Q520" s="10" t="s">
        <v>1105</v>
      </c>
    </row>
    <row r="521" spans="1:17">
      <c r="A521" s="10" t="s">
        <v>281</v>
      </c>
      <c r="B521" s="10" t="s">
        <v>282</v>
      </c>
      <c r="C521" s="10" t="s">
        <v>137</v>
      </c>
      <c r="D521" s="10" t="s">
        <v>29</v>
      </c>
      <c r="E521" s="10" t="s">
        <v>29</v>
      </c>
      <c r="F521" s="10" t="s">
        <v>38</v>
      </c>
      <c r="G521" s="10" t="s">
        <v>38</v>
      </c>
      <c r="H521" s="10" t="s">
        <v>29</v>
      </c>
      <c r="I521" s="10" t="s">
        <v>1148</v>
      </c>
      <c r="J521" s="10" t="s">
        <v>1114</v>
      </c>
      <c r="K521" s="10" t="s">
        <v>1124</v>
      </c>
      <c r="L521" s="10" t="s">
        <v>954</v>
      </c>
      <c r="M521" s="10" t="s">
        <v>954</v>
      </c>
      <c r="N521" s="10" t="s">
        <v>1104</v>
      </c>
      <c r="O521" s="10" t="s">
        <v>1203</v>
      </c>
      <c r="P521" s="10" t="s">
        <v>1105</v>
      </c>
      <c r="Q521" s="10" t="s">
        <v>1105</v>
      </c>
    </row>
    <row r="522" spans="1:17">
      <c r="A522" s="10" t="s">
        <v>279</v>
      </c>
      <c r="B522" s="10" t="s">
        <v>280</v>
      </c>
      <c r="C522" s="10" t="s">
        <v>100</v>
      </c>
      <c r="D522" s="10" t="s">
        <v>29</v>
      </c>
      <c r="E522" s="10" t="s">
        <v>29</v>
      </c>
      <c r="F522" s="10" t="s">
        <v>38</v>
      </c>
      <c r="G522" s="10" t="s">
        <v>38</v>
      </c>
      <c r="H522" s="10" t="s">
        <v>29</v>
      </c>
      <c r="I522" s="10" t="s">
        <v>1148</v>
      </c>
      <c r="J522" s="10" t="s">
        <v>1114</v>
      </c>
      <c r="K522" s="10" t="s">
        <v>1124</v>
      </c>
      <c r="L522" s="10" t="s">
        <v>954</v>
      </c>
      <c r="M522" s="10" t="s">
        <v>954</v>
      </c>
      <c r="N522" s="10" t="s">
        <v>1104</v>
      </c>
      <c r="O522" s="10" t="s">
        <v>1203</v>
      </c>
      <c r="P522" s="10" t="s">
        <v>1105</v>
      </c>
      <c r="Q522" s="10" t="s">
        <v>1105</v>
      </c>
    </row>
    <row r="523" spans="1:17">
      <c r="A523" s="10" t="s">
        <v>277</v>
      </c>
      <c r="B523" s="10" t="s">
        <v>278</v>
      </c>
      <c r="C523" s="10" t="s">
        <v>241</v>
      </c>
      <c r="D523" s="10" t="s">
        <v>29</v>
      </c>
      <c r="E523" s="10" t="s">
        <v>29</v>
      </c>
      <c r="F523" s="10" t="s">
        <v>38</v>
      </c>
      <c r="G523" s="10" t="s">
        <v>38</v>
      </c>
      <c r="H523" s="10" t="s">
        <v>29</v>
      </c>
      <c r="I523" s="10" t="s">
        <v>1148</v>
      </c>
      <c r="J523" s="10" t="s">
        <v>1114</v>
      </c>
      <c r="K523" s="10" t="s">
        <v>1124</v>
      </c>
      <c r="L523" s="10" t="s">
        <v>954</v>
      </c>
      <c r="M523" s="10" t="s">
        <v>954</v>
      </c>
      <c r="N523" s="10" t="s">
        <v>1104</v>
      </c>
      <c r="O523" s="10" t="s">
        <v>1203</v>
      </c>
      <c r="P523" s="10" t="s">
        <v>1105</v>
      </c>
      <c r="Q523" s="10" t="s">
        <v>1105</v>
      </c>
    </row>
    <row r="524" spans="1:17">
      <c r="A524" s="10" t="s">
        <v>275</v>
      </c>
      <c r="B524" s="10" t="s">
        <v>276</v>
      </c>
      <c r="C524" s="10" t="s">
        <v>137</v>
      </c>
      <c r="D524" s="10" t="s">
        <v>29</v>
      </c>
      <c r="E524" s="10" t="s">
        <v>29</v>
      </c>
      <c r="F524" s="10" t="s">
        <v>38</v>
      </c>
      <c r="G524" s="10" t="s">
        <v>38</v>
      </c>
      <c r="H524" s="10" t="s">
        <v>29</v>
      </c>
      <c r="I524" s="10" t="s">
        <v>1148</v>
      </c>
      <c r="J524" s="10" t="s">
        <v>1114</v>
      </c>
      <c r="K524" s="10" t="s">
        <v>1124</v>
      </c>
      <c r="L524" s="10" t="s">
        <v>954</v>
      </c>
      <c r="M524" s="10" t="s">
        <v>954</v>
      </c>
      <c r="N524" s="10" t="s">
        <v>1104</v>
      </c>
      <c r="O524" s="10" t="s">
        <v>1203</v>
      </c>
      <c r="P524" s="10" t="s">
        <v>1105</v>
      </c>
      <c r="Q524" s="10" t="s">
        <v>1105</v>
      </c>
    </row>
    <row r="525" spans="1:17">
      <c r="A525" s="10" t="s">
        <v>273</v>
      </c>
      <c r="B525" s="10" t="s">
        <v>274</v>
      </c>
      <c r="C525" s="10" t="s">
        <v>147</v>
      </c>
      <c r="D525" s="10" t="s">
        <v>29</v>
      </c>
      <c r="E525" s="10" t="s">
        <v>29</v>
      </c>
      <c r="F525" s="10" t="s">
        <v>38</v>
      </c>
      <c r="G525" s="10" t="s">
        <v>38</v>
      </c>
      <c r="H525" s="10" t="s">
        <v>29</v>
      </c>
      <c r="I525" s="10" t="s">
        <v>1148</v>
      </c>
      <c r="J525" s="10" t="s">
        <v>1114</v>
      </c>
      <c r="K525" s="10" t="s">
        <v>1124</v>
      </c>
      <c r="L525" s="10" t="s">
        <v>954</v>
      </c>
      <c r="M525" s="10" t="s">
        <v>954</v>
      </c>
      <c r="N525" s="10" t="s">
        <v>1104</v>
      </c>
      <c r="O525" s="10" t="s">
        <v>1203</v>
      </c>
      <c r="P525" s="10" t="s">
        <v>1105</v>
      </c>
      <c r="Q525" s="10" t="s">
        <v>1105</v>
      </c>
    </row>
    <row r="526" spans="1:17">
      <c r="A526" s="10" t="s">
        <v>271</v>
      </c>
      <c r="B526" s="10" t="s">
        <v>272</v>
      </c>
      <c r="C526" s="10" t="s">
        <v>100</v>
      </c>
      <c r="D526" s="10" t="s">
        <v>29</v>
      </c>
      <c r="E526" s="10" t="s">
        <v>29</v>
      </c>
      <c r="F526" s="10" t="s">
        <v>250</v>
      </c>
      <c r="G526" s="10" t="s">
        <v>250</v>
      </c>
      <c r="H526" s="10" t="s">
        <v>29</v>
      </c>
      <c r="I526" s="10" t="s">
        <v>1116</v>
      </c>
      <c r="J526" s="10" t="s">
        <v>1135</v>
      </c>
      <c r="K526" s="10" t="s">
        <v>1124</v>
      </c>
      <c r="L526" s="10" t="s">
        <v>954</v>
      </c>
      <c r="M526" s="10" t="s">
        <v>954</v>
      </c>
      <c r="N526" s="10" t="s">
        <v>1104</v>
      </c>
      <c r="O526" s="10" t="s">
        <v>1203</v>
      </c>
      <c r="P526" s="10" t="s">
        <v>1105</v>
      </c>
      <c r="Q526" s="10" t="s">
        <v>1105</v>
      </c>
    </row>
    <row r="527" spans="1:17">
      <c r="A527" s="10" t="s">
        <v>269</v>
      </c>
      <c r="B527" s="10" t="s">
        <v>270</v>
      </c>
      <c r="C527" s="10" t="s">
        <v>147</v>
      </c>
      <c r="D527" s="10" t="s">
        <v>29</v>
      </c>
      <c r="E527" s="10" t="s">
        <v>29</v>
      </c>
      <c r="F527" s="10" t="s">
        <v>250</v>
      </c>
      <c r="G527" s="10" t="s">
        <v>250</v>
      </c>
      <c r="H527" s="10" t="s">
        <v>29</v>
      </c>
      <c r="I527" s="10" t="s">
        <v>1116</v>
      </c>
      <c r="J527" s="10" t="s">
        <v>1135</v>
      </c>
      <c r="K527" s="10" t="s">
        <v>1124</v>
      </c>
      <c r="L527" s="10" t="s">
        <v>954</v>
      </c>
      <c r="M527" s="10" t="s">
        <v>954</v>
      </c>
      <c r="N527" s="10" t="s">
        <v>1104</v>
      </c>
      <c r="O527" s="10" t="s">
        <v>1203</v>
      </c>
      <c r="P527" s="10" t="s">
        <v>1105</v>
      </c>
      <c r="Q527" s="10" t="s">
        <v>1105</v>
      </c>
    </row>
    <row r="528" spans="1:17">
      <c r="A528" s="10" t="s">
        <v>267</v>
      </c>
      <c r="B528" s="10" t="s">
        <v>268</v>
      </c>
      <c r="C528" s="10" t="s">
        <v>18</v>
      </c>
      <c r="D528" s="10" t="s">
        <v>19</v>
      </c>
      <c r="E528" s="10" t="s">
        <v>167</v>
      </c>
      <c r="F528" s="10" t="s">
        <v>156</v>
      </c>
      <c r="G528" s="10" t="s">
        <v>156</v>
      </c>
      <c r="H528" s="10" t="s">
        <v>23</v>
      </c>
      <c r="I528" s="10" t="s">
        <v>1148</v>
      </c>
      <c r="J528" s="10" t="s">
        <v>1114</v>
      </c>
      <c r="K528" s="10" t="s">
        <v>1124</v>
      </c>
      <c r="L528" s="10" t="s">
        <v>954</v>
      </c>
      <c r="M528" s="10" t="s">
        <v>954</v>
      </c>
      <c r="N528" s="10" t="s">
        <v>1104</v>
      </c>
      <c r="O528" s="10" t="s">
        <v>1203</v>
      </c>
      <c r="P528" s="10" t="s">
        <v>1105</v>
      </c>
      <c r="Q528" s="10" t="s">
        <v>1105</v>
      </c>
    </row>
    <row r="529" spans="1:17">
      <c r="A529" s="10" t="s">
        <v>265</v>
      </c>
      <c r="B529" s="10" t="s">
        <v>266</v>
      </c>
      <c r="C529" s="10" t="s">
        <v>18</v>
      </c>
      <c r="D529" s="10" t="s">
        <v>19</v>
      </c>
      <c r="E529" s="10" t="s">
        <v>167</v>
      </c>
      <c r="F529" s="10" t="s">
        <v>156</v>
      </c>
      <c r="G529" s="10" t="s">
        <v>156</v>
      </c>
      <c r="H529" s="10" t="s">
        <v>23</v>
      </c>
      <c r="I529" s="10" t="s">
        <v>1148</v>
      </c>
      <c r="J529" s="10" t="s">
        <v>1114</v>
      </c>
      <c r="K529" s="10" t="s">
        <v>1124</v>
      </c>
      <c r="L529" s="10" t="s">
        <v>954</v>
      </c>
      <c r="M529" s="10" t="s">
        <v>954</v>
      </c>
      <c r="N529" s="10" t="s">
        <v>1104</v>
      </c>
      <c r="O529" s="10" t="s">
        <v>1203</v>
      </c>
      <c r="P529" s="10" t="s">
        <v>1105</v>
      </c>
      <c r="Q529" s="10" t="s">
        <v>1105</v>
      </c>
    </row>
    <row r="530" spans="1:17">
      <c r="A530" s="10" t="s">
        <v>263</v>
      </c>
      <c r="B530" s="10" t="s">
        <v>264</v>
      </c>
      <c r="C530" s="10" t="s">
        <v>18</v>
      </c>
      <c r="D530" s="10" t="s">
        <v>19</v>
      </c>
      <c r="E530" s="10" t="s">
        <v>167</v>
      </c>
      <c r="F530" s="10" t="s">
        <v>156</v>
      </c>
      <c r="G530" s="10" t="s">
        <v>156</v>
      </c>
      <c r="H530" s="10" t="s">
        <v>23</v>
      </c>
      <c r="I530" s="10" t="s">
        <v>1116</v>
      </c>
      <c r="J530" s="10" t="s">
        <v>1135</v>
      </c>
      <c r="K530" s="10" t="s">
        <v>1124</v>
      </c>
      <c r="L530" s="10" t="s">
        <v>947</v>
      </c>
      <c r="M530" s="10" t="s">
        <v>1119</v>
      </c>
      <c r="N530" s="10" t="s">
        <v>1104</v>
      </c>
      <c r="O530" s="10" t="s">
        <v>1131</v>
      </c>
      <c r="P530" s="10" t="s">
        <v>1105</v>
      </c>
      <c r="Q530" s="10" t="s">
        <v>1105</v>
      </c>
    </row>
    <row r="531" spans="1:17">
      <c r="A531" s="10" t="s">
        <v>261</v>
      </c>
      <c r="B531" s="10" t="s">
        <v>262</v>
      </c>
      <c r="C531" s="10" t="s">
        <v>18</v>
      </c>
      <c r="D531" s="10" t="s">
        <v>19</v>
      </c>
      <c r="E531" s="10" t="s">
        <v>167</v>
      </c>
      <c r="F531" s="10" t="s">
        <v>156</v>
      </c>
      <c r="G531" s="10" t="s">
        <v>156</v>
      </c>
      <c r="H531" s="10" t="s">
        <v>23</v>
      </c>
      <c r="I531" s="10" t="s">
        <v>1116</v>
      </c>
      <c r="J531" s="10" t="s">
        <v>1135</v>
      </c>
      <c r="K531" s="10" t="s">
        <v>1124</v>
      </c>
      <c r="L531" s="10" t="s">
        <v>947</v>
      </c>
      <c r="M531" s="10" t="s">
        <v>1119</v>
      </c>
      <c r="N531" s="10" t="s">
        <v>1104</v>
      </c>
      <c r="O531" s="10" t="s">
        <v>1131</v>
      </c>
      <c r="P531" s="10" t="s">
        <v>1105</v>
      </c>
      <c r="Q531" s="10" t="s">
        <v>1105</v>
      </c>
    </row>
    <row r="532" spans="1:17">
      <c r="A532" s="10" t="s">
        <v>259</v>
      </c>
      <c r="B532" s="10" t="s">
        <v>260</v>
      </c>
      <c r="C532" s="10" t="s">
        <v>18</v>
      </c>
      <c r="D532" s="10" t="s">
        <v>19</v>
      </c>
      <c r="E532" s="10" t="s">
        <v>167</v>
      </c>
      <c r="F532" s="10" t="s">
        <v>156</v>
      </c>
      <c r="G532" s="10" t="s">
        <v>156</v>
      </c>
      <c r="H532" s="10" t="s">
        <v>23</v>
      </c>
      <c r="I532" s="10" t="s">
        <v>1154</v>
      </c>
      <c r="J532" s="10" t="s">
        <v>1123</v>
      </c>
      <c r="K532" s="10" t="s">
        <v>1155</v>
      </c>
      <c r="L532" s="10" t="s">
        <v>947</v>
      </c>
      <c r="M532" s="10" t="s">
        <v>1103</v>
      </c>
      <c r="N532" s="10" t="s">
        <v>1104</v>
      </c>
      <c r="O532" s="10" t="s">
        <v>1265</v>
      </c>
      <c r="P532" s="10" t="s">
        <v>1105</v>
      </c>
      <c r="Q532" s="10" t="s">
        <v>1105</v>
      </c>
    </row>
    <row r="533" spans="1:17">
      <c r="A533" s="10" t="s">
        <v>257</v>
      </c>
      <c r="B533" s="10" t="s">
        <v>258</v>
      </c>
      <c r="C533" s="10" t="s">
        <v>18</v>
      </c>
      <c r="D533" s="10" t="s">
        <v>19</v>
      </c>
      <c r="E533" s="10" t="s">
        <v>167</v>
      </c>
      <c r="F533" s="10" t="s">
        <v>156</v>
      </c>
      <c r="G533" s="10" t="s">
        <v>156</v>
      </c>
      <c r="H533" s="10" t="s">
        <v>23</v>
      </c>
      <c r="I533" s="10" t="s">
        <v>1154</v>
      </c>
      <c r="J533" s="10" t="s">
        <v>1123</v>
      </c>
      <c r="K533" s="10" t="s">
        <v>1155</v>
      </c>
      <c r="L533" s="10" t="s">
        <v>947</v>
      </c>
      <c r="M533" s="10" t="s">
        <v>1103</v>
      </c>
      <c r="N533" s="10" t="s">
        <v>1104</v>
      </c>
      <c r="O533" s="10" t="s">
        <v>1265</v>
      </c>
      <c r="P533" s="10" t="s">
        <v>1105</v>
      </c>
      <c r="Q533" s="10" t="s">
        <v>1105</v>
      </c>
    </row>
    <row r="534" spans="1:17">
      <c r="A534" s="10" t="s">
        <v>1463</v>
      </c>
      <c r="B534" s="10" t="s">
        <v>1464</v>
      </c>
      <c r="C534" s="10" t="s">
        <v>18</v>
      </c>
      <c r="D534" s="10" t="s">
        <v>19</v>
      </c>
      <c r="E534" s="10" t="s">
        <v>20</v>
      </c>
      <c r="F534" s="10" t="s">
        <v>33</v>
      </c>
      <c r="G534" s="10" t="s">
        <v>22</v>
      </c>
      <c r="H534" s="10" t="s">
        <v>23</v>
      </c>
      <c r="I534" s="10" t="s">
        <v>1116</v>
      </c>
      <c r="J534" s="10" t="s">
        <v>1135</v>
      </c>
      <c r="K534" s="10" t="s">
        <v>1124</v>
      </c>
      <c r="L534" s="10" t="s">
        <v>947</v>
      </c>
      <c r="M534" s="10" t="s">
        <v>1129</v>
      </c>
      <c r="N534" s="10" t="s">
        <v>1142</v>
      </c>
      <c r="O534" s="10" t="s">
        <v>1465</v>
      </c>
      <c r="P534" s="10" t="s">
        <v>1105</v>
      </c>
      <c r="Q534" s="10" t="s">
        <v>1105</v>
      </c>
    </row>
    <row r="535" spans="1:17">
      <c r="A535" s="10" t="s">
        <v>1466</v>
      </c>
      <c r="B535" s="10" t="s">
        <v>1467</v>
      </c>
      <c r="C535" s="10" t="s">
        <v>18</v>
      </c>
      <c r="D535" s="10" t="s">
        <v>19</v>
      </c>
      <c r="E535" s="10" t="s">
        <v>20</v>
      </c>
      <c r="F535" s="10" t="s">
        <v>33</v>
      </c>
      <c r="G535" s="10" t="s">
        <v>22</v>
      </c>
      <c r="H535" s="10" t="s">
        <v>23</v>
      </c>
      <c r="I535" s="10" t="s">
        <v>1116</v>
      </c>
      <c r="J535" s="10" t="s">
        <v>1135</v>
      </c>
      <c r="K535" s="10" t="s">
        <v>1124</v>
      </c>
      <c r="L535" s="10" t="s">
        <v>947</v>
      </c>
      <c r="M535" s="10" t="s">
        <v>1129</v>
      </c>
      <c r="N535" s="10" t="s">
        <v>1142</v>
      </c>
      <c r="O535" s="10" t="s">
        <v>1465</v>
      </c>
      <c r="P535" s="10" t="s">
        <v>1105</v>
      </c>
      <c r="Q535" s="10" t="s">
        <v>1105</v>
      </c>
    </row>
    <row r="536" spans="1:17">
      <c r="A536" s="10" t="s">
        <v>255</v>
      </c>
      <c r="B536" s="10" t="s">
        <v>256</v>
      </c>
      <c r="C536" s="10" t="s">
        <v>59</v>
      </c>
      <c r="D536" s="10" t="s">
        <v>29</v>
      </c>
      <c r="E536" s="10" t="s">
        <v>29</v>
      </c>
      <c r="F536" s="10" t="s">
        <v>38</v>
      </c>
      <c r="G536" s="10" t="s">
        <v>38</v>
      </c>
      <c r="H536" s="10" t="s">
        <v>29</v>
      </c>
      <c r="I536" s="10" t="s">
        <v>1212</v>
      </c>
      <c r="J536" s="10" t="s">
        <v>1135</v>
      </c>
      <c r="K536" s="10" t="s">
        <v>1118</v>
      </c>
      <c r="L536" s="10" t="s">
        <v>947</v>
      </c>
      <c r="M536" s="10" t="s">
        <v>1119</v>
      </c>
      <c r="N536" s="10" t="s">
        <v>1104</v>
      </c>
      <c r="O536" s="10" t="s">
        <v>1131</v>
      </c>
      <c r="P536" s="10" t="s">
        <v>1105</v>
      </c>
      <c r="Q536" s="10" t="s">
        <v>1105</v>
      </c>
    </row>
    <row r="537" spans="1:17">
      <c r="A537" s="10" t="s">
        <v>253</v>
      </c>
      <c r="B537" s="10" t="s">
        <v>1468</v>
      </c>
      <c r="C537" s="10" t="s">
        <v>59</v>
      </c>
      <c r="D537" s="10" t="s">
        <v>29</v>
      </c>
      <c r="E537" s="10" t="s">
        <v>29</v>
      </c>
      <c r="F537" s="10" t="s">
        <v>42</v>
      </c>
      <c r="G537" s="10" t="s">
        <v>42</v>
      </c>
      <c r="H537" s="10" t="s">
        <v>29</v>
      </c>
      <c r="I537" s="10" t="s">
        <v>1212</v>
      </c>
      <c r="J537" s="10" t="s">
        <v>1135</v>
      </c>
      <c r="K537" s="10" t="s">
        <v>1118</v>
      </c>
      <c r="L537" s="10" t="s">
        <v>947</v>
      </c>
      <c r="M537" s="10" t="s">
        <v>1119</v>
      </c>
      <c r="N537" s="10" t="s">
        <v>1104</v>
      </c>
      <c r="O537" s="10" t="s">
        <v>1131</v>
      </c>
      <c r="P537" s="10" t="s">
        <v>1105</v>
      </c>
      <c r="Q537" s="10" t="s">
        <v>1105</v>
      </c>
    </row>
    <row r="538" spans="1:17">
      <c r="A538" s="10" t="s">
        <v>251</v>
      </c>
      <c r="B538" s="10" t="s">
        <v>252</v>
      </c>
      <c r="C538" s="10" t="s">
        <v>147</v>
      </c>
      <c r="D538" s="10" t="s">
        <v>29</v>
      </c>
      <c r="E538" s="10" t="s">
        <v>29</v>
      </c>
      <c r="F538" s="10" t="s">
        <v>156</v>
      </c>
      <c r="G538" s="10" t="s">
        <v>156</v>
      </c>
      <c r="H538" s="10" t="s">
        <v>29</v>
      </c>
      <c r="I538" s="10" t="s">
        <v>1148</v>
      </c>
      <c r="J538" s="10" t="s">
        <v>1114</v>
      </c>
      <c r="K538" s="10" t="s">
        <v>1124</v>
      </c>
      <c r="L538" s="10" t="s">
        <v>954</v>
      </c>
      <c r="M538" s="10" t="s">
        <v>954</v>
      </c>
      <c r="N538" s="10" t="s">
        <v>1104</v>
      </c>
      <c r="O538" s="10" t="s">
        <v>1203</v>
      </c>
      <c r="P538" s="10" t="s">
        <v>1105</v>
      </c>
      <c r="Q538" s="10" t="s">
        <v>1105</v>
      </c>
    </row>
    <row r="539" spans="1:17">
      <c r="A539" s="10" t="s">
        <v>248</v>
      </c>
      <c r="B539" s="10" t="s">
        <v>249</v>
      </c>
      <c r="C539" s="10" t="s">
        <v>100</v>
      </c>
      <c r="D539" s="10" t="s">
        <v>29</v>
      </c>
      <c r="E539" s="10" t="s">
        <v>29</v>
      </c>
      <c r="F539" s="10" t="s">
        <v>250</v>
      </c>
      <c r="G539" s="10" t="s">
        <v>250</v>
      </c>
      <c r="H539" s="10" t="s">
        <v>29</v>
      </c>
      <c r="I539" s="10" t="s">
        <v>1469</v>
      </c>
      <c r="J539" s="10" t="s">
        <v>1114</v>
      </c>
      <c r="K539" s="10" t="s">
        <v>1470</v>
      </c>
      <c r="L539" s="10" t="s">
        <v>954</v>
      </c>
      <c r="M539" s="10" t="s">
        <v>954</v>
      </c>
      <c r="N539" s="10" t="s">
        <v>1104</v>
      </c>
      <c r="O539" s="10" t="s">
        <v>1203</v>
      </c>
      <c r="P539" s="10" t="s">
        <v>1105</v>
      </c>
      <c r="Q539" s="10" t="s">
        <v>1105</v>
      </c>
    </row>
    <row r="540" spans="1:17">
      <c r="A540" s="10" t="s">
        <v>246</v>
      </c>
      <c r="B540" s="10" t="s">
        <v>247</v>
      </c>
      <c r="C540" s="10" t="s">
        <v>147</v>
      </c>
      <c r="D540" s="10" t="s">
        <v>29</v>
      </c>
      <c r="E540" s="10" t="s">
        <v>29</v>
      </c>
      <c r="F540" s="10" t="s">
        <v>42</v>
      </c>
      <c r="G540" s="10" t="s">
        <v>42</v>
      </c>
      <c r="H540" s="10" t="s">
        <v>29</v>
      </c>
      <c r="I540" s="10" t="s">
        <v>1148</v>
      </c>
      <c r="J540" s="10" t="s">
        <v>1114</v>
      </c>
      <c r="K540" s="10" t="s">
        <v>1124</v>
      </c>
      <c r="L540" s="10" t="s">
        <v>954</v>
      </c>
      <c r="M540" s="10" t="s">
        <v>954</v>
      </c>
      <c r="N540" s="10" t="s">
        <v>1104</v>
      </c>
      <c r="O540" s="10" t="s">
        <v>1203</v>
      </c>
      <c r="P540" s="10" t="s">
        <v>1105</v>
      </c>
      <c r="Q540" s="10" t="s">
        <v>1105</v>
      </c>
    </row>
    <row r="541" spans="1:17">
      <c r="A541" s="10" t="s">
        <v>244</v>
      </c>
      <c r="B541" s="10" t="s">
        <v>245</v>
      </c>
      <c r="C541" s="10" t="s">
        <v>147</v>
      </c>
      <c r="D541" s="10" t="s">
        <v>29</v>
      </c>
      <c r="E541" s="10" t="s">
        <v>29</v>
      </c>
      <c r="F541" s="10" t="s">
        <v>38</v>
      </c>
      <c r="G541" s="10" t="s">
        <v>38</v>
      </c>
      <c r="H541" s="10" t="s">
        <v>29</v>
      </c>
      <c r="I541" s="10" t="s">
        <v>1148</v>
      </c>
      <c r="J541" s="10" t="s">
        <v>1114</v>
      </c>
      <c r="K541" s="10" t="s">
        <v>1124</v>
      </c>
      <c r="L541" s="10" t="s">
        <v>954</v>
      </c>
      <c r="M541" s="10" t="s">
        <v>954</v>
      </c>
      <c r="N541" s="10" t="s">
        <v>1104</v>
      </c>
      <c r="O541" s="10" t="s">
        <v>1203</v>
      </c>
      <c r="P541" s="10" t="s">
        <v>1105</v>
      </c>
      <c r="Q541" s="10" t="s">
        <v>1105</v>
      </c>
    </row>
    <row r="542" spans="1:17">
      <c r="A542" s="10" t="s">
        <v>242</v>
      </c>
      <c r="B542" s="10" t="s">
        <v>243</v>
      </c>
      <c r="C542" s="10" t="s">
        <v>147</v>
      </c>
      <c r="D542" s="10" t="s">
        <v>29</v>
      </c>
      <c r="E542" s="10" t="s">
        <v>29</v>
      </c>
      <c r="F542" s="10" t="s">
        <v>38</v>
      </c>
      <c r="G542" s="10" t="s">
        <v>38</v>
      </c>
      <c r="H542" s="10" t="s">
        <v>29</v>
      </c>
      <c r="I542" s="10" t="s">
        <v>1116</v>
      </c>
      <c r="J542" s="10" t="s">
        <v>1135</v>
      </c>
      <c r="K542" s="10" t="s">
        <v>1124</v>
      </c>
      <c r="L542" s="10" t="s">
        <v>954</v>
      </c>
      <c r="M542" s="10" t="s">
        <v>954</v>
      </c>
      <c r="N542" s="10" t="s">
        <v>1104</v>
      </c>
      <c r="O542" s="10" t="s">
        <v>1203</v>
      </c>
      <c r="P542" s="10" t="s">
        <v>1105</v>
      </c>
      <c r="Q542" s="10" t="s">
        <v>1105</v>
      </c>
    </row>
    <row r="543" spans="1:17">
      <c r="A543" s="10" t="s">
        <v>239</v>
      </c>
      <c r="B543" s="10" t="s">
        <v>240</v>
      </c>
      <c r="C543" s="10" t="s">
        <v>241</v>
      </c>
      <c r="D543" s="10" t="s">
        <v>29</v>
      </c>
      <c r="E543" s="10" t="s">
        <v>29</v>
      </c>
      <c r="F543" s="10" t="s">
        <v>38</v>
      </c>
      <c r="G543" s="10" t="s">
        <v>38</v>
      </c>
      <c r="H543" s="10" t="s">
        <v>29</v>
      </c>
      <c r="I543" s="10" t="s">
        <v>1212</v>
      </c>
      <c r="J543" s="10" t="s">
        <v>1135</v>
      </c>
      <c r="K543" s="10" t="s">
        <v>1118</v>
      </c>
      <c r="L543" s="10" t="s">
        <v>954</v>
      </c>
      <c r="M543" s="10" t="s">
        <v>954</v>
      </c>
      <c r="N543" s="10" t="s">
        <v>1104</v>
      </c>
      <c r="O543" s="10" t="s">
        <v>1203</v>
      </c>
      <c r="P543" s="10" t="s">
        <v>1105</v>
      </c>
      <c r="Q543" s="10" t="s">
        <v>1105</v>
      </c>
    </row>
    <row r="544" spans="1:17">
      <c r="A544" s="10" t="s">
        <v>1471</v>
      </c>
      <c r="B544" s="10" t="s">
        <v>1472</v>
      </c>
      <c r="C544" s="10" t="s">
        <v>1473</v>
      </c>
      <c r="D544" s="10" t="s">
        <v>29</v>
      </c>
      <c r="E544" s="10" t="s">
        <v>29</v>
      </c>
      <c r="F544" s="10" t="s">
        <v>250</v>
      </c>
      <c r="G544" s="10" t="s">
        <v>250</v>
      </c>
      <c r="H544" s="10" t="s">
        <v>23</v>
      </c>
      <c r="I544" s="10" t="s">
        <v>1257</v>
      </c>
      <c r="J544" s="10" t="s">
        <v>1117</v>
      </c>
      <c r="K544" s="10" t="s">
        <v>1214</v>
      </c>
      <c r="L544" s="10" t="s">
        <v>947</v>
      </c>
      <c r="M544" s="10" t="s">
        <v>1129</v>
      </c>
      <c r="N544" s="10" t="s">
        <v>1104</v>
      </c>
      <c r="O544" s="10" t="s">
        <v>205</v>
      </c>
      <c r="P544" s="10" t="s">
        <v>1105</v>
      </c>
      <c r="Q544" s="10" t="s">
        <v>1105</v>
      </c>
    </row>
    <row r="545" spans="1:17" ht="36">
      <c r="A545" s="10" t="s">
        <v>1474</v>
      </c>
      <c r="B545" s="10" t="s">
        <v>1475</v>
      </c>
      <c r="C545" s="10" t="s">
        <v>18</v>
      </c>
      <c r="D545" s="10" t="s">
        <v>107</v>
      </c>
      <c r="E545" s="10" t="s">
        <v>1476</v>
      </c>
      <c r="F545" s="10" t="s">
        <v>1476</v>
      </c>
      <c r="G545" s="10" t="s">
        <v>723</v>
      </c>
      <c r="H545" s="10" t="s">
        <v>110</v>
      </c>
      <c r="I545" s="10"/>
      <c r="J545" s="10"/>
      <c r="K545" s="10" t="s">
        <v>1477</v>
      </c>
      <c r="L545" s="10"/>
      <c r="M545" s="10"/>
      <c r="N545" s="10" t="s">
        <v>1142</v>
      </c>
      <c r="O545" s="10" t="s">
        <v>1143</v>
      </c>
      <c r="P545" s="10" t="s">
        <v>1105</v>
      </c>
      <c r="Q545" s="10" t="s">
        <v>1105</v>
      </c>
    </row>
    <row r="546" spans="1:17" ht="36">
      <c r="A546" s="10" t="s">
        <v>1478</v>
      </c>
      <c r="B546" s="10" t="s">
        <v>1479</v>
      </c>
      <c r="C546" s="10" t="s">
        <v>18</v>
      </c>
      <c r="D546" s="10" t="s">
        <v>107</v>
      </c>
      <c r="E546" s="10" t="s">
        <v>1476</v>
      </c>
      <c r="F546" s="10" t="s">
        <v>1476</v>
      </c>
      <c r="G546" s="10" t="s">
        <v>723</v>
      </c>
      <c r="H546" s="10" t="s">
        <v>110</v>
      </c>
      <c r="I546" s="10"/>
      <c r="J546" s="10"/>
      <c r="K546" s="10" t="s">
        <v>1480</v>
      </c>
      <c r="L546" s="10"/>
      <c r="M546" s="10"/>
      <c r="N546" s="10" t="s">
        <v>1142</v>
      </c>
      <c r="O546" s="10" t="s">
        <v>1143</v>
      </c>
      <c r="P546" s="10" t="s">
        <v>1105</v>
      </c>
      <c r="Q546" s="10" t="s">
        <v>1105</v>
      </c>
    </row>
    <row r="547" spans="1:17">
      <c r="A547" s="10" t="s">
        <v>1481</v>
      </c>
      <c r="B547" s="10" t="s">
        <v>1482</v>
      </c>
      <c r="C547" s="10" t="s">
        <v>18</v>
      </c>
      <c r="D547" s="10" t="s">
        <v>1483</v>
      </c>
      <c r="E547" s="10" t="s">
        <v>1483</v>
      </c>
      <c r="F547" s="10" t="s">
        <v>1483</v>
      </c>
      <c r="G547" s="10" t="s">
        <v>250</v>
      </c>
      <c r="H547" s="10" t="s">
        <v>23</v>
      </c>
      <c r="I547" s="10" t="s">
        <v>1116</v>
      </c>
      <c r="J547" s="10" t="s">
        <v>1484</v>
      </c>
      <c r="K547" s="10" t="s">
        <v>1126</v>
      </c>
      <c r="L547" s="10" t="s">
        <v>947</v>
      </c>
      <c r="M547" s="10" t="s">
        <v>1119</v>
      </c>
      <c r="N547" s="10" t="s">
        <v>1104</v>
      </c>
      <c r="O547" s="10" t="s">
        <v>1143</v>
      </c>
      <c r="P547" s="10" t="s">
        <v>1105</v>
      </c>
      <c r="Q547" s="10" t="s">
        <v>1105</v>
      </c>
    </row>
    <row r="548" spans="1:17">
      <c r="A548" s="10" t="s">
        <v>1485</v>
      </c>
      <c r="B548" s="10" t="s">
        <v>1486</v>
      </c>
      <c r="C548" s="10" t="s">
        <v>18</v>
      </c>
      <c r="D548" s="10" t="s">
        <v>1483</v>
      </c>
      <c r="E548" s="10" t="s">
        <v>1483</v>
      </c>
      <c r="F548" s="10" t="s">
        <v>1483</v>
      </c>
      <c r="G548" s="10" t="s">
        <v>250</v>
      </c>
      <c r="H548" s="10" t="s">
        <v>23</v>
      </c>
      <c r="I548" s="10" t="s">
        <v>1116</v>
      </c>
      <c r="J548" s="10" t="s">
        <v>1484</v>
      </c>
      <c r="K548" s="10" t="s">
        <v>1126</v>
      </c>
      <c r="L548" s="10" t="s">
        <v>947</v>
      </c>
      <c r="M548" s="10" t="s">
        <v>1119</v>
      </c>
      <c r="N548" s="10" t="s">
        <v>1104</v>
      </c>
      <c r="O548" s="10" t="s">
        <v>1143</v>
      </c>
      <c r="P548" s="10" t="s">
        <v>1105</v>
      </c>
      <c r="Q548" s="10" t="s">
        <v>1105</v>
      </c>
    </row>
    <row r="549" spans="1:17">
      <c r="A549" s="10" t="s">
        <v>1487</v>
      </c>
      <c r="B549" s="10" t="s">
        <v>1488</v>
      </c>
      <c r="C549" s="10" t="s">
        <v>18</v>
      </c>
      <c r="D549" s="10" t="s">
        <v>1483</v>
      </c>
      <c r="E549" s="10" t="s">
        <v>1483</v>
      </c>
      <c r="F549" s="10" t="s">
        <v>1483</v>
      </c>
      <c r="G549" s="10" t="s">
        <v>250</v>
      </c>
      <c r="H549" s="10" t="s">
        <v>23</v>
      </c>
      <c r="I549" s="10" t="s">
        <v>1116</v>
      </c>
      <c r="J549" s="10" t="s">
        <v>1484</v>
      </c>
      <c r="K549" s="10" t="s">
        <v>1126</v>
      </c>
      <c r="L549" s="10" t="s">
        <v>947</v>
      </c>
      <c r="M549" s="10" t="s">
        <v>1119</v>
      </c>
      <c r="N549" s="10" t="s">
        <v>1104</v>
      </c>
      <c r="O549" s="10" t="s">
        <v>205</v>
      </c>
      <c r="P549" s="10" t="s">
        <v>1105</v>
      </c>
      <c r="Q549" s="10" t="s">
        <v>1105</v>
      </c>
    </row>
    <row r="550" spans="1:17">
      <c r="A550" s="10" t="s">
        <v>1489</v>
      </c>
      <c r="B550" s="10" t="s">
        <v>1490</v>
      </c>
      <c r="C550" s="10" t="s">
        <v>18</v>
      </c>
      <c r="D550" s="10" t="s">
        <v>1483</v>
      </c>
      <c r="E550" s="10" t="s">
        <v>1483</v>
      </c>
      <c r="F550" s="10" t="s">
        <v>1483</v>
      </c>
      <c r="G550" s="10" t="s">
        <v>250</v>
      </c>
      <c r="H550" s="10" t="s">
        <v>23</v>
      </c>
      <c r="I550" s="10" t="s">
        <v>1116</v>
      </c>
      <c r="J550" s="10" t="s">
        <v>1484</v>
      </c>
      <c r="K550" s="10" t="s">
        <v>1126</v>
      </c>
      <c r="L550" s="10" t="s">
        <v>947</v>
      </c>
      <c r="M550" s="10" t="s">
        <v>1119</v>
      </c>
      <c r="N550" s="10" t="s">
        <v>1104</v>
      </c>
      <c r="O550" s="10" t="s">
        <v>1143</v>
      </c>
      <c r="P550" s="10" t="s">
        <v>1105</v>
      </c>
      <c r="Q550" s="10" t="s">
        <v>1105</v>
      </c>
    </row>
    <row r="551" spans="1:17">
      <c r="A551" s="10" t="s">
        <v>1491</v>
      </c>
      <c r="B551" s="10" t="s">
        <v>1492</v>
      </c>
      <c r="C551" s="10" t="s">
        <v>18</v>
      </c>
      <c r="D551" s="10" t="s">
        <v>1483</v>
      </c>
      <c r="E551" s="10" t="s">
        <v>1483</v>
      </c>
      <c r="F551" s="10" t="s">
        <v>1483</v>
      </c>
      <c r="G551" s="10" t="s">
        <v>250</v>
      </c>
      <c r="H551" s="10" t="s">
        <v>23</v>
      </c>
      <c r="I551" s="10" t="s">
        <v>1116</v>
      </c>
      <c r="J551" s="10" t="s">
        <v>1484</v>
      </c>
      <c r="K551" s="10" t="s">
        <v>1126</v>
      </c>
      <c r="L551" s="10" t="s">
        <v>947</v>
      </c>
      <c r="M551" s="10" t="s">
        <v>1119</v>
      </c>
      <c r="N551" s="10" t="s">
        <v>1104</v>
      </c>
      <c r="O551" s="10" t="s">
        <v>205</v>
      </c>
      <c r="P551" s="10" t="s">
        <v>1105</v>
      </c>
      <c r="Q551" s="10" t="s">
        <v>1105</v>
      </c>
    </row>
    <row r="552" spans="1:17">
      <c r="A552" s="10" t="s">
        <v>1493</v>
      </c>
      <c r="B552" s="10" t="s">
        <v>1494</v>
      </c>
      <c r="C552" s="10" t="s">
        <v>18</v>
      </c>
      <c r="D552" s="10" t="s">
        <v>1483</v>
      </c>
      <c r="E552" s="10" t="s">
        <v>1483</v>
      </c>
      <c r="F552" s="10" t="s">
        <v>1483</v>
      </c>
      <c r="G552" s="10" t="s">
        <v>250</v>
      </c>
      <c r="H552" s="10" t="s">
        <v>23</v>
      </c>
      <c r="I552" s="10" t="s">
        <v>1257</v>
      </c>
      <c r="J552" s="10" t="s">
        <v>1117</v>
      </c>
      <c r="K552" s="10" t="s">
        <v>1214</v>
      </c>
      <c r="L552" s="10" t="s">
        <v>947</v>
      </c>
      <c r="M552" s="10" t="s">
        <v>1129</v>
      </c>
      <c r="N552" s="10" t="s">
        <v>1104</v>
      </c>
      <c r="O552" s="10" t="s">
        <v>1143</v>
      </c>
      <c r="P552" s="10" t="s">
        <v>1105</v>
      </c>
      <c r="Q552" s="10" t="s">
        <v>1105</v>
      </c>
    </row>
    <row r="553" spans="1:17">
      <c r="A553" s="10" t="s">
        <v>1495</v>
      </c>
      <c r="B553" s="10" t="s">
        <v>1496</v>
      </c>
      <c r="C553" s="10" t="s">
        <v>18</v>
      </c>
      <c r="D553" s="10" t="s">
        <v>1483</v>
      </c>
      <c r="E553" s="10" t="s">
        <v>1483</v>
      </c>
      <c r="F553" s="10" t="s">
        <v>1483</v>
      </c>
      <c r="G553" s="10" t="s">
        <v>250</v>
      </c>
      <c r="H553" s="10" t="s">
        <v>23</v>
      </c>
      <c r="I553" s="10" t="s">
        <v>1257</v>
      </c>
      <c r="J553" s="10" t="s">
        <v>1117</v>
      </c>
      <c r="K553" s="10" t="s">
        <v>1214</v>
      </c>
      <c r="L553" s="10" t="s">
        <v>947</v>
      </c>
      <c r="M553" s="10" t="s">
        <v>1129</v>
      </c>
      <c r="N553" s="10" t="s">
        <v>1104</v>
      </c>
      <c r="O553" s="10" t="s">
        <v>205</v>
      </c>
      <c r="P553" s="10" t="s">
        <v>1105</v>
      </c>
      <c r="Q553" s="10" t="s">
        <v>1105</v>
      </c>
    </row>
    <row r="554" spans="1:17">
      <c r="A554" s="10" t="s">
        <v>1497</v>
      </c>
      <c r="B554" s="10" t="s">
        <v>1498</v>
      </c>
      <c r="C554" s="10" t="s">
        <v>18</v>
      </c>
      <c r="D554" s="10" t="s">
        <v>1483</v>
      </c>
      <c r="E554" s="10" t="s">
        <v>1483</v>
      </c>
      <c r="F554" s="10" t="s">
        <v>1483</v>
      </c>
      <c r="G554" s="10" t="s">
        <v>250</v>
      </c>
      <c r="H554" s="10" t="s">
        <v>23</v>
      </c>
      <c r="I554" s="10" t="s">
        <v>1257</v>
      </c>
      <c r="J554" s="10" t="s">
        <v>1117</v>
      </c>
      <c r="K554" s="10" t="s">
        <v>1214</v>
      </c>
      <c r="L554" s="10" t="s">
        <v>947</v>
      </c>
      <c r="M554" s="10" t="s">
        <v>1129</v>
      </c>
      <c r="N554" s="10" t="s">
        <v>1104</v>
      </c>
      <c r="O554" s="10" t="s">
        <v>1143</v>
      </c>
      <c r="P554" s="10" t="s">
        <v>1105</v>
      </c>
      <c r="Q554" s="10" t="s">
        <v>1105</v>
      </c>
    </row>
    <row r="555" spans="1:17">
      <c r="A555" s="10" t="s">
        <v>1499</v>
      </c>
      <c r="B555" s="10" t="s">
        <v>1500</v>
      </c>
      <c r="C555" s="10" t="s">
        <v>18</v>
      </c>
      <c r="D555" s="10" t="s">
        <v>1483</v>
      </c>
      <c r="E555" s="10" t="s">
        <v>1483</v>
      </c>
      <c r="F555" s="10" t="s">
        <v>1483</v>
      </c>
      <c r="G555" s="10" t="s">
        <v>250</v>
      </c>
      <c r="H555" s="10" t="s">
        <v>23</v>
      </c>
      <c r="I555" s="10" t="s">
        <v>1257</v>
      </c>
      <c r="J555" s="10" t="s">
        <v>1117</v>
      </c>
      <c r="K555" s="10" t="s">
        <v>1214</v>
      </c>
      <c r="L555" s="10" t="s">
        <v>947</v>
      </c>
      <c r="M555" s="10" t="s">
        <v>1129</v>
      </c>
      <c r="N555" s="10" t="s">
        <v>1104</v>
      </c>
      <c r="O555" s="10" t="s">
        <v>205</v>
      </c>
      <c r="P555" s="10" t="s">
        <v>1105</v>
      </c>
      <c r="Q555" s="10" t="s">
        <v>1105</v>
      </c>
    </row>
    <row r="556" spans="1:17">
      <c r="A556" s="10" t="s">
        <v>1501</v>
      </c>
      <c r="B556" s="10" t="s">
        <v>1502</v>
      </c>
      <c r="C556" s="10" t="s">
        <v>18</v>
      </c>
      <c r="D556" s="10" t="s">
        <v>1483</v>
      </c>
      <c r="E556" s="10" t="s">
        <v>1483</v>
      </c>
      <c r="F556" s="10" t="s">
        <v>1483</v>
      </c>
      <c r="G556" s="10" t="s">
        <v>250</v>
      </c>
      <c r="H556" s="10" t="s">
        <v>23</v>
      </c>
      <c r="I556" s="10" t="s">
        <v>1257</v>
      </c>
      <c r="J556" s="10" t="s">
        <v>1117</v>
      </c>
      <c r="K556" s="10" t="s">
        <v>1214</v>
      </c>
      <c r="L556" s="10" t="s">
        <v>947</v>
      </c>
      <c r="M556" s="10" t="s">
        <v>1129</v>
      </c>
      <c r="N556" s="10" t="s">
        <v>1104</v>
      </c>
      <c r="O556" s="10" t="s">
        <v>1143</v>
      </c>
      <c r="P556" s="10" t="s">
        <v>1105</v>
      </c>
      <c r="Q556" s="10" t="s">
        <v>1105</v>
      </c>
    </row>
    <row r="557" spans="1:17">
      <c r="A557" s="10" t="s">
        <v>235</v>
      </c>
      <c r="B557" s="10" t="s">
        <v>236</v>
      </c>
      <c r="C557" s="10" t="s">
        <v>18</v>
      </c>
      <c r="D557" s="10" t="s">
        <v>80</v>
      </c>
      <c r="E557" s="10" t="s">
        <v>237</v>
      </c>
      <c r="F557" s="10" t="s">
        <v>238</v>
      </c>
      <c r="G557" s="10" t="s">
        <v>156</v>
      </c>
      <c r="H557" s="10" t="s">
        <v>83</v>
      </c>
      <c r="I557" s="10" t="s">
        <v>1217</v>
      </c>
      <c r="J557" s="10" t="s">
        <v>1101</v>
      </c>
      <c r="K557" s="10" t="s">
        <v>1218</v>
      </c>
      <c r="L557" s="10" t="s">
        <v>947</v>
      </c>
      <c r="M557" s="10" t="s">
        <v>1103</v>
      </c>
      <c r="N557" s="10" t="s">
        <v>1104</v>
      </c>
      <c r="O557" s="10" t="s">
        <v>1265</v>
      </c>
      <c r="P557" s="10" t="s">
        <v>1105</v>
      </c>
      <c r="Q557" s="10" t="s">
        <v>1105</v>
      </c>
    </row>
    <row r="558" spans="1:17" ht="36">
      <c r="A558" s="10" t="s">
        <v>1503</v>
      </c>
      <c r="B558" s="10" t="s">
        <v>1504</v>
      </c>
      <c r="C558" s="10" t="s">
        <v>18</v>
      </c>
      <c r="D558" s="10" t="s">
        <v>80</v>
      </c>
      <c r="E558" s="10" t="s">
        <v>722</v>
      </c>
      <c r="F558" s="10" t="s">
        <v>722</v>
      </c>
      <c r="G558" s="10" t="s">
        <v>723</v>
      </c>
      <c r="H558" s="10" t="s">
        <v>83</v>
      </c>
      <c r="I558" s="10"/>
      <c r="J558" s="10" t="s">
        <v>1101</v>
      </c>
      <c r="K558" s="10" t="s">
        <v>1505</v>
      </c>
      <c r="L558" s="10"/>
      <c r="M558" s="10"/>
      <c r="N558" s="10" t="s">
        <v>1142</v>
      </c>
      <c r="O558" s="10" t="s">
        <v>1143</v>
      </c>
      <c r="P558" s="10" t="s">
        <v>1105</v>
      </c>
      <c r="Q558" s="10" t="s">
        <v>1105</v>
      </c>
    </row>
    <row r="559" spans="1:17" ht="36">
      <c r="A559" s="10" t="s">
        <v>1506</v>
      </c>
      <c r="B559" s="10" t="s">
        <v>1507</v>
      </c>
      <c r="C559" s="10" t="s">
        <v>18</v>
      </c>
      <c r="D559" s="10" t="s">
        <v>80</v>
      </c>
      <c r="E559" s="10" t="s">
        <v>722</v>
      </c>
      <c r="F559" s="10" t="s">
        <v>722</v>
      </c>
      <c r="G559" s="10" t="s">
        <v>723</v>
      </c>
      <c r="H559" s="10" t="s">
        <v>83</v>
      </c>
      <c r="I559" s="10"/>
      <c r="J559" s="10" t="s">
        <v>1101</v>
      </c>
      <c r="K559" s="10" t="s">
        <v>1508</v>
      </c>
      <c r="L559" s="10"/>
      <c r="M559" s="10"/>
      <c r="N559" s="10" t="s">
        <v>1142</v>
      </c>
      <c r="O559" s="10" t="s">
        <v>1143</v>
      </c>
      <c r="P559" s="10" t="s">
        <v>1105</v>
      </c>
      <c r="Q559" s="10" t="s">
        <v>1105</v>
      </c>
    </row>
    <row r="560" spans="1:17">
      <c r="A560" s="10" t="s">
        <v>232</v>
      </c>
      <c r="B560" s="10" t="s">
        <v>233</v>
      </c>
      <c r="C560" s="10" t="s">
        <v>18</v>
      </c>
      <c r="D560" s="10" t="s">
        <v>19</v>
      </c>
      <c r="E560" s="10" t="s">
        <v>234</v>
      </c>
      <c r="F560" s="10" t="s">
        <v>56</v>
      </c>
      <c r="G560" s="10" t="s">
        <v>22</v>
      </c>
      <c r="H560" s="10" t="s">
        <v>23</v>
      </c>
      <c r="I560" s="10" t="s">
        <v>1212</v>
      </c>
      <c r="J560" s="10" t="s">
        <v>1135</v>
      </c>
      <c r="K560" s="10" t="s">
        <v>1118</v>
      </c>
      <c r="L560" s="10" t="s">
        <v>947</v>
      </c>
      <c r="M560" s="10" t="s">
        <v>1119</v>
      </c>
      <c r="N560" s="10" t="s">
        <v>1104</v>
      </c>
      <c r="O560" s="10" t="s">
        <v>1131</v>
      </c>
      <c r="P560" s="10" t="s">
        <v>1105</v>
      </c>
      <c r="Q560" s="10" t="s">
        <v>1105</v>
      </c>
    </row>
    <row r="561" spans="1:17">
      <c r="A561" s="10" t="s">
        <v>230</v>
      </c>
      <c r="B561" s="10" t="s">
        <v>231</v>
      </c>
      <c r="C561" s="10" t="s">
        <v>18</v>
      </c>
      <c r="D561" s="10" t="s">
        <v>19</v>
      </c>
      <c r="E561" s="10" t="s">
        <v>219</v>
      </c>
      <c r="F561" s="10" t="s">
        <v>51</v>
      </c>
      <c r="G561" s="10" t="s">
        <v>22</v>
      </c>
      <c r="H561" s="10" t="s">
        <v>23</v>
      </c>
      <c r="I561" s="10" t="s">
        <v>1217</v>
      </c>
      <c r="J561" s="10" t="s">
        <v>1114</v>
      </c>
      <c r="K561" s="10" t="s">
        <v>1118</v>
      </c>
      <c r="L561" s="10" t="s">
        <v>954</v>
      </c>
      <c r="M561" s="10" t="s">
        <v>954</v>
      </c>
      <c r="N561" s="10" t="s">
        <v>1104</v>
      </c>
      <c r="O561" s="10" t="s">
        <v>1203</v>
      </c>
      <c r="P561" s="10" t="s">
        <v>1105</v>
      </c>
      <c r="Q561" s="10" t="s">
        <v>1105</v>
      </c>
    </row>
    <row r="562" spans="1:17">
      <c r="A562" s="10" t="s">
        <v>228</v>
      </c>
      <c r="B562" s="10" t="s">
        <v>229</v>
      </c>
      <c r="C562" s="10" t="s">
        <v>18</v>
      </c>
      <c r="D562" s="10" t="s">
        <v>19</v>
      </c>
      <c r="E562" s="10" t="s">
        <v>227</v>
      </c>
      <c r="F562" s="10" t="s">
        <v>62</v>
      </c>
      <c r="G562" s="10" t="s">
        <v>22</v>
      </c>
      <c r="H562" s="10" t="s">
        <v>23</v>
      </c>
      <c r="I562" s="10" t="s">
        <v>1217</v>
      </c>
      <c r="J562" s="10" t="s">
        <v>1114</v>
      </c>
      <c r="K562" s="10" t="s">
        <v>1118</v>
      </c>
      <c r="L562" s="10" t="s">
        <v>954</v>
      </c>
      <c r="M562" s="10" t="s">
        <v>954</v>
      </c>
      <c r="N562" s="10" t="s">
        <v>1104</v>
      </c>
      <c r="O562" s="10" t="s">
        <v>1203</v>
      </c>
      <c r="P562" s="10" t="s">
        <v>1105</v>
      </c>
      <c r="Q562" s="10" t="s">
        <v>1105</v>
      </c>
    </row>
    <row r="563" spans="1:17">
      <c r="A563" s="10" t="s">
        <v>225</v>
      </c>
      <c r="B563" s="10" t="s">
        <v>226</v>
      </c>
      <c r="C563" s="10" t="s">
        <v>18</v>
      </c>
      <c r="D563" s="10" t="s">
        <v>19</v>
      </c>
      <c r="E563" s="10" t="s">
        <v>227</v>
      </c>
      <c r="F563" s="10" t="s">
        <v>62</v>
      </c>
      <c r="G563" s="10" t="s">
        <v>22</v>
      </c>
      <c r="H563" s="10" t="s">
        <v>23</v>
      </c>
      <c r="I563" s="10" t="s">
        <v>1212</v>
      </c>
      <c r="J563" s="10" t="s">
        <v>1135</v>
      </c>
      <c r="K563" s="10" t="s">
        <v>1118</v>
      </c>
      <c r="L563" s="10" t="s">
        <v>947</v>
      </c>
      <c r="M563" s="10" t="s">
        <v>1119</v>
      </c>
      <c r="N563" s="10" t="s">
        <v>1104</v>
      </c>
      <c r="O563" s="10" t="s">
        <v>1131</v>
      </c>
      <c r="P563" s="10" t="s">
        <v>1105</v>
      </c>
      <c r="Q563" s="10" t="s">
        <v>1105</v>
      </c>
    </row>
    <row r="564" spans="1:17">
      <c r="A564" s="10" t="s">
        <v>222</v>
      </c>
      <c r="B564" s="10" t="s">
        <v>223</v>
      </c>
      <c r="C564" s="10" t="s">
        <v>18</v>
      </c>
      <c r="D564" s="10" t="s">
        <v>19</v>
      </c>
      <c r="E564" s="10" t="s">
        <v>224</v>
      </c>
      <c r="F564" s="10" t="s">
        <v>51</v>
      </c>
      <c r="G564" s="10" t="s">
        <v>22</v>
      </c>
      <c r="H564" s="10" t="s">
        <v>23</v>
      </c>
      <c r="I564" s="10" t="s">
        <v>1212</v>
      </c>
      <c r="J564" s="10" t="s">
        <v>1135</v>
      </c>
      <c r="K564" s="10" t="s">
        <v>1118</v>
      </c>
      <c r="L564" s="10" t="s">
        <v>947</v>
      </c>
      <c r="M564" s="10" t="s">
        <v>1119</v>
      </c>
      <c r="N564" s="10" t="s">
        <v>1104</v>
      </c>
      <c r="O564" s="10" t="s">
        <v>1131</v>
      </c>
      <c r="P564" s="10" t="s">
        <v>1105</v>
      </c>
      <c r="Q564" s="10" t="s">
        <v>1105</v>
      </c>
    </row>
    <row r="565" spans="1:17">
      <c r="A565" s="10" t="s">
        <v>220</v>
      </c>
      <c r="B565" s="10" t="s">
        <v>221</v>
      </c>
      <c r="C565" s="10" t="s">
        <v>18</v>
      </c>
      <c r="D565" s="10" t="s">
        <v>19</v>
      </c>
      <c r="E565" s="10" t="s">
        <v>219</v>
      </c>
      <c r="F565" s="10" t="s">
        <v>51</v>
      </c>
      <c r="G565" s="10" t="s">
        <v>22</v>
      </c>
      <c r="H565" s="10" t="s">
        <v>23</v>
      </c>
      <c r="I565" s="10" t="s">
        <v>1212</v>
      </c>
      <c r="J565" s="10" t="s">
        <v>1135</v>
      </c>
      <c r="K565" s="10" t="s">
        <v>1118</v>
      </c>
      <c r="L565" s="10" t="s">
        <v>947</v>
      </c>
      <c r="M565" s="10" t="s">
        <v>1119</v>
      </c>
      <c r="N565" s="10" t="s">
        <v>1104</v>
      </c>
      <c r="O565" s="10" t="s">
        <v>1131</v>
      </c>
      <c r="P565" s="10" t="s">
        <v>1105</v>
      </c>
      <c r="Q565" s="10" t="s">
        <v>1105</v>
      </c>
    </row>
    <row r="566" spans="1:17">
      <c r="A566" s="10" t="s">
        <v>217</v>
      </c>
      <c r="B566" s="10" t="s">
        <v>218</v>
      </c>
      <c r="C566" s="10" t="s">
        <v>18</v>
      </c>
      <c r="D566" s="10" t="s">
        <v>19</v>
      </c>
      <c r="E566" s="10" t="s">
        <v>219</v>
      </c>
      <c r="F566" s="10" t="s">
        <v>51</v>
      </c>
      <c r="G566" s="10" t="s">
        <v>22</v>
      </c>
      <c r="H566" s="10" t="s">
        <v>23</v>
      </c>
      <c r="I566" s="10" t="s">
        <v>1509</v>
      </c>
      <c r="J566" s="10" t="s">
        <v>1123</v>
      </c>
      <c r="K566" s="10" t="s">
        <v>1118</v>
      </c>
      <c r="L566" s="10" t="s">
        <v>947</v>
      </c>
      <c r="M566" s="10" t="s">
        <v>1103</v>
      </c>
      <c r="N566" s="10" t="s">
        <v>1104</v>
      </c>
      <c r="O566" s="10" t="s">
        <v>1265</v>
      </c>
      <c r="P566" s="10" t="s">
        <v>1105</v>
      </c>
      <c r="Q566" s="10" t="s">
        <v>1105</v>
      </c>
    </row>
    <row r="567" spans="1:17">
      <c r="A567" s="10" t="s">
        <v>214</v>
      </c>
      <c r="B567" s="10" t="s">
        <v>215</v>
      </c>
      <c r="C567" s="10" t="s">
        <v>18</v>
      </c>
      <c r="D567" s="10" t="s">
        <v>19</v>
      </c>
      <c r="E567" s="10" t="s">
        <v>170</v>
      </c>
      <c r="F567" s="10" t="s">
        <v>156</v>
      </c>
      <c r="G567" s="10" t="s">
        <v>156</v>
      </c>
      <c r="H567" s="10" t="s">
        <v>23</v>
      </c>
      <c r="I567" s="10" t="s">
        <v>1154</v>
      </c>
      <c r="J567" s="10" t="s">
        <v>1123</v>
      </c>
      <c r="K567" s="10" t="s">
        <v>1155</v>
      </c>
      <c r="L567" s="10" t="s">
        <v>947</v>
      </c>
      <c r="M567" s="10" t="s">
        <v>1103</v>
      </c>
      <c r="N567" s="10" t="s">
        <v>1104</v>
      </c>
      <c r="O567" s="10" t="s">
        <v>216</v>
      </c>
      <c r="P567" s="10" t="s">
        <v>1105</v>
      </c>
      <c r="Q567" s="10" t="s">
        <v>1105</v>
      </c>
    </row>
    <row r="568" spans="1:17" ht="36">
      <c r="A568" s="10" t="s">
        <v>1510</v>
      </c>
      <c r="B568" s="10" t="s">
        <v>1511</v>
      </c>
      <c r="C568" s="10" t="s">
        <v>18</v>
      </c>
      <c r="D568" s="10" t="s">
        <v>107</v>
      </c>
      <c r="E568" s="10" t="s">
        <v>1476</v>
      </c>
      <c r="F568" s="10" t="s">
        <v>1476</v>
      </c>
      <c r="G568" s="10" t="s">
        <v>723</v>
      </c>
      <c r="H568" s="10" t="s">
        <v>110</v>
      </c>
      <c r="I568" s="10"/>
      <c r="J568" s="10"/>
      <c r="K568" s="10" t="s">
        <v>1477</v>
      </c>
      <c r="L568" s="10"/>
      <c r="M568" s="10"/>
      <c r="N568" s="10" t="s">
        <v>1142</v>
      </c>
      <c r="O568" s="10" t="s">
        <v>1143</v>
      </c>
      <c r="P568" s="10" t="s">
        <v>1105</v>
      </c>
      <c r="Q568" s="10" t="s">
        <v>1105</v>
      </c>
    </row>
    <row r="569" spans="1:17" ht="36">
      <c r="A569" s="10" t="s">
        <v>1512</v>
      </c>
      <c r="B569" s="10" t="s">
        <v>1513</v>
      </c>
      <c r="C569" s="10" t="s">
        <v>18</v>
      </c>
      <c r="D569" s="10" t="s">
        <v>107</v>
      </c>
      <c r="E569" s="10" t="s">
        <v>1476</v>
      </c>
      <c r="F569" s="10" t="s">
        <v>1476</v>
      </c>
      <c r="G569" s="10" t="s">
        <v>723</v>
      </c>
      <c r="H569" s="10" t="s">
        <v>110</v>
      </c>
      <c r="I569" s="10"/>
      <c r="J569" s="10"/>
      <c r="K569" s="10" t="s">
        <v>1480</v>
      </c>
      <c r="L569" s="10"/>
      <c r="M569" s="10"/>
      <c r="N569" s="10" t="s">
        <v>1142</v>
      </c>
      <c r="O569" s="10" t="s">
        <v>1143</v>
      </c>
      <c r="P569" s="10" t="s">
        <v>1105</v>
      </c>
      <c r="Q569" s="10" t="s">
        <v>1105</v>
      </c>
    </row>
    <row r="570" spans="1:17">
      <c r="A570" s="10" t="s">
        <v>1514</v>
      </c>
      <c r="B570" s="10" t="s">
        <v>1515</v>
      </c>
      <c r="C570" s="10" t="s">
        <v>18</v>
      </c>
      <c r="D570" s="10" t="s">
        <v>107</v>
      </c>
      <c r="E570" s="10" t="s">
        <v>632</v>
      </c>
      <c r="F570" s="10" t="s">
        <v>618</v>
      </c>
      <c r="G570" s="10" t="s">
        <v>156</v>
      </c>
      <c r="H570" s="10" t="s">
        <v>110</v>
      </c>
      <c r="I570" s="10" t="s">
        <v>1127</v>
      </c>
      <c r="J570" s="10" t="s">
        <v>1128</v>
      </c>
      <c r="K570" s="10" t="s">
        <v>1126</v>
      </c>
      <c r="L570" s="10" t="s">
        <v>947</v>
      </c>
      <c r="M570" s="10" t="s">
        <v>1129</v>
      </c>
      <c r="N570" s="10" t="s">
        <v>1104</v>
      </c>
      <c r="O570" s="10" t="s">
        <v>377</v>
      </c>
      <c r="P570" s="10" t="s">
        <v>1105</v>
      </c>
      <c r="Q570" s="10" t="s">
        <v>1105</v>
      </c>
    </row>
    <row r="571" spans="1:17">
      <c r="A571" s="10" t="s">
        <v>1516</v>
      </c>
      <c r="B571" s="10" t="s">
        <v>1517</v>
      </c>
      <c r="C571" s="10" t="s">
        <v>18</v>
      </c>
      <c r="D571" s="10" t="s">
        <v>107</v>
      </c>
      <c r="E571" s="10" t="s">
        <v>617</v>
      </c>
      <c r="F571" s="10" t="s">
        <v>618</v>
      </c>
      <c r="G571" s="10" t="s">
        <v>156</v>
      </c>
      <c r="H571" s="10" t="s">
        <v>110</v>
      </c>
      <c r="I571" s="10" t="s">
        <v>1127</v>
      </c>
      <c r="J571" s="10" t="s">
        <v>1128</v>
      </c>
      <c r="K571" s="10" t="s">
        <v>1126</v>
      </c>
      <c r="L571" s="10" t="s">
        <v>947</v>
      </c>
      <c r="M571" s="10" t="s">
        <v>1129</v>
      </c>
      <c r="N571" s="10" t="s">
        <v>1104</v>
      </c>
      <c r="O571" s="10" t="s">
        <v>1408</v>
      </c>
      <c r="P571" s="10" t="s">
        <v>1105</v>
      </c>
      <c r="Q571" s="10" t="s">
        <v>1105</v>
      </c>
    </row>
    <row r="572" spans="1:17">
      <c r="A572" s="10" t="s">
        <v>1518</v>
      </c>
      <c r="B572" s="10" t="s">
        <v>1519</v>
      </c>
      <c r="C572" s="10" t="s">
        <v>18</v>
      </c>
      <c r="D572" s="10" t="s">
        <v>107</v>
      </c>
      <c r="E572" s="10" t="s">
        <v>617</v>
      </c>
      <c r="F572" s="10" t="s">
        <v>618</v>
      </c>
      <c r="G572" s="10" t="s">
        <v>156</v>
      </c>
      <c r="H572" s="10" t="s">
        <v>110</v>
      </c>
      <c r="I572" s="10" t="s">
        <v>1127</v>
      </c>
      <c r="J572" s="10" t="s">
        <v>1128</v>
      </c>
      <c r="K572" s="10" t="s">
        <v>1126</v>
      </c>
      <c r="L572" s="10" t="s">
        <v>947</v>
      </c>
      <c r="M572" s="10" t="s">
        <v>1129</v>
      </c>
      <c r="N572" s="10" t="s">
        <v>1104</v>
      </c>
      <c r="O572" s="10" t="s">
        <v>377</v>
      </c>
      <c r="P572" s="10" t="s">
        <v>1105</v>
      </c>
      <c r="Q572" s="10" t="s">
        <v>1105</v>
      </c>
    </row>
    <row r="573" spans="1:17">
      <c r="A573" s="10" t="s">
        <v>1520</v>
      </c>
      <c r="B573" s="10" t="s">
        <v>1521</v>
      </c>
      <c r="C573" s="10" t="s">
        <v>18</v>
      </c>
      <c r="D573" s="10" t="s">
        <v>107</v>
      </c>
      <c r="E573" s="10" t="s">
        <v>632</v>
      </c>
      <c r="F573" s="10" t="s">
        <v>618</v>
      </c>
      <c r="G573" s="10" t="s">
        <v>156</v>
      </c>
      <c r="H573" s="10" t="s">
        <v>110</v>
      </c>
      <c r="I573" s="10" t="s">
        <v>1116</v>
      </c>
      <c r="J573" s="10" t="s">
        <v>1117</v>
      </c>
      <c r="K573" s="10" t="s">
        <v>1118</v>
      </c>
      <c r="L573" s="10" t="s">
        <v>947</v>
      </c>
      <c r="M573" s="10" t="s">
        <v>1119</v>
      </c>
      <c r="N573" s="10" t="s">
        <v>1104</v>
      </c>
      <c r="O573" s="10" t="s">
        <v>362</v>
      </c>
      <c r="P573" s="10" t="s">
        <v>1105</v>
      </c>
      <c r="Q573" s="10" t="s">
        <v>1105</v>
      </c>
    </row>
    <row r="574" spans="1:17">
      <c r="A574" s="10" t="s">
        <v>1522</v>
      </c>
      <c r="B574" s="10" t="s">
        <v>1523</v>
      </c>
      <c r="C574" s="10" t="s">
        <v>18</v>
      </c>
      <c r="D574" s="10" t="s">
        <v>107</v>
      </c>
      <c r="E574" s="10" t="s">
        <v>531</v>
      </c>
      <c r="F574" s="10" t="s">
        <v>532</v>
      </c>
      <c r="G574" s="10" t="s">
        <v>42</v>
      </c>
      <c r="H574" s="10" t="s">
        <v>110</v>
      </c>
      <c r="I574" s="10" t="s">
        <v>1127</v>
      </c>
      <c r="J574" s="10" t="s">
        <v>1128</v>
      </c>
      <c r="K574" s="10" t="s">
        <v>1126</v>
      </c>
      <c r="L574" s="10" t="s">
        <v>947</v>
      </c>
      <c r="M574" s="10" t="s">
        <v>1129</v>
      </c>
      <c r="N574" s="10" t="s">
        <v>1104</v>
      </c>
      <c r="O574" s="10" t="s">
        <v>1408</v>
      </c>
      <c r="P574" s="10" t="s">
        <v>1105</v>
      </c>
      <c r="Q574" s="10" t="s">
        <v>1105</v>
      </c>
    </row>
    <row r="575" spans="1:17">
      <c r="A575" s="10" t="s">
        <v>1524</v>
      </c>
      <c r="B575" s="10" t="s">
        <v>1525</v>
      </c>
      <c r="C575" s="10" t="s">
        <v>18</v>
      </c>
      <c r="D575" s="10" t="s">
        <v>107</v>
      </c>
      <c r="E575" s="10" t="s">
        <v>365</v>
      </c>
      <c r="F575" s="10" t="s">
        <v>366</v>
      </c>
      <c r="G575" s="10" t="s">
        <v>38</v>
      </c>
      <c r="H575" s="10" t="s">
        <v>110</v>
      </c>
      <c r="I575" s="10" t="s">
        <v>1127</v>
      </c>
      <c r="J575" s="10" t="s">
        <v>1128</v>
      </c>
      <c r="K575" s="10" t="s">
        <v>1126</v>
      </c>
      <c r="L575" s="10" t="s">
        <v>947</v>
      </c>
      <c r="M575" s="10" t="s">
        <v>1129</v>
      </c>
      <c r="N575" s="10" t="s">
        <v>1104</v>
      </c>
      <c r="O575" s="10" t="s">
        <v>351</v>
      </c>
      <c r="P575" s="10" t="s">
        <v>1105</v>
      </c>
      <c r="Q575" s="10" t="s">
        <v>1105</v>
      </c>
    </row>
    <row r="576" spans="1:17">
      <c r="A576" s="10" t="s">
        <v>1526</v>
      </c>
      <c r="B576" s="10" t="s">
        <v>1527</v>
      </c>
      <c r="C576" s="10" t="s">
        <v>18</v>
      </c>
      <c r="D576" s="10" t="s">
        <v>107</v>
      </c>
      <c r="E576" s="10" t="s">
        <v>531</v>
      </c>
      <c r="F576" s="10" t="s">
        <v>532</v>
      </c>
      <c r="G576" s="10" t="s">
        <v>42</v>
      </c>
      <c r="H576" s="10" t="s">
        <v>110</v>
      </c>
      <c r="I576" s="10" t="s">
        <v>1137</v>
      </c>
      <c r="J576" s="10" t="s">
        <v>1128</v>
      </c>
      <c r="K576" s="10" t="s">
        <v>1138</v>
      </c>
      <c r="L576" s="10" t="s">
        <v>947</v>
      </c>
      <c r="M576" s="10" t="s">
        <v>1129</v>
      </c>
      <c r="N576" s="10" t="s">
        <v>1104</v>
      </c>
      <c r="O576" s="10" t="s">
        <v>1408</v>
      </c>
      <c r="P576" s="10" t="s">
        <v>1105</v>
      </c>
      <c r="Q576" s="10" t="s">
        <v>1105</v>
      </c>
    </row>
    <row r="577" spans="1:17">
      <c r="A577" s="10" t="s">
        <v>1528</v>
      </c>
      <c r="B577" s="10" t="s">
        <v>1529</v>
      </c>
      <c r="C577" s="10" t="s">
        <v>18</v>
      </c>
      <c r="D577" s="10" t="s">
        <v>107</v>
      </c>
      <c r="E577" s="10" t="s">
        <v>365</v>
      </c>
      <c r="F577" s="10" t="s">
        <v>366</v>
      </c>
      <c r="G577" s="10" t="s">
        <v>38</v>
      </c>
      <c r="H577" s="10" t="s">
        <v>110</v>
      </c>
      <c r="I577" s="10" t="s">
        <v>1137</v>
      </c>
      <c r="J577" s="10" t="s">
        <v>1128</v>
      </c>
      <c r="K577" s="10" t="s">
        <v>1138</v>
      </c>
      <c r="L577" s="10" t="s">
        <v>947</v>
      </c>
      <c r="M577" s="10" t="s">
        <v>1129</v>
      </c>
      <c r="N577" s="10" t="s">
        <v>1104</v>
      </c>
      <c r="O577" s="10" t="s">
        <v>351</v>
      </c>
      <c r="P577" s="10" t="s">
        <v>1105</v>
      </c>
      <c r="Q577" s="10" t="s">
        <v>1105</v>
      </c>
    </row>
    <row r="578" spans="1:17">
      <c r="A578" s="10" t="s">
        <v>1530</v>
      </c>
      <c r="B578" s="10" t="s">
        <v>1531</v>
      </c>
      <c r="C578" s="10" t="s">
        <v>18</v>
      </c>
      <c r="D578" s="10" t="s">
        <v>107</v>
      </c>
      <c r="E578" s="10" t="s">
        <v>617</v>
      </c>
      <c r="F578" s="10" t="s">
        <v>618</v>
      </c>
      <c r="G578" s="10" t="s">
        <v>156</v>
      </c>
      <c r="H578" s="10" t="s">
        <v>110</v>
      </c>
      <c r="I578" s="10" t="s">
        <v>1116</v>
      </c>
      <c r="J578" s="10" t="s">
        <v>1117</v>
      </c>
      <c r="K578" s="10" t="s">
        <v>1118</v>
      </c>
      <c r="L578" s="10" t="s">
        <v>947</v>
      </c>
      <c r="M578" s="10" t="s">
        <v>1119</v>
      </c>
      <c r="N578" s="10" t="s">
        <v>1104</v>
      </c>
      <c r="O578" s="10" t="s">
        <v>362</v>
      </c>
      <c r="P578" s="10" t="s">
        <v>1105</v>
      </c>
      <c r="Q578" s="10" t="s">
        <v>1105</v>
      </c>
    </row>
    <row r="579" spans="1:17">
      <c r="A579" s="10" t="s">
        <v>1532</v>
      </c>
      <c r="B579" s="10" t="s">
        <v>1533</v>
      </c>
      <c r="C579" s="10" t="s">
        <v>18</v>
      </c>
      <c r="D579" s="10" t="s">
        <v>107</v>
      </c>
      <c r="E579" s="10" t="s">
        <v>360</v>
      </c>
      <c r="F579" s="10" t="s">
        <v>361</v>
      </c>
      <c r="G579" s="10" t="s">
        <v>250</v>
      </c>
      <c r="H579" s="10" t="s">
        <v>110</v>
      </c>
      <c r="I579" s="10" t="s">
        <v>1211</v>
      </c>
      <c r="J579" s="10" t="s">
        <v>1117</v>
      </c>
      <c r="K579" s="10" t="s">
        <v>1447</v>
      </c>
      <c r="L579" s="10" t="s">
        <v>947</v>
      </c>
      <c r="M579" s="10" t="s">
        <v>1119</v>
      </c>
      <c r="N579" s="10" t="s">
        <v>1104</v>
      </c>
      <c r="O579" s="10" t="s">
        <v>205</v>
      </c>
      <c r="P579" s="10" t="s">
        <v>1105</v>
      </c>
      <c r="Q579" s="10" t="s">
        <v>1105</v>
      </c>
    </row>
    <row r="580" spans="1:17">
      <c r="A580" s="10" t="s">
        <v>1534</v>
      </c>
      <c r="B580" s="10" t="s">
        <v>1535</v>
      </c>
      <c r="C580" s="10" t="s">
        <v>18</v>
      </c>
      <c r="D580" s="10" t="s">
        <v>107</v>
      </c>
      <c r="E580" s="10" t="s">
        <v>360</v>
      </c>
      <c r="F580" s="10" t="s">
        <v>361</v>
      </c>
      <c r="G580" s="10" t="s">
        <v>250</v>
      </c>
      <c r="H580" s="10" t="s">
        <v>110</v>
      </c>
      <c r="I580" s="10" t="s">
        <v>1127</v>
      </c>
      <c r="J580" s="10" t="s">
        <v>1128</v>
      </c>
      <c r="K580" s="10" t="s">
        <v>1126</v>
      </c>
      <c r="L580" s="10" t="s">
        <v>947</v>
      </c>
      <c r="M580" s="10" t="s">
        <v>1129</v>
      </c>
      <c r="N580" s="10" t="s">
        <v>1104</v>
      </c>
      <c r="O580" s="10" t="s">
        <v>205</v>
      </c>
      <c r="P580" s="10" t="s">
        <v>1105</v>
      </c>
      <c r="Q580" s="10" t="s">
        <v>1105</v>
      </c>
    </row>
    <row r="581" spans="1:17">
      <c r="A581" s="10" t="s">
        <v>1536</v>
      </c>
      <c r="B581" s="10" t="s">
        <v>1537</v>
      </c>
      <c r="C581" s="10" t="s">
        <v>18</v>
      </c>
      <c r="D581" s="10" t="s">
        <v>107</v>
      </c>
      <c r="E581" s="10" t="s">
        <v>360</v>
      </c>
      <c r="F581" s="10" t="s">
        <v>361</v>
      </c>
      <c r="G581" s="10" t="s">
        <v>250</v>
      </c>
      <c r="H581" s="10" t="s">
        <v>110</v>
      </c>
      <c r="I581" s="10" t="s">
        <v>1127</v>
      </c>
      <c r="J581" s="10" t="s">
        <v>1128</v>
      </c>
      <c r="K581" s="10" t="s">
        <v>1126</v>
      </c>
      <c r="L581" s="10" t="s">
        <v>947</v>
      </c>
      <c r="M581" s="10" t="s">
        <v>1129</v>
      </c>
      <c r="N581" s="10" t="s">
        <v>1104</v>
      </c>
      <c r="O581" s="10" t="s">
        <v>205</v>
      </c>
      <c r="P581" s="10" t="s">
        <v>1105</v>
      </c>
      <c r="Q581" s="10" t="s">
        <v>1105</v>
      </c>
    </row>
    <row r="582" spans="1:17">
      <c r="A582" s="10" t="s">
        <v>1538</v>
      </c>
      <c r="B582" s="10" t="s">
        <v>1539</v>
      </c>
      <c r="C582" s="10" t="s">
        <v>18</v>
      </c>
      <c r="D582" s="10" t="s">
        <v>107</v>
      </c>
      <c r="E582" s="10" t="s">
        <v>360</v>
      </c>
      <c r="F582" s="10" t="s">
        <v>361</v>
      </c>
      <c r="G582" s="10" t="s">
        <v>250</v>
      </c>
      <c r="H582" s="10" t="s">
        <v>110</v>
      </c>
      <c r="I582" s="10" t="s">
        <v>1127</v>
      </c>
      <c r="J582" s="10" t="s">
        <v>1128</v>
      </c>
      <c r="K582" s="10" t="s">
        <v>1126</v>
      </c>
      <c r="L582" s="10" t="s">
        <v>947</v>
      </c>
      <c r="M582" s="10" t="s">
        <v>1129</v>
      </c>
      <c r="N582" s="10" t="s">
        <v>1104</v>
      </c>
      <c r="O582" s="10" t="s">
        <v>205</v>
      </c>
      <c r="P582" s="10" t="s">
        <v>1105</v>
      </c>
      <c r="Q582" s="10" t="s">
        <v>1105</v>
      </c>
    </row>
    <row r="583" spans="1:17">
      <c r="A583" s="10" t="s">
        <v>212</v>
      </c>
      <c r="B583" s="10" t="s">
        <v>213</v>
      </c>
      <c r="C583" s="10" t="s">
        <v>28</v>
      </c>
      <c r="D583" s="10" t="s">
        <v>29</v>
      </c>
      <c r="E583" s="10" t="s">
        <v>29</v>
      </c>
      <c r="F583" s="10" t="s">
        <v>51</v>
      </c>
      <c r="G583" s="10" t="s">
        <v>22</v>
      </c>
      <c r="H583" s="10" t="s">
        <v>29</v>
      </c>
      <c r="I583" s="10" t="s">
        <v>1122</v>
      </c>
      <c r="J583" s="10" t="s">
        <v>1123</v>
      </c>
      <c r="K583" s="10" t="s">
        <v>1124</v>
      </c>
      <c r="L583" s="10" t="s">
        <v>947</v>
      </c>
      <c r="M583" s="10" t="s">
        <v>1103</v>
      </c>
      <c r="N583" s="10" t="s">
        <v>1104</v>
      </c>
      <c r="O583" s="10" t="s">
        <v>1265</v>
      </c>
      <c r="P583" s="10" t="s">
        <v>1105</v>
      </c>
      <c r="Q583" s="10" t="s">
        <v>1105</v>
      </c>
    </row>
    <row r="584" spans="1:17">
      <c r="A584" s="10" t="s">
        <v>210</v>
      </c>
      <c r="B584" s="10" t="s">
        <v>211</v>
      </c>
      <c r="C584" s="10" t="s">
        <v>28</v>
      </c>
      <c r="D584" s="10" t="s">
        <v>29</v>
      </c>
      <c r="E584" s="10" t="s">
        <v>29</v>
      </c>
      <c r="F584" s="10" t="s">
        <v>51</v>
      </c>
      <c r="G584" s="10" t="s">
        <v>22</v>
      </c>
      <c r="H584" s="10" t="s">
        <v>29</v>
      </c>
      <c r="I584" s="10" t="s">
        <v>1116</v>
      </c>
      <c r="J584" s="10" t="s">
        <v>1135</v>
      </c>
      <c r="K584" s="10" t="s">
        <v>1124</v>
      </c>
      <c r="L584" s="10" t="s">
        <v>947</v>
      </c>
      <c r="M584" s="10" t="s">
        <v>1119</v>
      </c>
      <c r="N584" s="10" t="s">
        <v>1104</v>
      </c>
      <c r="O584" s="10" t="s">
        <v>1131</v>
      </c>
      <c r="P584" s="10" t="s">
        <v>1105</v>
      </c>
      <c r="Q584" s="10" t="s">
        <v>1105</v>
      </c>
    </row>
    <row r="585" spans="1:17">
      <c r="A585" s="10" t="s">
        <v>208</v>
      </c>
      <c r="B585" s="10" t="s">
        <v>209</v>
      </c>
      <c r="C585" s="10" t="s">
        <v>18</v>
      </c>
      <c r="D585" s="10" t="s">
        <v>80</v>
      </c>
      <c r="E585" s="10" t="s">
        <v>201</v>
      </c>
      <c r="F585" s="10" t="s">
        <v>202</v>
      </c>
      <c r="G585" s="10" t="s">
        <v>156</v>
      </c>
      <c r="H585" s="10" t="s">
        <v>83</v>
      </c>
      <c r="I585" s="10" t="s">
        <v>1217</v>
      </c>
      <c r="J585" s="10" t="s">
        <v>1101</v>
      </c>
      <c r="K585" s="10" t="s">
        <v>1218</v>
      </c>
      <c r="L585" s="10" t="s">
        <v>947</v>
      </c>
      <c r="M585" s="10" t="s">
        <v>1103</v>
      </c>
      <c r="N585" s="10" t="s">
        <v>1104</v>
      </c>
      <c r="O585" s="10" t="s">
        <v>1265</v>
      </c>
      <c r="P585" s="10" t="s">
        <v>1105</v>
      </c>
      <c r="Q585" s="10" t="s">
        <v>1105</v>
      </c>
    </row>
    <row r="586" spans="1:17">
      <c r="A586" s="10" t="s">
        <v>206</v>
      </c>
      <c r="B586" s="10" t="s">
        <v>207</v>
      </c>
      <c r="C586" s="10" t="s">
        <v>18</v>
      </c>
      <c r="D586" s="10" t="s">
        <v>80</v>
      </c>
      <c r="E586" s="10" t="s">
        <v>201</v>
      </c>
      <c r="F586" s="10" t="s">
        <v>202</v>
      </c>
      <c r="G586" s="10" t="s">
        <v>156</v>
      </c>
      <c r="H586" s="10" t="s">
        <v>83</v>
      </c>
      <c r="I586" s="10" t="s">
        <v>1219</v>
      </c>
      <c r="J586" s="10" t="s">
        <v>1135</v>
      </c>
      <c r="K586" s="10" t="s">
        <v>1220</v>
      </c>
      <c r="L586" s="10" t="s">
        <v>947</v>
      </c>
      <c r="M586" s="10" t="s">
        <v>1119</v>
      </c>
      <c r="N586" s="10" t="s">
        <v>1104</v>
      </c>
      <c r="O586" s="10" t="s">
        <v>1131</v>
      </c>
      <c r="P586" s="10" t="s">
        <v>1105</v>
      </c>
      <c r="Q586" s="10" t="s">
        <v>1105</v>
      </c>
    </row>
    <row r="587" spans="1:17">
      <c r="A587" s="10" t="s">
        <v>203</v>
      </c>
      <c r="B587" s="10" t="s">
        <v>204</v>
      </c>
      <c r="C587" s="10" t="s">
        <v>18</v>
      </c>
      <c r="D587" s="10" t="s">
        <v>80</v>
      </c>
      <c r="E587" s="10" t="s">
        <v>201</v>
      </c>
      <c r="F587" s="10" t="s">
        <v>202</v>
      </c>
      <c r="G587" s="10" t="s">
        <v>156</v>
      </c>
      <c r="H587" s="10" t="s">
        <v>83</v>
      </c>
      <c r="I587" s="10" t="s">
        <v>1217</v>
      </c>
      <c r="J587" s="10" t="s">
        <v>1101</v>
      </c>
      <c r="K587" s="10" t="s">
        <v>1218</v>
      </c>
      <c r="L587" s="10" t="s">
        <v>947</v>
      </c>
      <c r="M587" s="10" t="s">
        <v>1103</v>
      </c>
      <c r="N587" s="10" t="s">
        <v>1104</v>
      </c>
      <c r="O587" s="10" t="s">
        <v>351</v>
      </c>
      <c r="P587" s="10" t="s">
        <v>1105</v>
      </c>
      <c r="Q587" s="10" t="s">
        <v>1105</v>
      </c>
    </row>
    <row r="588" spans="1:17">
      <c r="A588" s="10" t="s">
        <v>199</v>
      </c>
      <c r="B588" s="10" t="s">
        <v>200</v>
      </c>
      <c r="C588" s="10" t="s">
        <v>18</v>
      </c>
      <c r="D588" s="10" t="s">
        <v>80</v>
      </c>
      <c r="E588" s="10" t="s">
        <v>201</v>
      </c>
      <c r="F588" s="10" t="s">
        <v>202</v>
      </c>
      <c r="G588" s="10" t="s">
        <v>156</v>
      </c>
      <c r="H588" s="10" t="s">
        <v>83</v>
      </c>
      <c r="I588" s="10" t="s">
        <v>1219</v>
      </c>
      <c r="J588" s="10" t="s">
        <v>1135</v>
      </c>
      <c r="K588" s="10" t="s">
        <v>1220</v>
      </c>
      <c r="L588" s="10" t="s">
        <v>947</v>
      </c>
      <c r="M588" s="10" t="s">
        <v>1119</v>
      </c>
      <c r="N588" s="10" t="s">
        <v>1104</v>
      </c>
      <c r="O588" s="10" t="s">
        <v>1131</v>
      </c>
      <c r="P588" s="10" t="s">
        <v>1105</v>
      </c>
      <c r="Q588" s="10" t="s">
        <v>1105</v>
      </c>
    </row>
    <row r="589" spans="1:17">
      <c r="A589" s="10" t="s">
        <v>195</v>
      </c>
      <c r="B589" s="10" t="s">
        <v>196</v>
      </c>
      <c r="C589" s="10" t="s">
        <v>18</v>
      </c>
      <c r="D589" s="10" t="s">
        <v>80</v>
      </c>
      <c r="E589" s="10" t="s">
        <v>197</v>
      </c>
      <c r="F589" s="10" t="s">
        <v>198</v>
      </c>
      <c r="G589" s="10" t="s">
        <v>42</v>
      </c>
      <c r="H589" s="10" t="s">
        <v>83</v>
      </c>
      <c r="I589" s="10" t="s">
        <v>1219</v>
      </c>
      <c r="J589" s="10" t="s">
        <v>1135</v>
      </c>
      <c r="K589" s="10" t="s">
        <v>1220</v>
      </c>
      <c r="L589" s="10" t="s">
        <v>947</v>
      </c>
      <c r="M589" s="10" t="s">
        <v>1119</v>
      </c>
      <c r="N589" s="10" t="s">
        <v>1104</v>
      </c>
      <c r="O589" s="10" t="s">
        <v>1131</v>
      </c>
      <c r="P589" s="10" t="s">
        <v>1105</v>
      </c>
      <c r="Q589" s="10" t="s">
        <v>1105</v>
      </c>
    </row>
    <row r="590" spans="1:17">
      <c r="A590" s="10" t="s">
        <v>193</v>
      </c>
      <c r="B590" s="10" t="s">
        <v>194</v>
      </c>
      <c r="C590" s="10" t="s">
        <v>18</v>
      </c>
      <c r="D590" s="10" t="s">
        <v>80</v>
      </c>
      <c r="E590" s="10" t="s">
        <v>189</v>
      </c>
      <c r="F590" s="10" t="s">
        <v>190</v>
      </c>
      <c r="G590" s="10" t="s">
        <v>38</v>
      </c>
      <c r="H590" s="10" t="s">
        <v>83</v>
      </c>
      <c r="I590" s="10" t="s">
        <v>1217</v>
      </c>
      <c r="J590" s="10" t="s">
        <v>1101</v>
      </c>
      <c r="K590" s="10" t="s">
        <v>1218</v>
      </c>
      <c r="L590" s="10" t="s">
        <v>947</v>
      </c>
      <c r="M590" s="10" t="s">
        <v>1103</v>
      </c>
      <c r="N590" s="10" t="s">
        <v>1104</v>
      </c>
      <c r="O590" s="10" t="s">
        <v>1265</v>
      </c>
      <c r="P590" s="10" t="s">
        <v>1105</v>
      </c>
      <c r="Q590" s="10" t="s">
        <v>1105</v>
      </c>
    </row>
    <row r="591" spans="1:17">
      <c r="A591" s="10" t="s">
        <v>191</v>
      </c>
      <c r="B591" s="10" t="s">
        <v>192</v>
      </c>
      <c r="C591" s="10" t="s">
        <v>18</v>
      </c>
      <c r="D591" s="10" t="s">
        <v>80</v>
      </c>
      <c r="E591" s="10" t="s">
        <v>189</v>
      </c>
      <c r="F591" s="10" t="s">
        <v>190</v>
      </c>
      <c r="G591" s="10" t="s">
        <v>38</v>
      </c>
      <c r="H591" s="10" t="s">
        <v>83</v>
      </c>
      <c r="I591" s="10" t="s">
        <v>1219</v>
      </c>
      <c r="J591" s="10" t="s">
        <v>1135</v>
      </c>
      <c r="K591" s="10" t="s">
        <v>1220</v>
      </c>
      <c r="L591" s="10" t="s">
        <v>947</v>
      </c>
      <c r="M591" s="10" t="s">
        <v>1119</v>
      </c>
      <c r="N591" s="10" t="s">
        <v>1104</v>
      </c>
      <c r="O591" s="10" t="s">
        <v>1131</v>
      </c>
      <c r="P591" s="10" t="s">
        <v>1105</v>
      </c>
      <c r="Q591" s="10" t="s">
        <v>1105</v>
      </c>
    </row>
    <row r="592" spans="1:17">
      <c r="A592" s="10" t="s">
        <v>187</v>
      </c>
      <c r="B592" s="10" t="s">
        <v>188</v>
      </c>
      <c r="C592" s="10" t="s">
        <v>18</v>
      </c>
      <c r="D592" s="10" t="s">
        <v>80</v>
      </c>
      <c r="E592" s="10" t="s">
        <v>189</v>
      </c>
      <c r="F592" s="10" t="s">
        <v>190</v>
      </c>
      <c r="G592" s="10" t="s">
        <v>38</v>
      </c>
      <c r="H592" s="10" t="s">
        <v>83</v>
      </c>
      <c r="I592" s="10" t="s">
        <v>1400</v>
      </c>
      <c r="J592" s="10" t="s">
        <v>1135</v>
      </c>
      <c r="K592" s="10" t="s">
        <v>1401</v>
      </c>
      <c r="L592" s="10" t="s">
        <v>947</v>
      </c>
      <c r="M592" s="10" t="s">
        <v>1129</v>
      </c>
      <c r="N592" s="10" t="s">
        <v>1104</v>
      </c>
      <c r="O592" s="10" t="s">
        <v>1136</v>
      </c>
      <c r="P592" s="10" t="s">
        <v>1105</v>
      </c>
      <c r="Q592" s="10" t="s">
        <v>1105</v>
      </c>
    </row>
    <row r="593" spans="1:17">
      <c r="A593" s="10" t="s">
        <v>185</v>
      </c>
      <c r="B593" s="10" t="s">
        <v>186</v>
      </c>
      <c r="C593" s="10" t="s">
        <v>18</v>
      </c>
      <c r="D593" s="10" t="s">
        <v>19</v>
      </c>
      <c r="E593" s="10" t="s">
        <v>170</v>
      </c>
      <c r="F593" s="10" t="s">
        <v>156</v>
      </c>
      <c r="G593" s="10" t="s">
        <v>156</v>
      </c>
      <c r="H593" s="10" t="s">
        <v>23</v>
      </c>
      <c r="I593" s="10" t="s">
        <v>1148</v>
      </c>
      <c r="J593" s="10" t="s">
        <v>1114</v>
      </c>
      <c r="K593" s="10" t="s">
        <v>1124</v>
      </c>
      <c r="L593" s="10" t="s">
        <v>954</v>
      </c>
      <c r="M593" s="10" t="s">
        <v>954</v>
      </c>
      <c r="N593" s="10" t="s">
        <v>1104</v>
      </c>
      <c r="O593" s="10" t="s">
        <v>1203</v>
      </c>
      <c r="P593" s="10" t="s">
        <v>1105</v>
      </c>
      <c r="Q593" s="10" t="s">
        <v>1105</v>
      </c>
    </row>
    <row r="594" spans="1:17">
      <c r="A594" s="10" t="s">
        <v>183</v>
      </c>
      <c r="B594" s="10" t="s">
        <v>184</v>
      </c>
      <c r="C594" s="10" t="s">
        <v>18</v>
      </c>
      <c r="D594" s="10" t="s">
        <v>19</v>
      </c>
      <c r="E594" s="10" t="s">
        <v>170</v>
      </c>
      <c r="F594" s="10" t="s">
        <v>156</v>
      </c>
      <c r="G594" s="10" t="s">
        <v>156</v>
      </c>
      <c r="H594" s="10" t="s">
        <v>23</v>
      </c>
      <c r="I594" s="10" t="s">
        <v>1148</v>
      </c>
      <c r="J594" s="10" t="s">
        <v>1114</v>
      </c>
      <c r="K594" s="10" t="s">
        <v>1124</v>
      </c>
      <c r="L594" s="10" t="s">
        <v>954</v>
      </c>
      <c r="M594" s="10" t="s">
        <v>954</v>
      </c>
      <c r="N594" s="10" t="s">
        <v>1104</v>
      </c>
      <c r="O594" s="10" t="s">
        <v>1203</v>
      </c>
      <c r="P594" s="10" t="s">
        <v>1105</v>
      </c>
      <c r="Q594" s="10" t="s">
        <v>1105</v>
      </c>
    </row>
    <row r="595" spans="1:17">
      <c r="A595" s="10" t="s">
        <v>181</v>
      </c>
      <c r="B595" s="10" t="s">
        <v>182</v>
      </c>
      <c r="C595" s="10" t="s">
        <v>18</v>
      </c>
      <c r="D595" s="10" t="s">
        <v>19</v>
      </c>
      <c r="E595" s="10" t="s">
        <v>167</v>
      </c>
      <c r="F595" s="10" t="s">
        <v>156</v>
      </c>
      <c r="G595" s="10" t="s">
        <v>156</v>
      </c>
      <c r="H595" s="10" t="s">
        <v>23</v>
      </c>
      <c r="I595" s="10" t="s">
        <v>1148</v>
      </c>
      <c r="J595" s="10" t="s">
        <v>1114</v>
      </c>
      <c r="K595" s="10" t="s">
        <v>1124</v>
      </c>
      <c r="L595" s="10" t="s">
        <v>954</v>
      </c>
      <c r="M595" s="10" t="s">
        <v>954</v>
      </c>
      <c r="N595" s="10" t="s">
        <v>1104</v>
      </c>
      <c r="O595" s="10" t="s">
        <v>1203</v>
      </c>
      <c r="P595" s="10" t="s">
        <v>1105</v>
      </c>
      <c r="Q595" s="10" t="s">
        <v>1105</v>
      </c>
    </row>
    <row r="596" spans="1:17">
      <c r="A596" s="10" t="s">
        <v>179</v>
      </c>
      <c r="B596" s="10" t="s">
        <v>180</v>
      </c>
      <c r="C596" s="10" t="s">
        <v>18</v>
      </c>
      <c r="D596" s="10" t="s">
        <v>19</v>
      </c>
      <c r="E596" s="10" t="s">
        <v>167</v>
      </c>
      <c r="F596" s="10" t="s">
        <v>156</v>
      </c>
      <c r="G596" s="10" t="s">
        <v>156</v>
      </c>
      <c r="H596" s="10" t="s">
        <v>23</v>
      </c>
      <c r="I596" s="10" t="s">
        <v>1148</v>
      </c>
      <c r="J596" s="10" t="s">
        <v>1114</v>
      </c>
      <c r="K596" s="10" t="s">
        <v>1124</v>
      </c>
      <c r="L596" s="10" t="s">
        <v>954</v>
      </c>
      <c r="M596" s="10" t="s">
        <v>954</v>
      </c>
      <c r="N596" s="10" t="s">
        <v>1104</v>
      </c>
      <c r="O596" s="10" t="s">
        <v>1203</v>
      </c>
      <c r="P596" s="10" t="s">
        <v>1105</v>
      </c>
      <c r="Q596" s="10" t="s">
        <v>1105</v>
      </c>
    </row>
    <row r="597" spans="1:17">
      <c r="A597" s="10" t="s">
        <v>177</v>
      </c>
      <c r="B597" s="10" t="s">
        <v>178</v>
      </c>
      <c r="C597" s="10" t="s">
        <v>18</v>
      </c>
      <c r="D597" s="10" t="s">
        <v>19</v>
      </c>
      <c r="E597" s="10" t="s">
        <v>167</v>
      </c>
      <c r="F597" s="10" t="s">
        <v>156</v>
      </c>
      <c r="G597" s="10" t="s">
        <v>156</v>
      </c>
      <c r="H597" s="10" t="s">
        <v>23</v>
      </c>
      <c r="I597" s="10" t="s">
        <v>1154</v>
      </c>
      <c r="J597" s="10" t="s">
        <v>1123</v>
      </c>
      <c r="K597" s="10" t="s">
        <v>1155</v>
      </c>
      <c r="L597" s="10" t="s">
        <v>947</v>
      </c>
      <c r="M597" s="10" t="s">
        <v>1103</v>
      </c>
      <c r="N597" s="10" t="s">
        <v>1104</v>
      </c>
      <c r="O597" s="10" t="s">
        <v>1265</v>
      </c>
      <c r="P597" s="10" t="s">
        <v>1105</v>
      </c>
      <c r="Q597" s="10" t="s">
        <v>1105</v>
      </c>
    </row>
    <row r="598" spans="1:17">
      <c r="A598" s="10" t="s">
        <v>175</v>
      </c>
      <c r="B598" s="10" t="s">
        <v>176</v>
      </c>
      <c r="C598" s="10" t="s">
        <v>18</v>
      </c>
      <c r="D598" s="10" t="s">
        <v>19</v>
      </c>
      <c r="E598" s="10" t="s">
        <v>167</v>
      </c>
      <c r="F598" s="10" t="s">
        <v>156</v>
      </c>
      <c r="G598" s="10" t="s">
        <v>156</v>
      </c>
      <c r="H598" s="10" t="s">
        <v>23</v>
      </c>
      <c r="I598" s="10" t="s">
        <v>1116</v>
      </c>
      <c r="J598" s="10" t="s">
        <v>1135</v>
      </c>
      <c r="K598" s="10" t="s">
        <v>1124</v>
      </c>
      <c r="L598" s="10" t="s">
        <v>947</v>
      </c>
      <c r="M598" s="10" t="s">
        <v>1119</v>
      </c>
      <c r="N598" s="10" t="s">
        <v>1104</v>
      </c>
      <c r="O598" s="10" t="s">
        <v>1265</v>
      </c>
      <c r="P598" s="10" t="s">
        <v>1105</v>
      </c>
      <c r="Q598" s="10" t="s">
        <v>1105</v>
      </c>
    </row>
    <row r="599" spans="1:17">
      <c r="A599" s="10" t="s">
        <v>173</v>
      </c>
      <c r="B599" s="10" t="s">
        <v>174</v>
      </c>
      <c r="C599" s="10" t="s">
        <v>18</v>
      </c>
      <c r="D599" s="10" t="s">
        <v>19</v>
      </c>
      <c r="E599" s="10" t="s">
        <v>167</v>
      </c>
      <c r="F599" s="10" t="s">
        <v>156</v>
      </c>
      <c r="G599" s="10" t="s">
        <v>156</v>
      </c>
      <c r="H599" s="10" t="s">
        <v>23</v>
      </c>
      <c r="I599" s="10" t="s">
        <v>1154</v>
      </c>
      <c r="J599" s="10" t="s">
        <v>1123</v>
      </c>
      <c r="K599" s="10" t="s">
        <v>1155</v>
      </c>
      <c r="L599" s="10" t="s">
        <v>947</v>
      </c>
      <c r="M599" s="10" t="s">
        <v>1103</v>
      </c>
      <c r="N599" s="10" t="s">
        <v>1104</v>
      </c>
      <c r="O599" s="10" t="s">
        <v>1265</v>
      </c>
      <c r="P599" s="10" t="s">
        <v>1105</v>
      </c>
      <c r="Q599" s="10" t="s">
        <v>1105</v>
      </c>
    </row>
    <row r="600" spans="1:17">
      <c r="A600" s="10" t="s">
        <v>171</v>
      </c>
      <c r="B600" s="10" t="s">
        <v>172</v>
      </c>
      <c r="C600" s="10" t="s">
        <v>18</v>
      </c>
      <c r="D600" s="10" t="s">
        <v>19</v>
      </c>
      <c r="E600" s="10" t="s">
        <v>170</v>
      </c>
      <c r="F600" s="10" t="s">
        <v>156</v>
      </c>
      <c r="G600" s="10" t="s">
        <v>156</v>
      </c>
      <c r="H600" s="10" t="s">
        <v>23</v>
      </c>
      <c r="I600" s="10" t="s">
        <v>1116</v>
      </c>
      <c r="J600" s="10" t="s">
        <v>1135</v>
      </c>
      <c r="K600" s="10" t="s">
        <v>1124</v>
      </c>
      <c r="L600" s="10" t="s">
        <v>947</v>
      </c>
      <c r="M600" s="10" t="s">
        <v>1119</v>
      </c>
      <c r="N600" s="10" t="s">
        <v>1104</v>
      </c>
      <c r="O600" s="10" t="s">
        <v>1131</v>
      </c>
      <c r="P600" s="10" t="s">
        <v>1105</v>
      </c>
      <c r="Q600" s="10" t="s">
        <v>1105</v>
      </c>
    </row>
    <row r="601" spans="1:17">
      <c r="A601" s="10" t="s">
        <v>168</v>
      </c>
      <c r="B601" s="10" t="s">
        <v>169</v>
      </c>
      <c r="C601" s="10" t="s">
        <v>18</v>
      </c>
      <c r="D601" s="10" t="s">
        <v>19</v>
      </c>
      <c r="E601" s="10" t="s">
        <v>170</v>
      </c>
      <c r="F601" s="10" t="s">
        <v>156</v>
      </c>
      <c r="G601" s="10" t="s">
        <v>156</v>
      </c>
      <c r="H601" s="10" t="s">
        <v>23</v>
      </c>
      <c r="I601" s="10" t="s">
        <v>1116</v>
      </c>
      <c r="J601" s="10" t="s">
        <v>1135</v>
      </c>
      <c r="K601" s="10" t="s">
        <v>1124</v>
      </c>
      <c r="L601" s="10" t="s">
        <v>947</v>
      </c>
      <c r="M601" s="10" t="s">
        <v>1119</v>
      </c>
      <c r="N601" s="10" t="s">
        <v>1104</v>
      </c>
      <c r="O601" s="10" t="s">
        <v>1131</v>
      </c>
      <c r="P601" s="10" t="s">
        <v>1105</v>
      </c>
      <c r="Q601" s="10" t="s">
        <v>1105</v>
      </c>
    </row>
    <row r="602" spans="1:17">
      <c r="A602" s="10" t="s">
        <v>165</v>
      </c>
      <c r="B602" s="10" t="s">
        <v>166</v>
      </c>
      <c r="C602" s="10" t="s">
        <v>18</v>
      </c>
      <c r="D602" s="10" t="s">
        <v>19</v>
      </c>
      <c r="E602" s="10" t="s">
        <v>167</v>
      </c>
      <c r="F602" s="10" t="s">
        <v>156</v>
      </c>
      <c r="G602" s="10" t="s">
        <v>156</v>
      </c>
      <c r="H602" s="10" t="s">
        <v>23</v>
      </c>
      <c r="I602" s="10" t="s">
        <v>1116</v>
      </c>
      <c r="J602" s="10" t="s">
        <v>1135</v>
      </c>
      <c r="K602" s="10" t="s">
        <v>1124</v>
      </c>
      <c r="L602" s="10" t="s">
        <v>947</v>
      </c>
      <c r="M602" s="10" t="s">
        <v>1119</v>
      </c>
      <c r="N602" s="10" t="s">
        <v>1104</v>
      </c>
      <c r="O602" s="10" t="s">
        <v>1265</v>
      </c>
      <c r="P602" s="10" t="s">
        <v>1105</v>
      </c>
      <c r="Q602" s="10" t="s">
        <v>1105</v>
      </c>
    </row>
    <row r="603" spans="1:17">
      <c r="A603" s="10" t="s">
        <v>163</v>
      </c>
      <c r="B603" s="10" t="s">
        <v>164</v>
      </c>
      <c r="C603" s="10" t="s">
        <v>59</v>
      </c>
      <c r="D603" s="10" t="s">
        <v>29</v>
      </c>
      <c r="E603" s="10" t="s">
        <v>29</v>
      </c>
      <c r="F603" s="10" t="s">
        <v>156</v>
      </c>
      <c r="G603" s="10" t="s">
        <v>156</v>
      </c>
      <c r="H603" s="10" t="s">
        <v>29</v>
      </c>
      <c r="I603" s="10" t="s">
        <v>1116</v>
      </c>
      <c r="J603" s="10" t="s">
        <v>1135</v>
      </c>
      <c r="K603" s="10" t="s">
        <v>1124</v>
      </c>
      <c r="L603" s="10" t="s">
        <v>954</v>
      </c>
      <c r="M603" s="10" t="s">
        <v>954</v>
      </c>
      <c r="N603" s="10" t="s">
        <v>1104</v>
      </c>
      <c r="O603" s="10" t="s">
        <v>1203</v>
      </c>
      <c r="P603" s="10" t="s">
        <v>1105</v>
      </c>
      <c r="Q603" s="10" t="s">
        <v>1105</v>
      </c>
    </row>
    <row r="604" spans="1:17">
      <c r="A604" s="10" t="s">
        <v>161</v>
      </c>
      <c r="B604" s="10" t="s">
        <v>162</v>
      </c>
      <c r="C604" s="10" t="s">
        <v>59</v>
      </c>
      <c r="D604" s="10" t="s">
        <v>29</v>
      </c>
      <c r="E604" s="10" t="s">
        <v>29</v>
      </c>
      <c r="F604" s="10" t="s">
        <v>156</v>
      </c>
      <c r="G604" s="10" t="s">
        <v>156</v>
      </c>
      <c r="H604" s="10" t="s">
        <v>29</v>
      </c>
      <c r="I604" s="10" t="s">
        <v>1257</v>
      </c>
      <c r="J604" s="10" t="s">
        <v>1135</v>
      </c>
      <c r="K604" s="10" t="s">
        <v>1210</v>
      </c>
      <c r="L604" s="10" t="s">
        <v>947</v>
      </c>
      <c r="M604" s="10" t="s">
        <v>1129</v>
      </c>
      <c r="N604" s="10" t="s">
        <v>1104</v>
      </c>
      <c r="O604" s="10" t="s">
        <v>1136</v>
      </c>
      <c r="P604" s="10" t="s">
        <v>1105</v>
      </c>
      <c r="Q604" s="10" t="s">
        <v>1105</v>
      </c>
    </row>
    <row r="605" spans="1:17">
      <c r="A605" s="10" t="s">
        <v>159</v>
      </c>
      <c r="B605" s="10" t="s">
        <v>160</v>
      </c>
      <c r="C605" s="10" t="s">
        <v>59</v>
      </c>
      <c r="D605" s="10" t="s">
        <v>29</v>
      </c>
      <c r="E605" s="10" t="s">
        <v>29</v>
      </c>
      <c r="F605" s="10" t="s">
        <v>38</v>
      </c>
      <c r="G605" s="10" t="s">
        <v>38</v>
      </c>
      <c r="H605" s="10" t="s">
        <v>29</v>
      </c>
      <c r="I605" s="10" t="s">
        <v>1116</v>
      </c>
      <c r="J605" s="10" t="s">
        <v>1135</v>
      </c>
      <c r="K605" s="10" t="s">
        <v>1124</v>
      </c>
      <c r="L605" s="10" t="s">
        <v>954</v>
      </c>
      <c r="M605" s="10" t="s">
        <v>954</v>
      </c>
      <c r="N605" s="10" t="s">
        <v>1104</v>
      </c>
      <c r="O605" s="10" t="s">
        <v>1203</v>
      </c>
      <c r="P605" s="10" t="s">
        <v>1105</v>
      </c>
      <c r="Q605" s="10" t="s">
        <v>1105</v>
      </c>
    </row>
    <row r="606" spans="1:17">
      <c r="A606" s="10" t="s">
        <v>157</v>
      </c>
      <c r="B606" s="10" t="s">
        <v>158</v>
      </c>
      <c r="C606" s="10" t="s">
        <v>59</v>
      </c>
      <c r="D606" s="10" t="s">
        <v>29</v>
      </c>
      <c r="E606" s="10" t="s">
        <v>29</v>
      </c>
      <c r="F606" s="10" t="s">
        <v>38</v>
      </c>
      <c r="G606" s="10" t="s">
        <v>38</v>
      </c>
      <c r="H606" s="10" t="s">
        <v>29</v>
      </c>
      <c r="I606" s="10" t="s">
        <v>1257</v>
      </c>
      <c r="J606" s="10" t="s">
        <v>1135</v>
      </c>
      <c r="K606" s="10" t="s">
        <v>1210</v>
      </c>
      <c r="L606" s="10" t="s">
        <v>947</v>
      </c>
      <c r="M606" s="10" t="s">
        <v>1129</v>
      </c>
      <c r="N606" s="10" t="s">
        <v>1104</v>
      </c>
      <c r="O606" s="10" t="s">
        <v>1136</v>
      </c>
      <c r="P606" s="10" t="s">
        <v>1105</v>
      </c>
      <c r="Q606" s="10" t="s">
        <v>1105</v>
      </c>
    </row>
    <row r="607" spans="1:17">
      <c r="A607" s="10" t="s">
        <v>154</v>
      </c>
      <c r="B607" s="10" t="s">
        <v>155</v>
      </c>
      <c r="C607" s="10" t="s">
        <v>59</v>
      </c>
      <c r="D607" s="10" t="s">
        <v>29</v>
      </c>
      <c r="E607" s="10" t="s">
        <v>29</v>
      </c>
      <c r="F607" s="10" t="s">
        <v>156</v>
      </c>
      <c r="G607" s="10" t="s">
        <v>156</v>
      </c>
      <c r="H607" s="10" t="s">
        <v>29</v>
      </c>
      <c r="I607" s="10" t="s">
        <v>1116</v>
      </c>
      <c r="J607" s="10" t="s">
        <v>1135</v>
      </c>
      <c r="K607" s="10" t="s">
        <v>1124</v>
      </c>
      <c r="L607" s="10" t="s">
        <v>954</v>
      </c>
      <c r="M607" s="10" t="s">
        <v>954</v>
      </c>
      <c r="N607" s="10" t="s">
        <v>1104</v>
      </c>
      <c r="O607" s="10" t="s">
        <v>1203</v>
      </c>
      <c r="P607" s="10" t="s">
        <v>1105</v>
      </c>
      <c r="Q607" s="10" t="s">
        <v>1105</v>
      </c>
    </row>
    <row r="608" spans="1:17">
      <c r="A608" s="10" t="s">
        <v>152</v>
      </c>
      <c r="B608" s="10" t="s">
        <v>153</v>
      </c>
      <c r="C608" s="10" t="s">
        <v>59</v>
      </c>
      <c r="D608" s="10" t="s">
        <v>29</v>
      </c>
      <c r="E608" s="10" t="s">
        <v>29</v>
      </c>
      <c r="F608" s="10" t="s">
        <v>62</v>
      </c>
      <c r="G608" s="10" t="s">
        <v>22</v>
      </c>
      <c r="H608" s="10" t="s">
        <v>29</v>
      </c>
      <c r="I608" s="10" t="s">
        <v>1257</v>
      </c>
      <c r="J608" s="10" t="s">
        <v>1135</v>
      </c>
      <c r="K608" s="10" t="s">
        <v>1210</v>
      </c>
      <c r="L608" s="10" t="s">
        <v>947</v>
      </c>
      <c r="M608" s="10" t="s">
        <v>1129</v>
      </c>
      <c r="N608" s="10" t="s">
        <v>1104</v>
      </c>
      <c r="O608" s="10" t="s">
        <v>1136</v>
      </c>
      <c r="P608" s="10" t="s">
        <v>1105</v>
      </c>
      <c r="Q608" s="10" t="s">
        <v>1105</v>
      </c>
    </row>
    <row r="609" spans="1:17">
      <c r="A609" s="10" t="s">
        <v>150</v>
      </c>
      <c r="B609" s="10" t="s">
        <v>151</v>
      </c>
      <c r="C609" s="10" t="s">
        <v>59</v>
      </c>
      <c r="D609" s="10" t="s">
        <v>29</v>
      </c>
      <c r="E609" s="10" t="s">
        <v>29</v>
      </c>
      <c r="F609" s="10" t="s">
        <v>42</v>
      </c>
      <c r="G609" s="10" t="s">
        <v>42</v>
      </c>
      <c r="H609" s="10" t="s">
        <v>29</v>
      </c>
      <c r="I609" s="10" t="s">
        <v>1116</v>
      </c>
      <c r="J609" s="10" t="s">
        <v>1135</v>
      </c>
      <c r="K609" s="10" t="s">
        <v>1124</v>
      </c>
      <c r="L609" s="10" t="s">
        <v>954</v>
      </c>
      <c r="M609" s="10" t="s">
        <v>954</v>
      </c>
      <c r="N609" s="10" t="s">
        <v>1104</v>
      </c>
      <c r="O609" s="10" t="s">
        <v>1203</v>
      </c>
      <c r="P609" s="10" t="s">
        <v>1105</v>
      </c>
      <c r="Q609" s="10" t="s">
        <v>1105</v>
      </c>
    </row>
    <row r="610" spans="1:17">
      <c r="A610" s="10" t="s">
        <v>148</v>
      </c>
      <c r="B610" s="10" t="s">
        <v>149</v>
      </c>
      <c r="C610" s="10" t="s">
        <v>59</v>
      </c>
      <c r="D610" s="10" t="s">
        <v>29</v>
      </c>
      <c r="E610" s="10" t="s">
        <v>29</v>
      </c>
      <c r="F610" s="10" t="s">
        <v>42</v>
      </c>
      <c r="G610" s="10" t="s">
        <v>42</v>
      </c>
      <c r="H610" s="10" t="s">
        <v>29</v>
      </c>
      <c r="I610" s="10" t="s">
        <v>1257</v>
      </c>
      <c r="J610" s="10" t="s">
        <v>1135</v>
      </c>
      <c r="K610" s="10" t="s">
        <v>1210</v>
      </c>
      <c r="L610" s="10" t="s">
        <v>947</v>
      </c>
      <c r="M610" s="10" t="s">
        <v>1129</v>
      </c>
      <c r="N610" s="10" t="s">
        <v>1104</v>
      </c>
      <c r="O610" s="10" t="s">
        <v>1136</v>
      </c>
      <c r="P610" s="10" t="s">
        <v>1105</v>
      </c>
      <c r="Q610" s="10" t="s">
        <v>1105</v>
      </c>
    </row>
    <row r="611" spans="1:17">
      <c r="A611" s="10" t="s">
        <v>145</v>
      </c>
      <c r="B611" s="10" t="s">
        <v>146</v>
      </c>
      <c r="C611" s="10" t="s">
        <v>147</v>
      </c>
      <c r="D611" s="10" t="s">
        <v>29</v>
      </c>
      <c r="E611" s="10" t="s">
        <v>29</v>
      </c>
      <c r="F611" s="10" t="s">
        <v>30</v>
      </c>
      <c r="G611" s="10" t="s">
        <v>22</v>
      </c>
      <c r="H611" s="10" t="s">
        <v>29</v>
      </c>
      <c r="I611" s="10" t="s">
        <v>1116</v>
      </c>
      <c r="J611" s="10" t="s">
        <v>1135</v>
      </c>
      <c r="K611" s="10" t="s">
        <v>1124</v>
      </c>
      <c r="L611" s="10" t="s">
        <v>954</v>
      </c>
      <c r="M611" s="10" t="s">
        <v>954</v>
      </c>
      <c r="N611" s="10" t="s">
        <v>1104</v>
      </c>
      <c r="O611" s="10" t="s">
        <v>1203</v>
      </c>
      <c r="P611" s="10" t="s">
        <v>1105</v>
      </c>
      <c r="Q611" s="10" t="s">
        <v>1105</v>
      </c>
    </row>
    <row r="612" spans="1:17">
      <c r="A612" s="10" t="s">
        <v>143</v>
      </c>
      <c r="B612" s="10" t="s">
        <v>144</v>
      </c>
      <c r="C612" s="10" t="s">
        <v>71</v>
      </c>
      <c r="D612" s="10" t="s">
        <v>29</v>
      </c>
      <c r="E612" s="10" t="s">
        <v>29</v>
      </c>
      <c r="F612" s="10" t="s">
        <v>51</v>
      </c>
      <c r="G612" s="10" t="s">
        <v>22</v>
      </c>
      <c r="H612" s="10" t="s">
        <v>29</v>
      </c>
      <c r="I612" s="10" t="s">
        <v>1111</v>
      </c>
      <c r="J612" s="10" t="s">
        <v>1402</v>
      </c>
      <c r="K612" s="10" t="s">
        <v>1403</v>
      </c>
      <c r="L612" s="10" t="s">
        <v>954</v>
      </c>
      <c r="M612" s="10" t="s">
        <v>954</v>
      </c>
      <c r="N612" s="10" t="s">
        <v>1104</v>
      </c>
      <c r="O612" s="10" t="s">
        <v>1203</v>
      </c>
      <c r="P612" s="10" t="s">
        <v>1105</v>
      </c>
      <c r="Q612" s="10" t="s">
        <v>1105</v>
      </c>
    </row>
    <row r="613" spans="1:17">
      <c r="A613" s="10" t="s">
        <v>141</v>
      </c>
      <c r="B613" s="10" t="s">
        <v>142</v>
      </c>
      <c r="C613" s="10" t="s">
        <v>140</v>
      </c>
      <c r="D613" s="10" t="s">
        <v>29</v>
      </c>
      <c r="E613" s="10" t="s">
        <v>29</v>
      </c>
      <c r="F613" s="10" t="s">
        <v>30</v>
      </c>
      <c r="G613" s="10" t="s">
        <v>22</v>
      </c>
      <c r="H613" s="10" t="s">
        <v>29</v>
      </c>
      <c r="I613" s="10" t="s">
        <v>1257</v>
      </c>
      <c r="J613" s="10" t="s">
        <v>1135</v>
      </c>
      <c r="K613" s="10" t="s">
        <v>1210</v>
      </c>
      <c r="L613" s="10" t="s">
        <v>947</v>
      </c>
      <c r="M613" s="10" t="s">
        <v>1129</v>
      </c>
      <c r="N613" s="10" t="s">
        <v>1104</v>
      </c>
      <c r="O613" s="10" t="s">
        <v>1146</v>
      </c>
      <c r="P613" s="10" t="s">
        <v>1105</v>
      </c>
      <c r="Q613" s="10" t="s">
        <v>1105</v>
      </c>
    </row>
    <row r="614" spans="1:17">
      <c r="A614" s="10" t="s">
        <v>138</v>
      </c>
      <c r="B614" s="10" t="s">
        <v>139</v>
      </c>
      <c r="C614" s="10" t="s">
        <v>140</v>
      </c>
      <c r="D614" s="10" t="s">
        <v>29</v>
      </c>
      <c r="E614" s="10" t="s">
        <v>29</v>
      </c>
      <c r="F614" s="10" t="s">
        <v>30</v>
      </c>
      <c r="G614" s="10" t="s">
        <v>22</v>
      </c>
      <c r="H614" s="10" t="s">
        <v>29</v>
      </c>
      <c r="I614" s="10" t="s">
        <v>1116</v>
      </c>
      <c r="J614" s="10" t="s">
        <v>1135</v>
      </c>
      <c r="K614" s="10" t="s">
        <v>1124</v>
      </c>
      <c r="L614" s="10" t="s">
        <v>954</v>
      </c>
      <c r="M614" s="10" t="s">
        <v>1119</v>
      </c>
      <c r="N614" s="10" t="s">
        <v>1104</v>
      </c>
      <c r="O614" s="10" t="s">
        <v>1203</v>
      </c>
      <c r="P614" s="10" t="s">
        <v>1105</v>
      </c>
      <c r="Q614" s="10" t="s">
        <v>1105</v>
      </c>
    </row>
    <row r="615" spans="1:17">
      <c r="A615" s="10" t="s">
        <v>135</v>
      </c>
      <c r="B615" s="10" t="s">
        <v>136</v>
      </c>
      <c r="C615" s="10" t="s">
        <v>137</v>
      </c>
      <c r="D615" s="10" t="s">
        <v>29</v>
      </c>
      <c r="E615" s="10" t="s">
        <v>29</v>
      </c>
      <c r="F615" s="10" t="s">
        <v>30</v>
      </c>
      <c r="G615" s="10" t="s">
        <v>22</v>
      </c>
      <c r="H615" s="10" t="s">
        <v>29</v>
      </c>
      <c r="I615" s="10" t="s">
        <v>1116</v>
      </c>
      <c r="J615" s="10" t="s">
        <v>1135</v>
      </c>
      <c r="K615" s="10" t="s">
        <v>1124</v>
      </c>
      <c r="L615" s="10" t="s">
        <v>954</v>
      </c>
      <c r="M615" s="10" t="s">
        <v>954</v>
      </c>
      <c r="N615" s="10" t="s">
        <v>1104</v>
      </c>
      <c r="O615" s="10" t="s">
        <v>1203</v>
      </c>
      <c r="P615" s="10" t="s">
        <v>1105</v>
      </c>
      <c r="Q615" s="10" t="s">
        <v>1105</v>
      </c>
    </row>
    <row r="616" spans="1:17">
      <c r="A616" s="10" t="s">
        <v>133</v>
      </c>
      <c r="B616" s="10" t="s">
        <v>134</v>
      </c>
      <c r="C616" s="10" t="s">
        <v>18</v>
      </c>
      <c r="D616" s="10" t="s">
        <v>107</v>
      </c>
      <c r="E616" s="10" t="s">
        <v>132</v>
      </c>
      <c r="F616" s="10" t="s">
        <v>21</v>
      </c>
      <c r="G616" s="10" t="s">
        <v>22</v>
      </c>
      <c r="H616" s="10" t="s">
        <v>110</v>
      </c>
      <c r="I616" s="10" t="s">
        <v>1257</v>
      </c>
      <c r="J616" s="10" t="s">
        <v>1135</v>
      </c>
      <c r="K616" s="10" t="s">
        <v>1210</v>
      </c>
      <c r="L616" s="10" t="s">
        <v>947</v>
      </c>
      <c r="M616" s="10" t="s">
        <v>1129</v>
      </c>
      <c r="N616" s="10" t="s">
        <v>1104</v>
      </c>
      <c r="O616" s="10" t="s">
        <v>1136</v>
      </c>
      <c r="P616" s="10" t="s">
        <v>1105</v>
      </c>
      <c r="Q616" s="10" t="s">
        <v>1105</v>
      </c>
    </row>
    <row r="617" spans="1:17">
      <c r="A617" s="10" t="s">
        <v>130</v>
      </c>
      <c r="B617" s="10" t="s">
        <v>131</v>
      </c>
      <c r="C617" s="10" t="s">
        <v>18</v>
      </c>
      <c r="D617" s="10" t="s">
        <v>107</v>
      </c>
      <c r="E617" s="10" t="s">
        <v>132</v>
      </c>
      <c r="F617" s="10" t="s">
        <v>21</v>
      </c>
      <c r="G617" s="10" t="s">
        <v>22</v>
      </c>
      <c r="H617" s="10" t="s">
        <v>110</v>
      </c>
      <c r="I617" s="10" t="s">
        <v>1116</v>
      </c>
      <c r="J617" s="10" t="s">
        <v>1135</v>
      </c>
      <c r="K617" s="10" t="s">
        <v>1124</v>
      </c>
      <c r="L617" s="10" t="s">
        <v>947</v>
      </c>
      <c r="M617" s="10" t="s">
        <v>1119</v>
      </c>
      <c r="N617" s="10" t="s">
        <v>1104</v>
      </c>
      <c r="O617" s="10" t="s">
        <v>1134</v>
      </c>
      <c r="P617" s="10" t="s">
        <v>1105</v>
      </c>
      <c r="Q617" s="10" t="s">
        <v>1105</v>
      </c>
    </row>
    <row r="618" spans="1:17">
      <c r="A618" s="10" t="s">
        <v>128</v>
      </c>
      <c r="B618" s="10" t="s">
        <v>129</v>
      </c>
      <c r="C618" s="10" t="s">
        <v>18</v>
      </c>
      <c r="D618" s="10" t="s">
        <v>107</v>
      </c>
      <c r="E618" s="10" t="s">
        <v>123</v>
      </c>
      <c r="F618" s="10" t="s">
        <v>51</v>
      </c>
      <c r="G618" s="10" t="s">
        <v>22</v>
      </c>
      <c r="H618" s="10" t="s">
        <v>110</v>
      </c>
      <c r="I618" s="10" t="s">
        <v>1217</v>
      </c>
      <c r="J618" s="10" t="s">
        <v>1101</v>
      </c>
      <c r="K618" s="10" t="s">
        <v>1218</v>
      </c>
      <c r="L618" s="10" t="s">
        <v>947</v>
      </c>
      <c r="M618" s="10" t="s">
        <v>1103</v>
      </c>
      <c r="N618" s="10" t="s">
        <v>1104</v>
      </c>
      <c r="O618" s="10" t="s">
        <v>1265</v>
      </c>
      <c r="P618" s="10" t="s">
        <v>1105</v>
      </c>
      <c r="Q618" s="10" t="s">
        <v>1105</v>
      </c>
    </row>
    <row r="619" spans="1:17">
      <c r="A619" s="10" t="s">
        <v>126</v>
      </c>
      <c r="B619" s="10" t="s">
        <v>127</v>
      </c>
      <c r="C619" s="10" t="s">
        <v>18</v>
      </c>
      <c r="D619" s="10" t="s">
        <v>107</v>
      </c>
      <c r="E619" s="10" t="s">
        <v>123</v>
      </c>
      <c r="F619" s="10" t="s">
        <v>51</v>
      </c>
      <c r="G619" s="10" t="s">
        <v>22</v>
      </c>
      <c r="H619" s="10" t="s">
        <v>110</v>
      </c>
      <c r="I619" s="10" t="s">
        <v>1116</v>
      </c>
      <c r="J619" s="10" t="s">
        <v>1135</v>
      </c>
      <c r="K619" s="10" t="s">
        <v>1124</v>
      </c>
      <c r="L619" s="10" t="s">
        <v>947</v>
      </c>
      <c r="M619" s="10" t="s">
        <v>1119</v>
      </c>
      <c r="N619" s="10" t="s">
        <v>1104</v>
      </c>
      <c r="O619" s="10" t="s">
        <v>1136</v>
      </c>
      <c r="P619" s="10" t="s">
        <v>1105</v>
      </c>
      <c r="Q619" s="10" t="s">
        <v>1105</v>
      </c>
    </row>
    <row r="620" spans="1:17">
      <c r="A620" s="10" t="s">
        <v>124</v>
      </c>
      <c r="B620" s="10" t="s">
        <v>125</v>
      </c>
      <c r="C620" s="10" t="s">
        <v>18</v>
      </c>
      <c r="D620" s="10" t="s">
        <v>107</v>
      </c>
      <c r="E620" s="10" t="s">
        <v>123</v>
      </c>
      <c r="F620" s="10" t="s">
        <v>51</v>
      </c>
      <c r="G620" s="10" t="s">
        <v>22</v>
      </c>
      <c r="H620" s="10" t="s">
        <v>110</v>
      </c>
      <c r="I620" s="10" t="s">
        <v>1217</v>
      </c>
      <c r="J620" s="10" t="s">
        <v>1101</v>
      </c>
      <c r="K620" s="10" t="s">
        <v>1218</v>
      </c>
      <c r="L620" s="10" t="s">
        <v>947</v>
      </c>
      <c r="M620" s="10" t="s">
        <v>1103</v>
      </c>
      <c r="N620" s="10" t="s">
        <v>1104</v>
      </c>
      <c r="O620" s="10" t="s">
        <v>1265</v>
      </c>
      <c r="P620" s="10" t="s">
        <v>1105</v>
      </c>
      <c r="Q620" s="10" t="s">
        <v>1105</v>
      </c>
    </row>
    <row r="621" spans="1:17">
      <c r="A621" s="10" t="s">
        <v>121</v>
      </c>
      <c r="B621" s="10" t="s">
        <v>122</v>
      </c>
      <c r="C621" s="10" t="s">
        <v>18</v>
      </c>
      <c r="D621" s="10" t="s">
        <v>107</v>
      </c>
      <c r="E621" s="10" t="s">
        <v>123</v>
      </c>
      <c r="F621" s="10" t="s">
        <v>51</v>
      </c>
      <c r="G621" s="10" t="s">
        <v>22</v>
      </c>
      <c r="H621" s="10" t="s">
        <v>110</v>
      </c>
      <c r="I621" s="10" t="s">
        <v>1116</v>
      </c>
      <c r="J621" s="10" t="s">
        <v>1135</v>
      </c>
      <c r="K621" s="10" t="s">
        <v>1124</v>
      </c>
      <c r="L621" s="10" t="s">
        <v>947</v>
      </c>
      <c r="M621" s="10" t="s">
        <v>1119</v>
      </c>
      <c r="N621" s="10" t="s">
        <v>1104</v>
      </c>
      <c r="O621" s="10" t="s">
        <v>1265</v>
      </c>
      <c r="P621" s="10" t="s">
        <v>1105</v>
      </c>
      <c r="Q621" s="10" t="s">
        <v>1105</v>
      </c>
    </row>
    <row r="622" spans="1:17">
      <c r="A622" s="10" t="s">
        <v>118</v>
      </c>
      <c r="B622" s="10" t="s">
        <v>119</v>
      </c>
      <c r="C622" s="10" t="s">
        <v>18</v>
      </c>
      <c r="D622" s="10" t="s">
        <v>107</v>
      </c>
      <c r="E622" s="10" t="s">
        <v>120</v>
      </c>
      <c r="F622" s="10" t="s">
        <v>56</v>
      </c>
      <c r="G622" s="10" t="s">
        <v>22</v>
      </c>
      <c r="H622" s="10" t="s">
        <v>110</v>
      </c>
      <c r="I622" s="10" t="s">
        <v>1257</v>
      </c>
      <c r="J622" s="10" t="s">
        <v>1135</v>
      </c>
      <c r="K622" s="10" t="s">
        <v>1210</v>
      </c>
      <c r="L622" s="10" t="s">
        <v>947</v>
      </c>
      <c r="M622" s="10" t="s">
        <v>1129</v>
      </c>
      <c r="N622" s="10" t="s">
        <v>1104</v>
      </c>
      <c r="O622" s="10" t="s">
        <v>1136</v>
      </c>
      <c r="P622" s="10" t="s">
        <v>1105</v>
      </c>
      <c r="Q622" s="10" t="s">
        <v>1105</v>
      </c>
    </row>
    <row r="623" spans="1:17">
      <c r="A623" s="10" t="s">
        <v>116</v>
      </c>
      <c r="B623" s="10" t="s">
        <v>117</v>
      </c>
      <c r="C623" s="10" t="s">
        <v>18</v>
      </c>
      <c r="D623" s="10" t="s">
        <v>107</v>
      </c>
      <c r="E623" s="10" t="s">
        <v>115</v>
      </c>
      <c r="F623" s="10" t="s">
        <v>62</v>
      </c>
      <c r="G623" s="10" t="s">
        <v>22</v>
      </c>
      <c r="H623" s="10" t="s">
        <v>110</v>
      </c>
      <c r="I623" s="10" t="s">
        <v>1217</v>
      </c>
      <c r="J623" s="10" t="s">
        <v>1101</v>
      </c>
      <c r="K623" s="10" t="s">
        <v>1218</v>
      </c>
      <c r="L623" s="10" t="s">
        <v>947</v>
      </c>
      <c r="M623" s="10" t="s">
        <v>1103</v>
      </c>
      <c r="N623" s="10" t="s">
        <v>1104</v>
      </c>
      <c r="O623" s="10" t="s">
        <v>1265</v>
      </c>
      <c r="P623" s="10" t="s">
        <v>1105</v>
      </c>
      <c r="Q623" s="10" t="s">
        <v>1105</v>
      </c>
    </row>
    <row r="624" spans="1:17">
      <c r="A624" s="10" t="s">
        <v>113</v>
      </c>
      <c r="B624" s="10" t="s">
        <v>114</v>
      </c>
      <c r="C624" s="10" t="s">
        <v>18</v>
      </c>
      <c r="D624" s="10" t="s">
        <v>107</v>
      </c>
      <c r="E624" s="10" t="s">
        <v>115</v>
      </c>
      <c r="F624" s="10" t="s">
        <v>62</v>
      </c>
      <c r="G624" s="10" t="s">
        <v>22</v>
      </c>
      <c r="H624" s="10" t="s">
        <v>110</v>
      </c>
      <c r="I624" s="10" t="s">
        <v>1116</v>
      </c>
      <c r="J624" s="10" t="s">
        <v>1135</v>
      </c>
      <c r="K624" s="10" t="s">
        <v>1124</v>
      </c>
      <c r="L624" s="10" t="s">
        <v>947</v>
      </c>
      <c r="M624" s="10" t="s">
        <v>1119</v>
      </c>
      <c r="N624" s="10" t="s">
        <v>1104</v>
      </c>
      <c r="O624" s="10" t="s">
        <v>1136</v>
      </c>
      <c r="P624" s="10" t="s">
        <v>1105</v>
      </c>
      <c r="Q624" s="10" t="s">
        <v>1105</v>
      </c>
    </row>
    <row r="625" spans="1:17">
      <c r="A625" s="10" t="s">
        <v>111</v>
      </c>
      <c r="B625" s="10" t="s">
        <v>112</v>
      </c>
      <c r="C625" s="10" t="s">
        <v>18</v>
      </c>
      <c r="D625" s="10" t="s">
        <v>107</v>
      </c>
      <c r="E625" s="10" t="s">
        <v>108</v>
      </c>
      <c r="F625" s="10" t="s">
        <v>109</v>
      </c>
      <c r="G625" s="10" t="s">
        <v>22</v>
      </c>
      <c r="H625" s="10" t="s">
        <v>110</v>
      </c>
      <c r="I625" s="10" t="s">
        <v>1257</v>
      </c>
      <c r="J625" s="10" t="s">
        <v>1135</v>
      </c>
      <c r="K625" s="10" t="s">
        <v>1210</v>
      </c>
      <c r="L625" s="10" t="s">
        <v>947</v>
      </c>
      <c r="M625" s="10" t="s">
        <v>1129</v>
      </c>
      <c r="N625" s="10" t="s">
        <v>1104</v>
      </c>
      <c r="O625" s="10" t="s">
        <v>1136</v>
      </c>
      <c r="P625" s="10" t="s">
        <v>1105</v>
      </c>
      <c r="Q625" s="10" t="s">
        <v>1105</v>
      </c>
    </row>
    <row r="626" spans="1:17">
      <c r="A626" s="10" t="s">
        <v>105</v>
      </c>
      <c r="B626" s="10" t="s">
        <v>106</v>
      </c>
      <c r="C626" s="10" t="s">
        <v>18</v>
      </c>
      <c r="D626" s="10" t="s">
        <v>107</v>
      </c>
      <c r="E626" s="10" t="s">
        <v>108</v>
      </c>
      <c r="F626" s="10" t="s">
        <v>109</v>
      </c>
      <c r="G626" s="10" t="s">
        <v>22</v>
      </c>
      <c r="H626" s="10" t="s">
        <v>110</v>
      </c>
      <c r="I626" s="10" t="s">
        <v>1116</v>
      </c>
      <c r="J626" s="10" t="s">
        <v>1135</v>
      </c>
      <c r="K626" s="10" t="s">
        <v>1124</v>
      </c>
      <c r="L626" s="10" t="s">
        <v>947</v>
      </c>
      <c r="M626" s="10" t="s">
        <v>1119</v>
      </c>
      <c r="N626" s="10" t="s">
        <v>1104</v>
      </c>
      <c r="O626" s="10" t="s">
        <v>1131</v>
      </c>
      <c r="P626" s="10" t="s">
        <v>1105</v>
      </c>
      <c r="Q626" s="10" t="s">
        <v>1105</v>
      </c>
    </row>
    <row r="627" spans="1:17">
      <c r="A627" s="10" t="s">
        <v>103</v>
      </c>
      <c r="B627" s="10" t="s">
        <v>104</v>
      </c>
      <c r="C627" s="10" t="s">
        <v>100</v>
      </c>
      <c r="D627" s="10" t="s">
        <v>29</v>
      </c>
      <c r="E627" s="10" t="s">
        <v>29</v>
      </c>
      <c r="F627" s="10" t="s">
        <v>56</v>
      </c>
      <c r="G627" s="10" t="s">
        <v>22</v>
      </c>
      <c r="H627" s="10" t="s">
        <v>29</v>
      </c>
      <c r="I627" s="10" t="s">
        <v>1111</v>
      </c>
      <c r="J627" s="10" t="s">
        <v>1402</v>
      </c>
      <c r="K627" s="10" t="s">
        <v>1403</v>
      </c>
      <c r="L627" s="10" t="s">
        <v>954</v>
      </c>
      <c r="M627" s="10" t="s">
        <v>954</v>
      </c>
      <c r="N627" s="10" t="s">
        <v>1104</v>
      </c>
      <c r="O627" s="10" t="s">
        <v>1203</v>
      </c>
      <c r="P627" s="10" t="s">
        <v>1105</v>
      </c>
      <c r="Q627" s="10" t="s">
        <v>1105</v>
      </c>
    </row>
    <row r="628" spans="1:17">
      <c r="A628" s="10" t="s">
        <v>101</v>
      </c>
      <c r="B628" s="10" t="s">
        <v>102</v>
      </c>
      <c r="C628" s="10" t="s">
        <v>100</v>
      </c>
      <c r="D628" s="10" t="s">
        <v>29</v>
      </c>
      <c r="E628" s="10" t="s">
        <v>29</v>
      </c>
      <c r="F628" s="10" t="s">
        <v>51</v>
      </c>
      <c r="G628" s="10" t="s">
        <v>22</v>
      </c>
      <c r="H628" s="10" t="s">
        <v>29</v>
      </c>
      <c r="I628" s="10" t="s">
        <v>1148</v>
      </c>
      <c r="J628" s="10" t="s">
        <v>1114</v>
      </c>
      <c r="K628" s="10" t="s">
        <v>1124</v>
      </c>
      <c r="L628" s="10" t="s">
        <v>954</v>
      </c>
      <c r="M628" s="10" t="s">
        <v>954</v>
      </c>
      <c r="N628" s="10" t="s">
        <v>1104</v>
      </c>
      <c r="O628" s="10" t="s">
        <v>1203</v>
      </c>
      <c r="P628" s="10" t="s">
        <v>1105</v>
      </c>
      <c r="Q628" s="10" t="s">
        <v>1105</v>
      </c>
    </row>
    <row r="629" spans="1:17">
      <c r="A629" s="10" t="s">
        <v>98</v>
      </c>
      <c r="B629" s="10" t="s">
        <v>99</v>
      </c>
      <c r="C629" s="10" t="s">
        <v>100</v>
      </c>
      <c r="D629" s="10" t="s">
        <v>29</v>
      </c>
      <c r="E629" s="10" t="s">
        <v>29</v>
      </c>
      <c r="F629" s="10" t="s">
        <v>51</v>
      </c>
      <c r="G629" s="10" t="s">
        <v>22</v>
      </c>
      <c r="H629" s="10" t="s">
        <v>29</v>
      </c>
      <c r="I629" s="10" t="s">
        <v>1116</v>
      </c>
      <c r="J629" s="10" t="s">
        <v>1135</v>
      </c>
      <c r="K629" s="10" t="s">
        <v>1124</v>
      </c>
      <c r="L629" s="10" t="s">
        <v>954</v>
      </c>
      <c r="M629" s="10" t="s">
        <v>954</v>
      </c>
      <c r="N629" s="10" t="s">
        <v>1104</v>
      </c>
      <c r="O629" s="10" t="s">
        <v>1203</v>
      </c>
      <c r="P629" s="10" t="s">
        <v>1105</v>
      </c>
      <c r="Q629" s="10" t="s">
        <v>1105</v>
      </c>
    </row>
    <row r="630" spans="1:17">
      <c r="A630" s="10" t="s">
        <v>96</v>
      </c>
      <c r="B630" s="10" t="s">
        <v>97</v>
      </c>
      <c r="C630" s="10" t="s">
        <v>18</v>
      </c>
      <c r="D630" s="10" t="s">
        <v>80</v>
      </c>
      <c r="E630" s="10" t="s">
        <v>92</v>
      </c>
      <c r="F630" s="10" t="s">
        <v>93</v>
      </c>
      <c r="G630" s="10" t="s">
        <v>42</v>
      </c>
      <c r="H630" s="10" t="s">
        <v>83</v>
      </c>
      <c r="I630" s="10" t="s">
        <v>1148</v>
      </c>
      <c r="J630" s="10" t="s">
        <v>1114</v>
      </c>
      <c r="K630" s="10" t="s">
        <v>1124</v>
      </c>
      <c r="L630" s="10" t="s">
        <v>954</v>
      </c>
      <c r="M630" s="10" t="s">
        <v>954</v>
      </c>
      <c r="N630" s="10" t="s">
        <v>1104</v>
      </c>
      <c r="O630" s="10" t="s">
        <v>1203</v>
      </c>
      <c r="P630" s="10" t="s">
        <v>1105</v>
      </c>
      <c r="Q630" s="10" t="s">
        <v>1105</v>
      </c>
    </row>
    <row r="631" spans="1:17">
      <c r="A631" s="10" t="s">
        <v>94</v>
      </c>
      <c r="B631" s="10" t="s">
        <v>95</v>
      </c>
      <c r="C631" s="10" t="s">
        <v>18</v>
      </c>
      <c r="D631" s="10" t="s">
        <v>80</v>
      </c>
      <c r="E631" s="10" t="s">
        <v>92</v>
      </c>
      <c r="F631" s="10" t="s">
        <v>93</v>
      </c>
      <c r="G631" s="10" t="s">
        <v>42</v>
      </c>
      <c r="H631" s="10" t="s">
        <v>83</v>
      </c>
      <c r="I631" s="10" t="s">
        <v>1116</v>
      </c>
      <c r="J631" s="10" t="s">
        <v>1135</v>
      </c>
      <c r="K631" s="10" t="s">
        <v>1124</v>
      </c>
      <c r="L631" s="10" t="s">
        <v>947</v>
      </c>
      <c r="M631" s="10" t="s">
        <v>1119</v>
      </c>
      <c r="N631" s="10" t="s">
        <v>1104</v>
      </c>
      <c r="O631" s="10" t="s">
        <v>1131</v>
      </c>
      <c r="P631" s="10" t="s">
        <v>1105</v>
      </c>
      <c r="Q631" s="10" t="s">
        <v>1105</v>
      </c>
    </row>
    <row r="632" spans="1:17">
      <c r="A632" s="10" t="s">
        <v>90</v>
      </c>
      <c r="B632" s="10" t="s">
        <v>91</v>
      </c>
      <c r="C632" s="10" t="s">
        <v>18</v>
      </c>
      <c r="D632" s="10" t="s">
        <v>80</v>
      </c>
      <c r="E632" s="10" t="s">
        <v>92</v>
      </c>
      <c r="F632" s="10" t="s">
        <v>93</v>
      </c>
      <c r="G632" s="10" t="s">
        <v>42</v>
      </c>
      <c r="H632" s="10" t="s">
        <v>83</v>
      </c>
      <c r="I632" s="10" t="s">
        <v>1257</v>
      </c>
      <c r="J632" s="10" t="s">
        <v>1135</v>
      </c>
      <c r="K632" s="10" t="s">
        <v>1210</v>
      </c>
      <c r="L632" s="10" t="s">
        <v>947</v>
      </c>
      <c r="M632" s="10" t="s">
        <v>1129</v>
      </c>
      <c r="N632" s="10" t="s">
        <v>1104</v>
      </c>
      <c r="O632" s="10" t="s">
        <v>1136</v>
      </c>
      <c r="P632" s="10" t="s">
        <v>1105</v>
      </c>
      <c r="Q632" s="10" t="s">
        <v>1105</v>
      </c>
    </row>
    <row r="633" spans="1:17">
      <c r="A633" s="10" t="s">
        <v>88</v>
      </c>
      <c r="B633" s="10" t="s">
        <v>89</v>
      </c>
      <c r="C633" s="10" t="s">
        <v>18</v>
      </c>
      <c r="D633" s="10" t="s">
        <v>80</v>
      </c>
      <c r="E633" s="10" t="s">
        <v>81</v>
      </c>
      <c r="F633" s="10" t="s">
        <v>82</v>
      </c>
      <c r="G633" s="10" t="s">
        <v>38</v>
      </c>
      <c r="H633" s="10" t="s">
        <v>83</v>
      </c>
      <c r="I633" s="10" t="s">
        <v>1154</v>
      </c>
      <c r="J633" s="10" t="s">
        <v>1123</v>
      </c>
      <c r="K633" s="10" t="s">
        <v>1155</v>
      </c>
      <c r="L633" s="10" t="s">
        <v>947</v>
      </c>
      <c r="M633" s="10" t="s">
        <v>1103</v>
      </c>
      <c r="N633" s="10" t="s">
        <v>1104</v>
      </c>
      <c r="O633" s="10" t="s">
        <v>1265</v>
      </c>
      <c r="P633" s="10" t="s">
        <v>1105</v>
      </c>
      <c r="Q633" s="10" t="s">
        <v>1105</v>
      </c>
    </row>
    <row r="634" spans="1:17">
      <c r="A634" s="10" t="s">
        <v>86</v>
      </c>
      <c r="B634" s="10" t="s">
        <v>87</v>
      </c>
      <c r="C634" s="10" t="s">
        <v>18</v>
      </c>
      <c r="D634" s="10" t="s">
        <v>80</v>
      </c>
      <c r="E634" s="10" t="s">
        <v>81</v>
      </c>
      <c r="F634" s="10" t="s">
        <v>82</v>
      </c>
      <c r="G634" s="10" t="s">
        <v>38</v>
      </c>
      <c r="H634" s="10" t="s">
        <v>83</v>
      </c>
      <c r="I634" s="10" t="s">
        <v>1257</v>
      </c>
      <c r="J634" s="10" t="s">
        <v>1135</v>
      </c>
      <c r="K634" s="10" t="s">
        <v>1210</v>
      </c>
      <c r="L634" s="10" t="s">
        <v>947</v>
      </c>
      <c r="M634" s="10" t="s">
        <v>1129</v>
      </c>
      <c r="N634" s="10" t="s">
        <v>1104</v>
      </c>
      <c r="O634" s="10" t="s">
        <v>1136</v>
      </c>
      <c r="P634" s="10" t="s">
        <v>1105</v>
      </c>
      <c r="Q634" s="10" t="s">
        <v>1105</v>
      </c>
    </row>
    <row r="635" spans="1:17">
      <c r="A635" s="10" t="s">
        <v>84</v>
      </c>
      <c r="B635" s="10" t="s">
        <v>85</v>
      </c>
      <c r="C635" s="10" t="s">
        <v>18</v>
      </c>
      <c r="D635" s="10" t="s">
        <v>80</v>
      </c>
      <c r="E635" s="10" t="s">
        <v>81</v>
      </c>
      <c r="F635" s="10" t="s">
        <v>82</v>
      </c>
      <c r="G635" s="10" t="s">
        <v>38</v>
      </c>
      <c r="H635" s="10" t="s">
        <v>83</v>
      </c>
      <c r="I635" s="10" t="s">
        <v>1148</v>
      </c>
      <c r="J635" s="10" t="s">
        <v>1114</v>
      </c>
      <c r="K635" s="10" t="s">
        <v>1124</v>
      </c>
      <c r="L635" s="10" t="s">
        <v>954</v>
      </c>
      <c r="M635" s="10" t="s">
        <v>954</v>
      </c>
      <c r="N635" s="10" t="s">
        <v>1104</v>
      </c>
      <c r="O635" s="10" t="s">
        <v>1203</v>
      </c>
      <c r="P635" s="10" t="s">
        <v>1105</v>
      </c>
      <c r="Q635" s="10" t="s">
        <v>1105</v>
      </c>
    </row>
    <row r="636" spans="1:17">
      <c r="A636" s="10" t="s">
        <v>78</v>
      </c>
      <c r="B636" s="10" t="s">
        <v>79</v>
      </c>
      <c r="C636" s="10" t="s">
        <v>18</v>
      </c>
      <c r="D636" s="10" t="s">
        <v>80</v>
      </c>
      <c r="E636" s="10" t="s">
        <v>81</v>
      </c>
      <c r="F636" s="10" t="s">
        <v>82</v>
      </c>
      <c r="G636" s="10" t="s">
        <v>38</v>
      </c>
      <c r="H636" s="10" t="s">
        <v>83</v>
      </c>
      <c r="I636" s="10" t="s">
        <v>1116</v>
      </c>
      <c r="J636" s="10" t="s">
        <v>1135</v>
      </c>
      <c r="K636" s="10" t="s">
        <v>1124</v>
      </c>
      <c r="L636" s="10" t="s">
        <v>947</v>
      </c>
      <c r="M636" s="10" t="s">
        <v>1119</v>
      </c>
      <c r="N636" s="10" t="s">
        <v>1104</v>
      </c>
      <c r="O636" s="10" t="s">
        <v>1131</v>
      </c>
      <c r="P636" s="10" t="s">
        <v>1105</v>
      </c>
      <c r="Q636" s="10" t="s">
        <v>1105</v>
      </c>
    </row>
    <row r="637" spans="1:17">
      <c r="A637" s="10" t="s">
        <v>76</v>
      </c>
      <c r="B637" s="10" t="s">
        <v>77</v>
      </c>
      <c r="C637" s="10" t="s">
        <v>50</v>
      </c>
      <c r="D637" s="10" t="s">
        <v>29</v>
      </c>
      <c r="E637" s="10" t="s">
        <v>29</v>
      </c>
      <c r="F637" s="10" t="s">
        <v>21</v>
      </c>
      <c r="G637" s="10" t="s">
        <v>22</v>
      </c>
      <c r="H637" s="10" t="s">
        <v>29</v>
      </c>
      <c r="I637" s="10" t="s">
        <v>1116</v>
      </c>
      <c r="J637" s="10" t="s">
        <v>1135</v>
      </c>
      <c r="K637" s="10" t="s">
        <v>1124</v>
      </c>
      <c r="L637" s="10" t="s">
        <v>947</v>
      </c>
      <c r="M637" s="10" t="s">
        <v>1119</v>
      </c>
      <c r="N637" s="10" t="s">
        <v>1104</v>
      </c>
      <c r="O637" s="10" t="s">
        <v>1131</v>
      </c>
      <c r="P637" s="10" t="s">
        <v>1105</v>
      </c>
      <c r="Q637" s="10" t="s">
        <v>1105</v>
      </c>
    </row>
    <row r="638" spans="1:17">
      <c r="A638" s="10" t="s">
        <v>74</v>
      </c>
      <c r="B638" s="10" t="s">
        <v>75</v>
      </c>
      <c r="C638" s="10" t="s">
        <v>50</v>
      </c>
      <c r="D638" s="10" t="s">
        <v>29</v>
      </c>
      <c r="E638" s="10" t="s">
        <v>29</v>
      </c>
      <c r="F638" s="10" t="s">
        <v>30</v>
      </c>
      <c r="G638" s="10" t="s">
        <v>22</v>
      </c>
      <c r="H638" s="10" t="s">
        <v>29</v>
      </c>
      <c r="I638" s="10" t="s">
        <v>1116</v>
      </c>
      <c r="J638" s="10" t="s">
        <v>1135</v>
      </c>
      <c r="K638" s="10" t="s">
        <v>1124</v>
      </c>
      <c r="L638" s="10" t="s">
        <v>954</v>
      </c>
      <c r="M638" s="10" t="s">
        <v>954</v>
      </c>
      <c r="N638" s="10" t="s">
        <v>1104</v>
      </c>
      <c r="O638" s="10" t="s">
        <v>1203</v>
      </c>
      <c r="P638" s="10" t="s">
        <v>1105</v>
      </c>
      <c r="Q638" s="10" t="s">
        <v>1105</v>
      </c>
    </row>
    <row r="639" spans="1:17">
      <c r="A639" s="10" t="s">
        <v>72</v>
      </c>
      <c r="B639" s="10" t="s">
        <v>73</v>
      </c>
      <c r="C639" s="10" t="s">
        <v>50</v>
      </c>
      <c r="D639" s="10" t="s">
        <v>29</v>
      </c>
      <c r="E639" s="10" t="s">
        <v>29</v>
      </c>
      <c r="F639" s="10" t="s">
        <v>30</v>
      </c>
      <c r="G639" s="10" t="s">
        <v>22</v>
      </c>
      <c r="H639" s="10" t="s">
        <v>29</v>
      </c>
      <c r="I639" s="10" t="s">
        <v>1116</v>
      </c>
      <c r="J639" s="10" t="s">
        <v>1135</v>
      </c>
      <c r="K639" s="10" t="s">
        <v>1124</v>
      </c>
      <c r="L639" s="10" t="s">
        <v>954</v>
      </c>
      <c r="M639" s="10" t="s">
        <v>954</v>
      </c>
      <c r="N639" s="10" t="s">
        <v>1104</v>
      </c>
      <c r="O639" s="10" t="s">
        <v>1203</v>
      </c>
      <c r="P639" s="10" t="s">
        <v>1105</v>
      </c>
      <c r="Q639" s="10" t="s">
        <v>1105</v>
      </c>
    </row>
    <row r="640" spans="1:17">
      <c r="A640" s="10" t="s">
        <v>69</v>
      </c>
      <c r="B640" s="10" t="s">
        <v>70</v>
      </c>
      <c r="C640" s="10" t="s">
        <v>71</v>
      </c>
      <c r="D640" s="10" t="s">
        <v>29</v>
      </c>
      <c r="E640" s="10" t="s">
        <v>29</v>
      </c>
      <c r="F640" s="10" t="s">
        <v>51</v>
      </c>
      <c r="G640" s="10" t="s">
        <v>22</v>
      </c>
      <c r="H640" s="10" t="s">
        <v>29</v>
      </c>
      <c r="I640" s="10" t="s">
        <v>1111</v>
      </c>
      <c r="J640" s="10" t="s">
        <v>1402</v>
      </c>
      <c r="K640" s="10" t="s">
        <v>1403</v>
      </c>
      <c r="L640" s="10" t="s">
        <v>954</v>
      </c>
      <c r="M640" s="10" t="s">
        <v>954</v>
      </c>
      <c r="N640" s="10" t="s">
        <v>1104</v>
      </c>
      <c r="O640" s="10" t="s">
        <v>1203</v>
      </c>
      <c r="P640" s="10" t="s">
        <v>1105</v>
      </c>
      <c r="Q640" s="10" t="s">
        <v>1105</v>
      </c>
    </row>
    <row r="641" spans="1:17">
      <c r="A641" s="10" t="s">
        <v>67</v>
      </c>
      <c r="B641" s="10" t="s">
        <v>68</v>
      </c>
      <c r="C641" s="10" t="s">
        <v>59</v>
      </c>
      <c r="D641" s="10" t="s">
        <v>29</v>
      </c>
      <c r="E641" s="10" t="s">
        <v>29</v>
      </c>
      <c r="F641" s="10" t="s">
        <v>42</v>
      </c>
      <c r="G641" s="10" t="s">
        <v>42</v>
      </c>
      <c r="H641" s="10" t="s">
        <v>29</v>
      </c>
      <c r="I641" s="10" t="s">
        <v>1257</v>
      </c>
      <c r="J641" s="10" t="s">
        <v>1135</v>
      </c>
      <c r="K641" s="10" t="s">
        <v>1210</v>
      </c>
      <c r="L641" s="10" t="s">
        <v>947</v>
      </c>
      <c r="M641" s="10" t="s">
        <v>1129</v>
      </c>
      <c r="N641" s="10" t="s">
        <v>1104</v>
      </c>
      <c r="O641" s="10" t="s">
        <v>1136</v>
      </c>
      <c r="P641" s="10" t="s">
        <v>1105</v>
      </c>
      <c r="Q641" s="10" t="s">
        <v>1105</v>
      </c>
    </row>
    <row r="642" spans="1:17">
      <c r="A642" s="10" t="s">
        <v>65</v>
      </c>
      <c r="B642" s="10" t="s">
        <v>66</v>
      </c>
      <c r="C642" s="10" t="s">
        <v>59</v>
      </c>
      <c r="D642" s="10" t="s">
        <v>29</v>
      </c>
      <c r="E642" s="10" t="s">
        <v>29</v>
      </c>
      <c r="F642" s="10" t="s">
        <v>38</v>
      </c>
      <c r="G642" s="10" t="s">
        <v>38</v>
      </c>
      <c r="H642" s="10" t="s">
        <v>29</v>
      </c>
      <c r="I642" s="10" t="s">
        <v>1116</v>
      </c>
      <c r="J642" s="10" t="s">
        <v>1135</v>
      </c>
      <c r="K642" s="10" t="s">
        <v>1124</v>
      </c>
      <c r="L642" s="10" t="s">
        <v>954</v>
      </c>
      <c r="M642" s="10" t="s">
        <v>954</v>
      </c>
      <c r="N642" s="10" t="s">
        <v>1104</v>
      </c>
      <c r="O642" s="10" t="s">
        <v>1203</v>
      </c>
      <c r="P642" s="10" t="s">
        <v>1105</v>
      </c>
      <c r="Q642" s="10" t="s">
        <v>1105</v>
      </c>
    </row>
    <row r="643" spans="1:17">
      <c r="A643" s="10" t="s">
        <v>63</v>
      </c>
      <c r="B643" s="10" t="s">
        <v>64</v>
      </c>
      <c r="C643" s="10" t="s">
        <v>59</v>
      </c>
      <c r="D643" s="10" t="s">
        <v>29</v>
      </c>
      <c r="E643" s="10" t="s">
        <v>29</v>
      </c>
      <c r="F643" s="10" t="s">
        <v>38</v>
      </c>
      <c r="G643" s="10" t="s">
        <v>38</v>
      </c>
      <c r="H643" s="10" t="s">
        <v>29</v>
      </c>
      <c r="I643" s="10" t="s">
        <v>1257</v>
      </c>
      <c r="J643" s="10" t="s">
        <v>1135</v>
      </c>
      <c r="K643" s="10" t="s">
        <v>1210</v>
      </c>
      <c r="L643" s="10" t="s">
        <v>947</v>
      </c>
      <c r="M643" s="10" t="s">
        <v>1129</v>
      </c>
      <c r="N643" s="10" t="s">
        <v>1104</v>
      </c>
      <c r="O643" s="10" t="s">
        <v>1136</v>
      </c>
      <c r="P643" s="10" t="s">
        <v>1105</v>
      </c>
      <c r="Q643" s="10" t="s">
        <v>1105</v>
      </c>
    </row>
    <row r="644" spans="1:17">
      <c r="A644" s="10" t="s">
        <v>60</v>
      </c>
      <c r="B644" s="10" t="s">
        <v>61</v>
      </c>
      <c r="C644" s="10" t="s">
        <v>59</v>
      </c>
      <c r="D644" s="10" t="s">
        <v>29</v>
      </c>
      <c r="E644" s="10" t="s">
        <v>29</v>
      </c>
      <c r="F644" s="10" t="s">
        <v>62</v>
      </c>
      <c r="G644" s="10" t="s">
        <v>22</v>
      </c>
      <c r="H644" s="10" t="s">
        <v>29</v>
      </c>
      <c r="I644" s="10" t="s">
        <v>1257</v>
      </c>
      <c r="J644" s="10" t="s">
        <v>1135</v>
      </c>
      <c r="K644" s="10" t="s">
        <v>1210</v>
      </c>
      <c r="L644" s="10" t="s">
        <v>947</v>
      </c>
      <c r="M644" s="10" t="s">
        <v>1129</v>
      </c>
      <c r="N644" s="10" t="s">
        <v>1104</v>
      </c>
      <c r="O644" s="10" t="s">
        <v>1136</v>
      </c>
      <c r="P644" s="10" t="s">
        <v>1105</v>
      </c>
      <c r="Q644" s="10" t="s">
        <v>1105</v>
      </c>
    </row>
    <row r="645" spans="1:17">
      <c r="A645" s="10" t="s">
        <v>57</v>
      </c>
      <c r="B645" s="10" t="s">
        <v>58</v>
      </c>
      <c r="C645" s="10" t="s">
        <v>59</v>
      </c>
      <c r="D645" s="10" t="s">
        <v>29</v>
      </c>
      <c r="E645" s="10" t="s">
        <v>29</v>
      </c>
      <c r="F645" s="10" t="s">
        <v>42</v>
      </c>
      <c r="G645" s="10" t="s">
        <v>42</v>
      </c>
      <c r="H645" s="10" t="s">
        <v>29</v>
      </c>
      <c r="I645" s="10" t="s">
        <v>1116</v>
      </c>
      <c r="J645" s="10" t="s">
        <v>1135</v>
      </c>
      <c r="K645" s="10" t="s">
        <v>1124</v>
      </c>
      <c r="L645" s="10" t="s">
        <v>954</v>
      </c>
      <c r="M645" s="10" t="s">
        <v>954</v>
      </c>
      <c r="N645" s="10" t="s">
        <v>1104</v>
      </c>
      <c r="O645" s="10" t="s">
        <v>1203</v>
      </c>
      <c r="P645" s="10" t="s">
        <v>1105</v>
      </c>
      <c r="Q645" s="10" t="s">
        <v>1105</v>
      </c>
    </row>
    <row r="646" spans="1:17">
      <c r="A646" s="10" t="s">
        <v>54</v>
      </c>
      <c r="B646" s="10" t="s">
        <v>55</v>
      </c>
      <c r="C646" s="10" t="s">
        <v>50</v>
      </c>
      <c r="D646" s="10" t="s">
        <v>29</v>
      </c>
      <c r="E646" s="10" t="s">
        <v>29</v>
      </c>
      <c r="F646" s="10" t="s">
        <v>56</v>
      </c>
      <c r="G646" s="10" t="s">
        <v>22</v>
      </c>
      <c r="H646" s="10" t="s">
        <v>29</v>
      </c>
      <c r="I646" s="10" t="s">
        <v>1116</v>
      </c>
      <c r="J646" s="10" t="s">
        <v>1135</v>
      </c>
      <c r="K646" s="10" t="s">
        <v>1124</v>
      </c>
      <c r="L646" s="10" t="s">
        <v>947</v>
      </c>
      <c r="M646" s="10" t="s">
        <v>1119</v>
      </c>
      <c r="N646" s="10" t="s">
        <v>1104</v>
      </c>
      <c r="O646" s="10" t="s">
        <v>1131</v>
      </c>
      <c r="P646" s="10" t="s">
        <v>1105</v>
      </c>
      <c r="Q646" s="10" t="s">
        <v>1105</v>
      </c>
    </row>
    <row r="647" spans="1:17">
      <c r="A647" s="10" t="s">
        <v>52</v>
      </c>
      <c r="B647" s="10" t="s">
        <v>53</v>
      </c>
      <c r="C647" s="10" t="s">
        <v>50</v>
      </c>
      <c r="D647" s="10" t="s">
        <v>29</v>
      </c>
      <c r="E647" s="10" t="s">
        <v>29</v>
      </c>
      <c r="F647" s="10" t="s">
        <v>51</v>
      </c>
      <c r="G647" s="10" t="s">
        <v>22</v>
      </c>
      <c r="H647" s="10" t="s">
        <v>29</v>
      </c>
      <c r="I647" s="10" t="s">
        <v>1116</v>
      </c>
      <c r="J647" s="10" t="s">
        <v>1135</v>
      </c>
      <c r="K647" s="10" t="s">
        <v>1124</v>
      </c>
      <c r="L647" s="10" t="s">
        <v>947</v>
      </c>
      <c r="M647" s="10" t="s">
        <v>1119</v>
      </c>
      <c r="N647" s="10" t="s">
        <v>1104</v>
      </c>
      <c r="O647" s="10" t="s">
        <v>1131</v>
      </c>
      <c r="P647" s="10" t="s">
        <v>1105</v>
      </c>
      <c r="Q647" s="10" t="s">
        <v>1105</v>
      </c>
    </row>
    <row r="648" spans="1:17">
      <c r="A648" s="10" t="s">
        <v>48</v>
      </c>
      <c r="B648" s="10" t="s">
        <v>49</v>
      </c>
      <c r="C648" s="10" t="s">
        <v>50</v>
      </c>
      <c r="D648" s="10" t="s">
        <v>29</v>
      </c>
      <c r="E648" s="10" t="s">
        <v>29</v>
      </c>
      <c r="F648" s="10" t="s">
        <v>51</v>
      </c>
      <c r="G648" s="10" t="s">
        <v>22</v>
      </c>
      <c r="H648" s="10" t="s">
        <v>29</v>
      </c>
      <c r="I648" s="10" t="s">
        <v>1257</v>
      </c>
      <c r="J648" s="10" t="s">
        <v>1135</v>
      </c>
      <c r="K648" s="10" t="s">
        <v>1210</v>
      </c>
      <c r="L648" s="10" t="s">
        <v>947</v>
      </c>
      <c r="M648" s="10" t="s">
        <v>1129</v>
      </c>
      <c r="N648" s="10" t="s">
        <v>1104</v>
      </c>
      <c r="O648" s="10" t="s">
        <v>1136</v>
      </c>
      <c r="P648" s="10" t="s">
        <v>1105</v>
      </c>
      <c r="Q648" s="10" t="s">
        <v>1105</v>
      </c>
    </row>
    <row r="649" spans="1:17">
      <c r="A649" s="10" t="s">
        <v>45</v>
      </c>
      <c r="B649" s="10" t="s">
        <v>46</v>
      </c>
      <c r="C649" s="10" t="s">
        <v>18</v>
      </c>
      <c r="D649" s="10" t="s">
        <v>19</v>
      </c>
      <c r="E649" s="10" t="s">
        <v>41</v>
      </c>
      <c r="F649" s="10" t="s">
        <v>42</v>
      </c>
      <c r="G649" s="10" t="s">
        <v>42</v>
      </c>
      <c r="H649" s="10" t="s">
        <v>23</v>
      </c>
      <c r="I649" s="10" t="s">
        <v>1116</v>
      </c>
      <c r="J649" s="10" t="s">
        <v>1135</v>
      </c>
      <c r="K649" s="10" t="s">
        <v>1124</v>
      </c>
      <c r="L649" s="10" t="s">
        <v>947</v>
      </c>
      <c r="M649" s="10" t="s">
        <v>1119</v>
      </c>
      <c r="N649" s="10" t="s">
        <v>1142</v>
      </c>
      <c r="O649" s="10" t="s">
        <v>1465</v>
      </c>
      <c r="P649" s="10" t="s">
        <v>1105</v>
      </c>
      <c r="Q649" s="10" t="s">
        <v>1105</v>
      </c>
    </row>
    <row r="650" spans="1:17">
      <c r="A650" s="10" t="s">
        <v>43</v>
      </c>
      <c r="B650" s="10" t="s">
        <v>44</v>
      </c>
      <c r="C650" s="10" t="s">
        <v>18</v>
      </c>
      <c r="D650" s="10" t="s">
        <v>19</v>
      </c>
      <c r="E650" s="10" t="s">
        <v>36</v>
      </c>
      <c r="F650" s="10" t="s">
        <v>37</v>
      </c>
      <c r="G650" s="10" t="s">
        <v>38</v>
      </c>
      <c r="H650" s="10" t="s">
        <v>23</v>
      </c>
      <c r="I650" s="10" t="s">
        <v>1116</v>
      </c>
      <c r="J650" s="10" t="s">
        <v>1135</v>
      </c>
      <c r="K650" s="10" t="s">
        <v>1124</v>
      </c>
      <c r="L650" s="10" t="s">
        <v>947</v>
      </c>
      <c r="M650" s="10" t="s">
        <v>1119</v>
      </c>
      <c r="N650" s="10" t="s">
        <v>1142</v>
      </c>
      <c r="O650" s="10" t="s">
        <v>1465</v>
      </c>
      <c r="P650" s="10" t="s">
        <v>1105</v>
      </c>
      <c r="Q650" s="10" t="s">
        <v>1105</v>
      </c>
    </row>
    <row r="651" spans="1:17">
      <c r="A651" s="10" t="s">
        <v>39</v>
      </c>
      <c r="B651" s="10" t="s">
        <v>40</v>
      </c>
      <c r="C651" s="10" t="s">
        <v>18</v>
      </c>
      <c r="D651" s="10" t="s">
        <v>19</v>
      </c>
      <c r="E651" s="10" t="s">
        <v>41</v>
      </c>
      <c r="F651" s="10" t="s">
        <v>42</v>
      </c>
      <c r="G651" s="10" t="s">
        <v>42</v>
      </c>
      <c r="H651" s="10" t="s">
        <v>23</v>
      </c>
      <c r="I651" s="10" t="s">
        <v>1148</v>
      </c>
      <c r="J651" s="10" t="s">
        <v>1101</v>
      </c>
      <c r="K651" s="10" t="s">
        <v>1151</v>
      </c>
      <c r="L651" s="10" t="s">
        <v>947</v>
      </c>
      <c r="M651" s="10" t="s">
        <v>1103</v>
      </c>
      <c r="N651" s="10" t="s">
        <v>1142</v>
      </c>
      <c r="O651" s="10" t="s">
        <v>1465</v>
      </c>
      <c r="P651" s="10" t="s">
        <v>1105</v>
      </c>
      <c r="Q651" s="10" t="s">
        <v>1105</v>
      </c>
    </row>
    <row r="652" spans="1:17">
      <c r="A652" s="10" t="s">
        <v>34</v>
      </c>
      <c r="B652" s="10" t="s">
        <v>35</v>
      </c>
      <c r="C652" s="10" t="s">
        <v>18</v>
      </c>
      <c r="D652" s="10" t="s">
        <v>19</v>
      </c>
      <c r="E652" s="10" t="s">
        <v>36</v>
      </c>
      <c r="F652" s="10" t="s">
        <v>37</v>
      </c>
      <c r="G652" s="10" t="s">
        <v>38</v>
      </c>
      <c r="H652" s="10" t="s">
        <v>23</v>
      </c>
      <c r="I652" s="10" t="s">
        <v>1148</v>
      </c>
      <c r="J652" s="10" t="s">
        <v>1101</v>
      </c>
      <c r="K652" s="10" t="s">
        <v>1151</v>
      </c>
      <c r="L652" s="10" t="s">
        <v>947</v>
      </c>
      <c r="M652" s="10" t="s">
        <v>1103</v>
      </c>
      <c r="N652" s="10" t="s">
        <v>1142</v>
      </c>
      <c r="O652" s="10" t="s">
        <v>1465</v>
      </c>
      <c r="P652" s="10" t="s">
        <v>1105</v>
      </c>
      <c r="Q652" s="10" t="s">
        <v>1105</v>
      </c>
    </row>
    <row r="653" spans="1:17">
      <c r="A653" s="10" t="s">
        <v>31</v>
      </c>
      <c r="B653" s="10" t="s">
        <v>32</v>
      </c>
      <c r="C653" s="10" t="s">
        <v>18</v>
      </c>
      <c r="D653" s="10" t="s">
        <v>19</v>
      </c>
      <c r="E653" s="10" t="s">
        <v>20</v>
      </c>
      <c r="F653" s="10" t="s">
        <v>33</v>
      </c>
      <c r="G653" s="10" t="s">
        <v>22</v>
      </c>
      <c r="H653" s="10" t="s">
        <v>23</v>
      </c>
      <c r="I653" s="10" t="s">
        <v>1116</v>
      </c>
      <c r="J653" s="10" t="s">
        <v>1114</v>
      </c>
      <c r="K653" s="10" t="s">
        <v>1210</v>
      </c>
      <c r="L653" s="10" t="s">
        <v>954</v>
      </c>
      <c r="M653" s="10" t="s">
        <v>954</v>
      </c>
      <c r="N653" s="10" t="s">
        <v>1142</v>
      </c>
      <c r="O653" s="10" t="s">
        <v>1465</v>
      </c>
      <c r="P653" s="10" t="s">
        <v>1105</v>
      </c>
      <c r="Q653" s="10" t="s">
        <v>1105</v>
      </c>
    </row>
    <row r="654" spans="1:17">
      <c r="A654" s="10" t="s">
        <v>26</v>
      </c>
      <c r="B654" s="10" t="s">
        <v>27</v>
      </c>
      <c r="C654" s="10" t="s">
        <v>28</v>
      </c>
      <c r="D654" s="10" t="s">
        <v>29</v>
      </c>
      <c r="E654" s="10" t="s">
        <v>29</v>
      </c>
      <c r="F654" s="10" t="s">
        <v>30</v>
      </c>
      <c r="G654" s="10" t="s">
        <v>22</v>
      </c>
      <c r="H654" s="10" t="s">
        <v>29</v>
      </c>
      <c r="I654" s="10" t="s">
        <v>1116</v>
      </c>
      <c r="J654" s="10" t="s">
        <v>1135</v>
      </c>
      <c r="K654" s="10" t="s">
        <v>1124</v>
      </c>
      <c r="L654" s="10" t="s">
        <v>954</v>
      </c>
      <c r="M654" s="10" t="s">
        <v>954</v>
      </c>
      <c r="N654" s="10" t="s">
        <v>1104</v>
      </c>
      <c r="O654" s="10" t="s">
        <v>1203</v>
      </c>
      <c r="P654" s="10" t="s">
        <v>1105</v>
      </c>
      <c r="Q654" s="10" t="s">
        <v>1105</v>
      </c>
    </row>
    <row r="655" spans="1:17">
      <c r="A655" s="10" t="s">
        <v>16</v>
      </c>
      <c r="B655" s="10" t="s">
        <v>17</v>
      </c>
      <c r="C655" s="10" t="s">
        <v>18</v>
      </c>
      <c r="D655" s="10" t="s">
        <v>19</v>
      </c>
      <c r="E655" s="10" t="s">
        <v>20</v>
      </c>
      <c r="F655" s="10" t="s">
        <v>21</v>
      </c>
      <c r="G655" s="10" t="s">
        <v>22</v>
      </c>
      <c r="H655" s="10" t="s">
        <v>23</v>
      </c>
      <c r="I655" s="10" t="s">
        <v>1116</v>
      </c>
      <c r="J655" s="10" t="s">
        <v>1114</v>
      </c>
      <c r="K655" s="10" t="s">
        <v>1210</v>
      </c>
      <c r="L655" s="10" t="s">
        <v>954</v>
      </c>
      <c r="M655" s="10" t="s">
        <v>954</v>
      </c>
      <c r="N655" s="10" t="s">
        <v>1104</v>
      </c>
      <c r="O655" s="10" t="s">
        <v>1203</v>
      </c>
      <c r="P655" s="10" t="s">
        <v>1105</v>
      </c>
      <c r="Q655" s="10" t="s">
        <v>1105</v>
      </c>
    </row>
  </sheetData>
  <autoFilter ref="A1:Q1" xr:uid="{00000000-0009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EAB8E-BD95-4B1C-8E1B-BA77A81CA5B2}">
  <dimension ref="A1:G646"/>
  <sheetViews>
    <sheetView zoomScale="70" zoomScaleNormal="70" workbookViewId="0">
      <pane ySplit="1" topLeftCell="A80" activePane="bottomLeft" state="frozen"/>
      <selection pane="bottomLeft" activeCell="A92" sqref="A92"/>
    </sheetView>
  </sheetViews>
  <sheetFormatPr defaultColWidth="12.59765625" defaultRowHeight="18"/>
  <cols>
    <col min="1" max="1" width="13" bestFit="1" customWidth="1"/>
    <col min="2" max="2" width="50" bestFit="1" customWidth="1"/>
    <col min="3" max="3" width="9" bestFit="1" customWidth="1"/>
    <col min="4" max="4" width="11" bestFit="1" customWidth="1"/>
    <col min="5" max="5" width="10" bestFit="1" customWidth="1"/>
    <col min="6" max="6" width="9" bestFit="1" customWidth="1"/>
    <col min="7" max="7" width="20" bestFit="1" customWidth="1"/>
  </cols>
  <sheetData>
    <row r="1" spans="1:7" ht="18.399999999999999" thickBot="1">
      <c r="A1" s="1" t="s">
        <v>1092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14</v>
      </c>
      <c r="G1" s="1" t="s">
        <v>12</v>
      </c>
    </row>
    <row r="2" spans="1:7">
      <c r="A2" t="s">
        <v>1540</v>
      </c>
      <c r="B2" t="s">
        <v>1541</v>
      </c>
      <c r="C2">
        <v>400</v>
      </c>
      <c r="D2">
        <v>24</v>
      </c>
      <c r="E2">
        <v>9.6</v>
      </c>
      <c r="F2" t="s">
        <v>351</v>
      </c>
      <c r="G2">
        <v>112.5</v>
      </c>
    </row>
    <row r="3" spans="1:7">
      <c r="A3" t="s">
        <v>1542</v>
      </c>
      <c r="B3" t="s">
        <v>1543</v>
      </c>
      <c r="C3">
        <v>1000</v>
      </c>
      <c r="D3">
        <v>10</v>
      </c>
      <c r="E3">
        <v>10</v>
      </c>
      <c r="F3" t="s">
        <v>351</v>
      </c>
      <c r="G3">
        <v>175</v>
      </c>
    </row>
    <row r="4" spans="1:7">
      <c r="A4" t="s">
        <v>1544</v>
      </c>
      <c r="B4" t="s">
        <v>1545</v>
      </c>
      <c r="C4">
        <v>200</v>
      </c>
      <c r="D4">
        <v>24</v>
      </c>
      <c r="E4">
        <v>4.8</v>
      </c>
      <c r="F4" t="s">
        <v>351</v>
      </c>
      <c r="G4">
        <v>83.333333333333329</v>
      </c>
    </row>
    <row r="5" spans="1:7">
      <c r="A5" t="s">
        <v>1546</v>
      </c>
      <c r="B5" t="s">
        <v>1547</v>
      </c>
      <c r="C5">
        <v>400</v>
      </c>
      <c r="D5">
        <v>24</v>
      </c>
      <c r="E5">
        <v>9.6</v>
      </c>
      <c r="F5" t="s">
        <v>351</v>
      </c>
      <c r="G5">
        <v>112.5</v>
      </c>
    </row>
    <row r="6" spans="1:7">
      <c r="A6" t="s">
        <v>1548</v>
      </c>
      <c r="B6" t="s">
        <v>1549</v>
      </c>
      <c r="C6">
        <v>1000</v>
      </c>
      <c r="D6">
        <v>10</v>
      </c>
      <c r="E6">
        <v>10</v>
      </c>
      <c r="F6" t="s">
        <v>351</v>
      </c>
      <c r="G6">
        <v>166.66666666666666</v>
      </c>
    </row>
    <row r="7" spans="1:7">
      <c r="A7" t="s">
        <v>1550</v>
      </c>
      <c r="B7" t="s">
        <v>1551</v>
      </c>
      <c r="C7">
        <v>400</v>
      </c>
      <c r="D7">
        <v>24</v>
      </c>
      <c r="E7">
        <v>9.6</v>
      </c>
      <c r="F7" t="s">
        <v>351</v>
      </c>
      <c r="G7">
        <v>112.5</v>
      </c>
    </row>
    <row r="8" spans="1:7">
      <c r="A8" t="s">
        <v>1552</v>
      </c>
      <c r="B8" t="s">
        <v>1553</v>
      </c>
      <c r="C8">
        <v>1000</v>
      </c>
      <c r="D8">
        <v>10</v>
      </c>
      <c r="E8">
        <v>10</v>
      </c>
      <c r="F8" t="s">
        <v>351</v>
      </c>
      <c r="G8">
        <v>166.66666666666666</v>
      </c>
    </row>
    <row r="9" spans="1:7">
      <c r="A9" t="s">
        <v>1554</v>
      </c>
      <c r="B9" t="s">
        <v>1555</v>
      </c>
      <c r="C9">
        <v>400</v>
      </c>
      <c r="D9">
        <v>24</v>
      </c>
      <c r="E9">
        <v>9.6</v>
      </c>
      <c r="F9" t="s">
        <v>351</v>
      </c>
      <c r="G9">
        <v>112.5</v>
      </c>
    </row>
    <row r="10" spans="1:7">
      <c r="A10" t="s">
        <v>1556</v>
      </c>
      <c r="B10" t="s">
        <v>1557</v>
      </c>
      <c r="C10">
        <v>1000</v>
      </c>
      <c r="D10">
        <v>10</v>
      </c>
      <c r="E10">
        <v>10</v>
      </c>
      <c r="F10" t="s">
        <v>351</v>
      </c>
      <c r="G10">
        <v>166.66666666666666</v>
      </c>
    </row>
    <row r="11" spans="1:7">
      <c r="A11" t="s">
        <v>1417</v>
      </c>
      <c r="B11" t="s">
        <v>1418</v>
      </c>
      <c r="C11">
        <v>120</v>
      </c>
      <c r="D11">
        <v>48</v>
      </c>
      <c r="E11">
        <v>5.76</v>
      </c>
      <c r="F11" t="s">
        <v>351</v>
      </c>
      <c r="G11">
        <v>0</v>
      </c>
    </row>
    <row r="12" spans="1:7">
      <c r="A12" t="s">
        <v>1415</v>
      </c>
      <c r="B12" t="s">
        <v>1416</v>
      </c>
      <c r="C12">
        <v>150</v>
      </c>
      <c r="D12">
        <v>48</v>
      </c>
      <c r="E12">
        <v>7.2</v>
      </c>
      <c r="F12" t="s">
        <v>351</v>
      </c>
      <c r="G12">
        <v>100</v>
      </c>
    </row>
    <row r="13" spans="1:7">
      <c r="A13" t="s">
        <v>1441</v>
      </c>
      <c r="B13" t="s">
        <v>1442</v>
      </c>
      <c r="C13">
        <v>400</v>
      </c>
      <c r="D13">
        <v>21</v>
      </c>
      <c r="E13">
        <v>8.4</v>
      </c>
      <c r="F13" t="s">
        <v>351</v>
      </c>
      <c r="G13">
        <v>175</v>
      </c>
    </row>
    <row r="14" spans="1:7">
      <c r="A14" t="s">
        <v>1425</v>
      </c>
      <c r="B14" t="s">
        <v>1426</v>
      </c>
      <c r="C14">
        <v>600</v>
      </c>
      <c r="D14">
        <v>12</v>
      </c>
      <c r="E14">
        <v>7.2</v>
      </c>
      <c r="F14" t="s">
        <v>351</v>
      </c>
      <c r="G14">
        <v>175</v>
      </c>
    </row>
    <row r="15" spans="1:7">
      <c r="A15" t="s">
        <v>1443</v>
      </c>
      <c r="B15" t="s">
        <v>1444</v>
      </c>
      <c r="C15">
        <v>1000</v>
      </c>
      <c r="D15">
        <v>10</v>
      </c>
      <c r="E15">
        <v>10</v>
      </c>
      <c r="F15" t="s">
        <v>351</v>
      </c>
      <c r="G15">
        <v>193.75</v>
      </c>
    </row>
    <row r="16" spans="1:7">
      <c r="A16" t="s">
        <v>349</v>
      </c>
      <c r="B16" t="s">
        <v>350</v>
      </c>
      <c r="C16">
        <v>200</v>
      </c>
      <c r="D16">
        <v>24</v>
      </c>
      <c r="E16">
        <v>4.8</v>
      </c>
      <c r="F16" t="s">
        <v>351</v>
      </c>
      <c r="G16">
        <v>112.5</v>
      </c>
    </row>
    <row r="17" spans="1:7">
      <c r="A17" t="s">
        <v>345</v>
      </c>
      <c r="B17" t="s">
        <v>346</v>
      </c>
      <c r="C17">
        <v>350</v>
      </c>
      <c r="D17">
        <v>24</v>
      </c>
      <c r="E17">
        <v>8.4</v>
      </c>
      <c r="F17" t="s">
        <v>351</v>
      </c>
      <c r="G17">
        <v>112.5</v>
      </c>
    </row>
    <row r="18" spans="1:7">
      <c r="A18" t="s">
        <v>347</v>
      </c>
      <c r="B18" t="s">
        <v>348</v>
      </c>
      <c r="C18">
        <v>350</v>
      </c>
      <c r="D18">
        <v>24</v>
      </c>
      <c r="E18">
        <v>8.4</v>
      </c>
      <c r="F18" t="s">
        <v>351</v>
      </c>
      <c r="G18">
        <v>112.5</v>
      </c>
    </row>
    <row r="19" spans="1:7">
      <c r="A19" t="s">
        <v>462</v>
      </c>
      <c r="B19" t="s">
        <v>463</v>
      </c>
      <c r="C19">
        <v>400</v>
      </c>
      <c r="D19">
        <v>24</v>
      </c>
      <c r="E19">
        <v>9.6</v>
      </c>
      <c r="F19" t="s">
        <v>351</v>
      </c>
      <c r="G19">
        <v>112.5</v>
      </c>
    </row>
    <row r="20" spans="1:7">
      <c r="A20" t="s">
        <v>458</v>
      </c>
      <c r="B20" t="s">
        <v>459</v>
      </c>
      <c r="C20">
        <v>200</v>
      </c>
      <c r="D20">
        <v>24</v>
      </c>
      <c r="E20">
        <v>4.8</v>
      </c>
      <c r="F20" t="s">
        <v>351</v>
      </c>
      <c r="G20">
        <v>83.33</v>
      </c>
    </row>
    <row r="21" spans="1:7">
      <c r="A21" t="s">
        <v>1437</v>
      </c>
      <c r="B21" t="s">
        <v>1438</v>
      </c>
      <c r="C21">
        <v>900</v>
      </c>
      <c r="D21">
        <v>10</v>
      </c>
      <c r="E21">
        <v>9</v>
      </c>
      <c r="F21" t="s">
        <v>351</v>
      </c>
      <c r="G21">
        <v>166.67</v>
      </c>
    </row>
    <row r="22" spans="1:7">
      <c r="A22" t="s">
        <v>1439</v>
      </c>
      <c r="B22" t="s">
        <v>1440</v>
      </c>
      <c r="C22">
        <v>900</v>
      </c>
      <c r="D22">
        <v>10</v>
      </c>
      <c r="E22">
        <v>9</v>
      </c>
      <c r="F22" t="s">
        <v>351</v>
      </c>
      <c r="G22">
        <v>166.67</v>
      </c>
    </row>
    <row r="23" spans="1:7">
      <c r="A23" t="s">
        <v>367</v>
      </c>
      <c r="B23" t="s">
        <v>368</v>
      </c>
      <c r="C23">
        <v>120</v>
      </c>
      <c r="D23">
        <v>48</v>
      </c>
      <c r="E23">
        <v>5.76</v>
      </c>
      <c r="F23" t="s">
        <v>351</v>
      </c>
      <c r="G23">
        <v>0</v>
      </c>
    </row>
    <row r="24" spans="1:7">
      <c r="A24" t="s">
        <v>369</v>
      </c>
      <c r="B24" t="s">
        <v>370</v>
      </c>
      <c r="C24">
        <v>150</v>
      </c>
      <c r="D24">
        <v>48</v>
      </c>
      <c r="E24">
        <v>7.2</v>
      </c>
      <c r="F24" t="s">
        <v>351</v>
      </c>
      <c r="G24">
        <v>100</v>
      </c>
    </row>
    <row r="25" spans="1:7">
      <c r="A25" t="s">
        <v>363</v>
      </c>
      <c r="B25" t="s">
        <v>364</v>
      </c>
      <c r="C25">
        <v>400</v>
      </c>
      <c r="D25">
        <v>21</v>
      </c>
      <c r="E25">
        <v>8.4</v>
      </c>
      <c r="F25" t="s">
        <v>351</v>
      </c>
      <c r="G25">
        <v>175</v>
      </c>
    </row>
    <row r="26" spans="1:7">
      <c r="A26" t="s">
        <v>371</v>
      </c>
      <c r="B26" t="s">
        <v>372</v>
      </c>
      <c r="C26">
        <v>600</v>
      </c>
      <c r="D26">
        <v>12</v>
      </c>
      <c r="E26">
        <v>7.2</v>
      </c>
      <c r="F26" t="s">
        <v>351</v>
      </c>
      <c r="G26">
        <v>175</v>
      </c>
    </row>
    <row r="27" spans="1:7">
      <c r="A27" t="s">
        <v>373</v>
      </c>
      <c r="B27" t="s">
        <v>374</v>
      </c>
      <c r="C27">
        <v>1000</v>
      </c>
      <c r="D27">
        <v>10</v>
      </c>
      <c r="E27">
        <v>10</v>
      </c>
      <c r="F27" t="s">
        <v>351</v>
      </c>
      <c r="G27">
        <v>193.75</v>
      </c>
    </row>
    <row r="28" spans="1:7">
      <c r="A28" t="s">
        <v>1558</v>
      </c>
      <c r="B28" t="s">
        <v>1559</v>
      </c>
      <c r="C28">
        <v>400</v>
      </c>
      <c r="D28">
        <v>24</v>
      </c>
      <c r="E28">
        <v>9.6</v>
      </c>
      <c r="F28" t="s">
        <v>351</v>
      </c>
      <c r="G28">
        <v>112.5</v>
      </c>
    </row>
    <row r="29" spans="1:7">
      <c r="A29" t="s">
        <v>1560</v>
      </c>
      <c r="B29" t="s">
        <v>1561</v>
      </c>
      <c r="C29">
        <v>1000</v>
      </c>
      <c r="D29">
        <v>10</v>
      </c>
      <c r="E29">
        <v>10</v>
      </c>
      <c r="F29" t="s">
        <v>351</v>
      </c>
      <c r="G29">
        <v>166.66666666666666</v>
      </c>
    </row>
    <row r="30" spans="1:7">
      <c r="A30" t="s">
        <v>1562</v>
      </c>
      <c r="B30" t="s">
        <v>1563</v>
      </c>
      <c r="C30">
        <v>200</v>
      </c>
      <c r="D30">
        <v>24</v>
      </c>
      <c r="E30">
        <v>4.8</v>
      </c>
      <c r="F30" t="s">
        <v>351</v>
      </c>
      <c r="G30">
        <v>83.333333333333329</v>
      </c>
    </row>
    <row r="31" spans="1:7">
      <c r="A31" t="s">
        <v>1564</v>
      </c>
      <c r="B31" t="s">
        <v>1565</v>
      </c>
      <c r="C31">
        <v>400</v>
      </c>
      <c r="D31">
        <v>24</v>
      </c>
      <c r="E31">
        <v>9.6</v>
      </c>
      <c r="F31" t="s">
        <v>351</v>
      </c>
      <c r="G31">
        <v>112.5</v>
      </c>
    </row>
    <row r="32" spans="1:7">
      <c r="A32" t="s">
        <v>1566</v>
      </c>
      <c r="B32" t="s">
        <v>1567</v>
      </c>
      <c r="C32">
        <v>1000</v>
      </c>
      <c r="D32">
        <v>10</v>
      </c>
      <c r="E32">
        <v>10</v>
      </c>
      <c r="F32" t="s">
        <v>351</v>
      </c>
      <c r="G32">
        <v>166.66666666666666</v>
      </c>
    </row>
    <row r="33" spans="1:7">
      <c r="A33" t="s">
        <v>1568</v>
      </c>
      <c r="B33" t="s">
        <v>1569</v>
      </c>
      <c r="C33">
        <v>400</v>
      </c>
      <c r="D33">
        <v>24</v>
      </c>
      <c r="E33">
        <v>9.6</v>
      </c>
      <c r="F33" t="s">
        <v>351</v>
      </c>
      <c r="G33">
        <v>112.5</v>
      </c>
    </row>
    <row r="34" spans="1:7">
      <c r="A34" t="s">
        <v>1570</v>
      </c>
      <c r="B34" t="s">
        <v>1571</v>
      </c>
      <c r="C34">
        <v>1000</v>
      </c>
      <c r="D34">
        <v>10</v>
      </c>
      <c r="E34">
        <v>10</v>
      </c>
      <c r="F34" t="s">
        <v>351</v>
      </c>
      <c r="G34">
        <v>166.66666666666666</v>
      </c>
    </row>
    <row r="35" spans="1:7">
      <c r="A35" t="s">
        <v>1572</v>
      </c>
      <c r="B35" t="s">
        <v>1573</v>
      </c>
      <c r="C35">
        <v>400</v>
      </c>
      <c r="D35">
        <v>24</v>
      </c>
      <c r="E35">
        <v>9.6</v>
      </c>
      <c r="F35" t="s">
        <v>351</v>
      </c>
      <c r="G35">
        <v>112.5</v>
      </c>
    </row>
    <row r="36" spans="1:7">
      <c r="A36" t="s">
        <v>1574</v>
      </c>
      <c r="B36" t="s">
        <v>1575</v>
      </c>
      <c r="C36">
        <v>1000</v>
      </c>
      <c r="D36">
        <v>10</v>
      </c>
      <c r="E36">
        <v>10</v>
      </c>
      <c r="F36" t="s">
        <v>351</v>
      </c>
      <c r="G36">
        <v>166.66666666666666</v>
      </c>
    </row>
    <row r="37" spans="1:7">
      <c r="A37" t="s">
        <v>486</v>
      </c>
      <c r="B37" t="s">
        <v>487</v>
      </c>
      <c r="C37">
        <v>400</v>
      </c>
      <c r="D37">
        <v>24</v>
      </c>
      <c r="E37">
        <v>9.6</v>
      </c>
      <c r="F37" t="s">
        <v>351</v>
      </c>
      <c r="G37">
        <v>113</v>
      </c>
    </row>
    <row r="38" spans="1:7">
      <c r="A38" t="s">
        <v>488</v>
      </c>
      <c r="B38" t="s">
        <v>489</v>
      </c>
      <c r="C38">
        <v>400</v>
      </c>
      <c r="D38">
        <v>24</v>
      </c>
      <c r="E38">
        <v>9.6</v>
      </c>
      <c r="F38" t="s">
        <v>351</v>
      </c>
      <c r="G38">
        <v>113</v>
      </c>
    </row>
    <row r="39" spans="1:7">
      <c r="A39" t="s">
        <v>1341</v>
      </c>
      <c r="B39" t="s">
        <v>1342</v>
      </c>
      <c r="C39">
        <v>400</v>
      </c>
      <c r="D39">
        <v>24</v>
      </c>
      <c r="E39">
        <v>9.6</v>
      </c>
      <c r="F39" t="s">
        <v>351</v>
      </c>
      <c r="G39">
        <v>112.5</v>
      </c>
    </row>
    <row r="40" spans="1:7">
      <c r="A40" t="s">
        <v>1323</v>
      </c>
      <c r="B40" t="s">
        <v>1324</v>
      </c>
      <c r="C40">
        <v>1000</v>
      </c>
      <c r="D40">
        <v>10</v>
      </c>
      <c r="E40">
        <v>10</v>
      </c>
      <c r="F40" t="s">
        <v>351</v>
      </c>
      <c r="G40">
        <v>166.66666666666666</v>
      </c>
    </row>
    <row r="41" spans="1:7">
      <c r="A41" t="s">
        <v>1331</v>
      </c>
      <c r="B41" t="s">
        <v>1332</v>
      </c>
      <c r="C41">
        <v>1800</v>
      </c>
      <c r="D41">
        <v>6</v>
      </c>
      <c r="E41">
        <v>10.8</v>
      </c>
      <c r="F41" t="s">
        <v>351</v>
      </c>
      <c r="G41" t="s">
        <v>1576</v>
      </c>
    </row>
    <row r="42" spans="1:7">
      <c r="A42" t="s">
        <v>1309</v>
      </c>
      <c r="B42" t="s">
        <v>1310</v>
      </c>
      <c r="C42">
        <v>200</v>
      </c>
      <c r="D42">
        <v>24</v>
      </c>
      <c r="E42">
        <v>4.8</v>
      </c>
      <c r="F42" t="s">
        <v>351</v>
      </c>
      <c r="G42">
        <v>83.333333333333329</v>
      </c>
    </row>
    <row r="43" spans="1:7">
      <c r="A43" t="s">
        <v>1339</v>
      </c>
      <c r="B43" t="s">
        <v>1340</v>
      </c>
      <c r="C43">
        <v>400</v>
      </c>
      <c r="D43">
        <v>24</v>
      </c>
      <c r="E43">
        <v>9.6</v>
      </c>
      <c r="F43" t="s">
        <v>351</v>
      </c>
      <c r="G43">
        <v>112.5</v>
      </c>
    </row>
    <row r="44" spans="1:7">
      <c r="A44" t="s">
        <v>1321</v>
      </c>
      <c r="B44" t="s">
        <v>1322</v>
      </c>
      <c r="C44">
        <v>1000</v>
      </c>
      <c r="D44">
        <v>10</v>
      </c>
      <c r="E44">
        <v>10</v>
      </c>
      <c r="F44" t="s">
        <v>351</v>
      </c>
      <c r="G44">
        <v>166.66666666666666</v>
      </c>
    </row>
    <row r="45" spans="1:7">
      <c r="A45" t="s">
        <v>1329</v>
      </c>
      <c r="B45" t="s">
        <v>1330</v>
      </c>
      <c r="C45">
        <v>1800</v>
      </c>
      <c r="D45">
        <v>6</v>
      </c>
      <c r="E45">
        <v>10.8</v>
      </c>
      <c r="F45" t="s">
        <v>351</v>
      </c>
      <c r="G45" t="s">
        <v>1576</v>
      </c>
    </row>
    <row r="46" spans="1:7">
      <c r="A46" t="s">
        <v>1337</v>
      </c>
      <c r="B46" t="s">
        <v>1338</v>
      </c>
      <c r="C46">
        <v>400</v>
      </c>
      <c r="D46">
        <v>24</v>
      </c>
      <c r="E46">
        <v>9.6</v>
      </c>
      <c r="F46" t="s">
        <v>351</v>
      </c>
      <c r="G46">
        <v>112.5</v>
      </c>
    </row>
    <row r="47" spans="1:7">
      <c r="A47" t="s">
        <v>1319</v>
      </c>
      <c r="B47" t="s">
        <v>1320</v>
      </c>
      <c r="C47">
        <v>1000</v>
      </c>
      <c r="D47">
        <v>10</v>
      </c>
      <c r="E47">
        <v>10</v>
      </c>
      <c r="F47" t="s">
        <v>351</v>
      </c>
      <c r="G47">
        <v>166.66666666666666</v>
      </c>
    </row>
    <row r="48" spans="1:7">
      <c r="A48" t="s">
        <v>1327</v>
      </c>
      <c r="B48" t="s">
        <v>1328</v>
      </c>
      <c r="C48">
        <v>1800</v>
      </c>
      <c r="D48">
        <v>6</v>
      </c>
      <c r="E48">
        <v>10.8</v>
      </c>
      <c r="F48" t="s">
        <v>351</v>
      </c>
      <c r="G48" t="s">
        <v>1576</v>
      </c>
    </row>
    <row r="49" spans="1:7">
      <c r="A49" t="s">
        <v>1335</v>
      </c>
      <c r="B49" t="s">
        <v>1336</v>
      </c>
      <c r="C49">
        <v>400</v>
      </c>
      <c r="D49">
        <v>24</v>
      </c>
      <c r="E49">
        <v>9.6</v>
      </c>
      <c r="F49" t="s">
        <v>351</v>
      </c>
      <c r="G49">
        <v>112.5</v>
      </c>
    </row>
    <row r="50" spans="1:7">
      <c r="A50" t="s">
        <v>1317</v>
      </c>
      <c r="B50" t="s">
        <v>1318</v>
      </c>
      <c r="C50">
        <v>1000</v>
      </c>
      <c r="D50">
        <v>10</v>
      </c>
      <c r="E50">
        <v>10</v>
      </c>
      <c r="F50" t="s">
        <v>351</v>
      </c>
      <c r="G50">
        <v>166.66666666666666</v>
      </c>
    </row>
    <row r="51" spans="1:7">
      <c r="A51" t="s">
        <v>1325</v>
      </c>
      <c r="B51" t="s">
        <v>1326</v>
      </c>
      <c r="C51">
        <v>1800</v>
      </c>
      <c r="D51">
        <v>6</v>
      </c>
      <c r="E51">
        <v>10.8</v>
      </c>
      <c r="F51" t="s">
        <v>351</v>
      </c>
      <c r="G51" t="s">
        <v>1576</v>
      </c>
    </row>
    <row r="52" spans="1:7">
      <c r="A52" t="s">
        <v>1313</v>
      </c>
      <c r="B52" t="s">
        <v>1314</v>
      </c>
      <c r="C52">
        <v>620</v>
      </c>
      <c r="D52">
        <v>12</v>
      </c>
      <c r="E52">
        <v>7.44</v>
      </c>
      <c r="F52" t="s">
        <v>351</v>
      </c>
      <c r="G52">
        <v>145.83333333333334</v>
      </c>
    </row>
    <row r="53" spans="1:7">
      <c r="A53" t="s">
        <v>1311</v>
      </c>
      <c r="B53" t="s">
        <v>1312</v>
      </c>
      <c r="C53">
        <v>620</v>
      </c>
      <c r="D53">
        <v>12</v>
      </c>
      <c r="E53">
        <v>7.44</v>
      </c>
      <c r="F53" t="s">
        <v>351</v>
      </c>
      <c r="G53">
        <v>145.83333333333334</v>
      </c>
    </row>
    <row r="54" spans="1:7">
      <c r="A54" t="s">
        <v>1282</v>
      </c>
      <c r="B54" t="s">
        <v>1283</v>
      </c>
      <c r="C54">
        <v>400</v>
      </c>
      <c r="D54">
        <v>24</v>
      </c>
      <c r="E54">
        <v>9.6</v>
      </c>
      <c r="F54" t="s">
        <v>351</v>
      </c>
      <c r="G54">
        <v>112.5</v>
      </c>
    </row>
    <row r="55" spans="1:7">
      <c r="A55" t="s">
        <v>1284</v>
      </c>
      <c r="B55" t="s">
        <v>1285</v>
      </c>
      <c r="C55">
        <v>620</v>
      </c>
      <c r="D55">
        <v>12</v>
      </c>
      <c r="E55">
        <v>7.44</v>
      </c>
      <c r="F55" t="s">
        <v>351</v>
      </c>
      <c r="G55">
        <v>175</v>
      </c>
    </row>
    <row r="56" spans="1:7">
      <c r="A56" t="s">
        <v>1286</v>
      </c>
      <c r="B56" t="s">
        <v>1287</v>
      </c>
      <c r="C56">
        <v>1000</v>
      </c>
      <c r="D56">
        <v>10</v>
      </c>
      <c r="E56">
        <v>10</v>
      </c>
      <c r="F56" t="s">
        <v>351</v>
      </c>
      <c r="G56">
        <v>175</v>
      </c>
    </row>
    <row r="57" spans="1:7">
      <c r="A57" t="s">
        <v>1270</v>
      </c>
      <c r="B57" t="s">
        <v>1271</v>
      </c>
      <c r="C57">
        <v>200</v>
      </c>
      <c r="D57">
        <v>24</v>
      </c>
      <c r="E57">
        <v>4.8</v>
      </c>
      <c r="F57" t="s">
        <v>351</v>
      </c>
      <c r="G57">
        <v>112.5</v>
      </c>
    </row>
    <row r="58" spans="1:7">
      <c r="A58" t="s">
        <v>1272</v>
      </c>
      <c r="B58" t="s">
        <v>1273</v>
      </c>
      <c r="C58">
        <v>400</v>
      </c>
      <c r="D58">
        <v>24</v>
      </c>
      <c r="E58">
        <v>9.6</v>
      </c>
      <c r="F58" t="s">
        <v>351</v>
      </c>
      <c r="G58">
        <v>112.5</v>
      </c>
    </row>
    <row r="59" spans="1:7">
      <c r="A59" t="s">
        <v>1274</v>
      </c>
      <c r="B59" t="s">
        <v>1275</v>
      </c>
      <c r="C59">
        <v>620</v>
      </c>
      <c r="D59">
        <v>12</v>
      </c>
      <c r="E59">
        <v>7.44</v>
      </c>
      <c r="F59" t="s">
        <v>351</v>
      </c>
      <c r="G59">
        <v>175</v>
      </c>
    </row>
    <row r="60" spans="1:7">
      <c r="A60" t="s">
        <v>1276</v>
      </c>
      <c r="B60" t="s">
        <v>1277</v>
      </c>
      <c r="C60">
        <v>1000</v>
      </c>
      <c r="D60">
        <v>10</v>
      </c>
      <c r="E60">
        <v>10</v>
      </c>
      <c r="F60" t="s">
        <v>351</v>
      </c>
      <c r="G60">
        <v>175</v>
      </c>
    </row>
    <row r="61" spans="1:7">
      <c r="A61" t="s">
        <v>1300</v>
      </c>
      <c r="B61" t="s">
        <v>1301</v>
      </c>
      <c r="C61">
        <v>400</v>
      </c>
      <c r="D61">
        <v>24</v>
      </c>
      <c r="E61">
        <v>9.6</v>
      </c>
      <c r="F61" t="s">
        <v>351</v>
      </c>
      <c r="G61">
        <v>112.5</v>
      </c>
    </row>
    <row r="62" spans="1:7">
      <c r="A62" t="s">
        <v>1302</v>
      </c>
      <c r="B62" t="s">
        <v>1303</v>
      </c>
      <c r="C62">
        <v>1000</v>
      </c>
      <c r="D62">
        <v>10</v>
      </c>
      <c r="E62">
        <v>10</v>
      </c>
      <c r="F62" t="s">
        <v>351</v>
      </c>
      <c r="G62">
        <v>175</v>
      </c>
    </row>
    <row r="63" spans="1:7">
      <c r="A63" t="s">
        <v>1298</v>
      </c>
      <c r="B63" t="s">
        <v>1299</v>
      </c>
      <c r="C63">
        <v>400</v>
      </c>
      <c r="D63">
        <v>24</v>
      </c>
      <c r="E63">
        <v>9.6</v>
      </c>
      <c r="F63" t="s">
        <v>351</v>
      </c>
      <c r="G63">
        <v>112.5</v>
      </c>
    </row>
    <row r="64" spans="1:7">
      <c r="A64" t="s">
        <v>1296</v>
      </c>
      <c r="B64" t="s">
        <v>1297</v>
      </c>
      <c r="C64">
        <v>1000</v>
      </c>
      <c r="D64">
        <v>10</v>
      </c>
      <c r="E64">
        <v>10</v>
      </c>
      <c r="F64" t="s">
        <v>351</v>
      </c>
      <c r="G64">
        <v>175</v>
      </c>
    </row>
    <row r="65" spans="1:7">
      <c r="A65" t="s">
        <v>663</v>
      </c>
      <c r="B65" t="s">
        <v>664</v>
      </c>
      <c r="C65">
        <v>900</v>
      </c>
      <c r="D65">
        <v>10</v>
      </c>
      <c r="E65">
        <v>9</v>
      </c>
      <c r="F65" t="s">
        <v>351</v>
      </c>
      <c r="G65">
        <v>229.16666666666666</v>
      </c>
    </row>
    <row r="66" spans="1:7">
      <c r="A66" t="s">
        <v>666</v>
      </c>
      <c r="B66" t="s">
        <v>667</v>
      </c>
      <c r="C66">
        <v>900</v>
      </c>
      <c r="D66">
        <v>10</v>
      </c>
      <c r="E66">
        <v>9</v>
      </c>
      <c r="F66" t="s">
        <v>351</v>
      </c>
      <c r="G66">
        <v>229.16666666666666</v>
      </c>
    </row>
    <row r="67" spans="1:7">
      <c r="A67" t="s">
        <v>208</v>
      </c>
      <c r="B67" t="s">
        <v>209</v>
      </c>
      <c r="C67">
        <v>700</v>
      </c>
      <c r="D67">
        <v>10</v>
      </c>
      <c r="E67">
        <v>7</v>
      </c>
      <c r="F67" t="s">
        <v>351</v>
      </c>
      <c r="G67">
        <v>229.16666666666666</v>
      </c>
    </row>
    <row r="68" spans="1:7">
      <c r="A68" t="s">
        <v>624</v>
      </c>
      <c r="B68" t="s">
        <v>625</v>
      </c>
      <c r="C68">
        <v>150</v>
      </c>
      <c r="D68">
        <v>48</v>
      </c>
      <c r="E68">
        <v>7.2</v>
      </c>
      <c r="F68" t="s">
        <v>351</v>
      </c>
      <c r="G68">
        <v>91.666666666666671</v>
      </c>
    </row>
    <row r="69" spans="1:7">
      <c r="A69" t="s">
        <v>1388</v>
      </c>
      <c r="B69" t="s">
        <v>1389</v>
      </c>
      <c r="C69">
        <v>400</v>
      </c>
      <c r="D69">
        <v>24</v>
      </c>
      <c r="E69">
        <v>9.6</v>
      </c>
      <c r="F69" t="s">
        <v>351</v>
      </c>
      <c r="G69">
        <v>112.5</v>
      </c>
    </row>
    <row r="70" spans="1:7">
      <c r="A70" t="s">
        <v>1266</v>
      </c>
      <c r="B70" t="s">
        <v>1267</v>
      </c>
      <c r="C70">
        <v>400</v>
      </c>
      <c r="D70">
        <v>24</v>
      </c>
      <c r="E70">
        <v>9.6</v>
      </c>
      <c r="F70" t="s">
        <v>351</v>
      </c>
      <c r="G70">
        <v>112.5</v>
      </c>
    </row>
    <row r="71" spans="1:7">
      <c r="A71" t="s">
        <v>615</v>
      </c>
      <c r="B71" t="s">
        <v>616</v>
      </c>
      <c r="C71">
        <v>150</v>
      </c>
      <c r="D71">
        <v>48</v>
      </c>
      <c r="E71">
        <v>7.2</v>
      </c>
      <c r="F71" t="s">
        <v>351</v>
      </c>
      <c r="G71">
        <v>91.666666666666671</v>
      </c>
    </row>
    <row r="72" spans="1:7">
      <c r="A72" t="s">
        <v>203</v>
      </c>
      <c r="B72" t="s">
        <v>204</v>
      </c>
      <c r="C72">
        <v>700</v>
      </c>
      <c r="D72">
        <v>10</v>
      </c>
      <c r="E72">
        <v>7</v>
      </c>
      <c r="F72" t="s">
        <v>351</v>
      </c>
      <c r="G72">
        <v>229.16666666666666</v>
      </c>
    </row>
    <row r="73" spans="1:7">
      <c r="A73" t="s">
        <v>1245</v>
      </c>
      <c r="B73" t="s">
        <v>1246</v>
      </c>
      <c r="C73">
        <v>400</v>
      </c>
      <c r="D73">
        <v>24</v>
      </c>
      <c r="E73">
        <v>9.6</v>
      </c>
      <c r="F73" t="s">
        <v>351</v>
      </c>
      <c r="G73">
        <v>112.5</v>
      </c>
    </row>
    <row r="74" spans="1:7">
      <c r="A74" t="s">
        <v>1243</v>
      </c>
      <c r="B74" t="s">
        <v>1244</v>
      </c>
      <c r="C74">
        <v>620</v>
      </c>
      <c r="D74">
        <v>12</v>
      </c>
      <c r="E74">
        <v>7.44</v>
      </c>
      <c r="F74" t="s">
        <v>351</v>
      </c>
      <c r="G74">
        <v>175</v>
      </c>
    </row>
    <row r="75" spans="1:7">
      <c r="A75" t="s">
        <v>1241</v>
      </c>
      <c r="B75" t="s">
        <v>1242</v>
      </c>
      <c r="C75">
        <v>1000</v>
      </c>
      <c r="D75">
        <v>10</v>
      </c>
      <c r="E75">
        <v>10</v>
      </c>
      <c r="F75" t="s">
        <v>351</v>
      </c>
      <c r="G75">
        <v>175</v>
      </c>
    </row>
    <row r="76" spans="1:7">
      <c r="A76" t="s">
        <v>1255</v>
      </c>
      <c r="B76" t="s">
        <v>1256</v>
      </c>
      <c r="C76">
        <v>200</v>
      </c>
      <c r="D76">
        <v>24</v>
      </c>
      <c r="E76">
        <v>4.8</v>
      </c>
      <c r="F76" t="s">
        <v>351</v>
      </c>
      <c r="G76">
        <v>112.5</v>
      </c>
    </row>
    <row r="77" spans="1:7">
      <c r="A77" t="s">
        <v>1258</v>
      </c>
      <c r="B77" t="s">
        <v>1259</v>
      </c>
      <c r="C77">
        <v>400</v>
      </c>
      <c r="D77">
        <v>24</v>
      </c>
      <c r="E77">
        <v>9.6</v>
      </c>
      <c r="F77" t="s">
        <v>351</v>
      </c>
      <c r="G77">
        <v>112.5</v>
      </c>
    </row>
    <row r="78" spans="1:7">
      <c r="A78" t="s">
        <v>1253</v>
      </c>
      <c r="B78" t="s">
        <v>1254</v>
      </c>
      <c r="C78">
        <v>620</v>
      </c>
      <c r="D78">
        <v>12</v>
      </c>
      <c r="E78">
        <v>7.44</v>
      </c>
      <c r="F78" t="s">
        <v>351</v>
      </c>
      <c r="G78">
        <v>175</v>
      </c>
    </row>
    <row r="79" spans="1:7">
      <c r="A79" t="s">
        <v>1251</v>
      </c>
      <c r="B79" t="s">
        <v>1252</v>
      </c>
      <c r="C79">
        <v>1000</v>
      </c>
      <c r="D79">
        <v>10</v>
      </c>
      <c r="E79">
        <v>10</v>
      </c>
      <c r="F79" t="s">
        <v>351</v>
      </c>
      <c r="G79">
        <v>175</v>
      </c>
    </row>
    <row r="80" spans="1:7">
      <c r="A80" t="s">
        <v>1227</v>
      </c>
      <c r="B80" t="s">
        <v>1228</v>
      </c>
      <c r="C80">
        <v>400</v>
      </c>
      <c r="D80">
        <v>24</v>
      </c>
      <c r="E80">
        <v>9.6</v>
      </c>
      <c r="F80" t="s">
        <v>351</v>
      </c>
      <c r="G80">
        <v>112.5</v>
      </c>
    </row>
    <row r="81" spans="1:7">
      <c r="A81" t="s">
        <v>1225</v>
      </c>
      <c r="B81" t="s">
        <v>1226</v>
      </c>
      <c r="C81">
        <v>1000</v>
      </c>
      <c r="D81">
        <v>10</v>
      </c>
      <c r="E81">
        <v>10</v>
      </c>
      <c r="F81" t="s">
        <v>351</v>
      </c>
      <c r="G81">
        <v>175</v>
      </c>
    </row>
    <row r="82" spans="1:7">
      <c r="A82" t="s">
        <v>1235</v>
      </c>
      <c r="B82" t="s">
        <v>1236</v>
      </c>
      <c r="C82">
        <v>400</v>
      </c>
      <c r="D82">
        <v>24</v>
      </c>
      <c r="E82">
        <v>9.6</v>
      </c>
      <c r="F82" t="s">
        <v>351</v>
      </c>
      <c r="G82">
        <v>112.5</v>
      </c>
    </row>
    <row r="83" spans="1:7">
      <c r="A83" t="s">
        <v>1233</v>
      </c>
      <c r="B83" t="s">
        <v>1234</v>
      </c>
      <c r="C83">
        <v>1000</v>
      </c>
      <c r="D83">
        <v>10</v>
      </c>
      <c r="E83">
        <v>10</v>
      </c>
      <c r="F83" t="s">
        <v>351</v>
      </c>
      <c r="G83">
        <v>175</v>
      </c>
    </row>
    <row r="84" spans="1:7">
      <c r="A84" t="s">
        <v>709</v>
      </c>
      <c r="B84" t="s">
        <v>710</v>
      </c>
      <c r="C84">
        <v>360</v>
      </c>
      <c r="D84">
        <v>24</v>
      </c>
      <c r="E84">
        <v>8.64</v>
      </c>
      <c r="F84" t="s">
        <v>351</v>
      </c>
      <c r="G84">
        <v>112.5</v>
      </c>
    </row>
    <row r="85" spans="1:7">
      <c r="A85" t="s">
        <v>713</v>
      </c>
      <c r="B85" t="s">
        <v>714</v>
      </c>
      <c r="C85">
        <v>700</v>
      </c>
      <c r="D85">
        <v>10</v>
      </c>
      <c r="E85">
        <v>7</v>
      </c>
      <c r="F85" t="s">
        <v>351</v>
      </c>
      <c r="G85">
        <v>229.16666666666666</v>
      </c>
    </row>
    <row r="86" spans="1:7">
      <c r="A86" t="s">
        <v>711</v>
      </c>
      <c r="B86" t="s">
        <v>712</v>
      </c>
      <c r="C86">
        <v>700</v>
      </c>
      <c r="D86">
        <v>10</v>
      </c>
      <c r="E86">
        <v>7</v>
      </c>
      <c r="F86" t="s">
        <v>351</v>
      </c>
      <c r="G86">
        <v>229.16666666666666</v>
      </c>
    </row>
    <row r="87" spans="1:7">
      <c r="A87" t="s">
        <v>689</v>
      </c>
      <c r="B87" t="s">
        <v>690</v>
      </c>
      <c r="C87">
        <v>400</v>
      </c>
      <c r="D87">
        <v>30</v>
      </c>
      <c r="E87">
        <v>12</v>
      </c>
      <c r="F87" t="s">
        <v>351</v>
      </c>
      <c r="G87">
        <v>100</v>
      </c>
    </row>
    <row r="88" spans="1:7">
      <c r="A88" t="s">
        <v>692</v>
      </c>
      <c r="B88" t="s">
        <v>693</v>
      </c>
      <c r="C88">
        <v>400</v>
      </c>
      <c r="D88">
        <v>30</v>
      </c>
      <c r="E88">
        <v>12</v>
      </c>
      <c r="F88" t="s">
        <v>351</v>
      </c>
      <c r="G88">
        <v>100</v>
      </c>
    </row>
    <row r="89" spans="1:7">
      <c r="A89" t="s">
        <v>694</v>
      </c>
      <c r="B89" t="s">
        <v>695</v>
      </c>
      <c r="C89">
        <v>400</v>
      </c>
      <c r="D89">
        <v>30</v>
      </c>
      <c r="E89">
        <v>12</v>
      </c>
      <c r="F89" t="s">
        <v>351</v>
      </c>
      <c r="G89">
        <v>100</v>
      </c>
    </row>
    <row r="90" spans="1:7">
      <c r="A90" t="s">
        <v>1208</v>
      </c>
      <c r="B90" t="s">
        <v>1209</v>
      </c>
      <c r="C90">
        <v>800</v>
      </c>
      <c r="D90">
        <v>10</v>
      </c>
      <c r="E90">
        <v>8</v>
      </c>
      <c r="F90" t="s">
        <v>351</v>
      </c>
      <c r="G90">
        <v>229.16666666666666</v>
      </c>
    </row>
    <row r="91" spans="1:7">
      <c r="A91" t="s">
        <v>899</v>
      </c>
      <c r="B91" t="s">
        <v>1577</v>
      </c>
      <c r="C91">
        <v>900</v>
      </c>
      <c r="D91">
        <v>10</v>
      </c>
      <c r="E91">
        <v>9</v>
      </c>
      <c r="F91" t="s">
        <v>351</v>
      </c>
      <c r="G91">
        <v>229.16666666666666</v>
      </c>
    </row>
    <row r="92" spans="1:7">
      <c r="A92" t="s">
        <v>893</v>
      </c>
      <c r="B92" t="s">
        <v>1578</v>
      </c>
      <c r="C92">
        <v>900</v>
      </c>
      <c r="D92">
        <v>10</v>
      </c>
      <c r="E92">
        <v>9</v>
      </c>
      <c r="F92" t="s">
        <v>351</v>
      </c>
      <c r="G92">
        <v>229.16666666666666</v>
      </c>
    </row>
    <row r="93" spans="1:7">
      <c r="A93" t="s">
        <v>749</v>
      </c>
      <c r="B93" t="s">
        <v>1579</v>
      </c>
      <c r="C93">
        <v>350</v>
      </c>
      <c r="D93">
        <v>24</v>
      </c>
      <c r="E93">
        <v>8.4</v>
      </c>
      <c r="F93" t="s">
        <v>351</v>
      </c>
      <c r="G93">
        <v>112.5</v>
      </c>
    </row>
    <row r="94" spans="1:7">
      <c r="A94" t="s">
        <v>751</v>
      </c>
      <c r="B94" t="s">
        <v>1580</v>
      </c>
      <c r="C94">
        <v>600</v>
      </c>
      <c r="D94">
        <v>12</v>
      </c>
      <c r="E94">
        <v>7.2</v>
      </c>
      <c r="F94" t="s">
        <v>351</v>
      </c>
      <c r="G94">
        <v>175</v>
      </c>
    </row>
    <row r="95" spans="1:7">
      <c r="A95" t="s">
        <v>753</v>
      </c>
      <c r="B95" t="s">
        <v>1581</v>
      </c>
      <c r="C95">
        <v>1000</v>
      </c>
      <c r="D95">
        <v>10</v>
      </c>
      <c r="E95">
        <v>10</v>
      </c>
      <c r="F95" t="s">
        <v>351</v>
      </c>
      <c r="G95">
        <v>175</v>
      </c>
    </row>
    <row r="96" spans="1:7">
      <c r="A96" t="s">
        <v>737</v>
      </c>
      <c r="B96" t="s">
        <v>1582</v>
      </c>
      <c r="C96">
        <v>175</v>
      </c>
      <c r="D96">
        <v>24</v>
      </c>
      <c r="E96">
        <v>4.2</v>
      </c>
      <c r="F96" t="s">
        <v>351</v>
      </c>
      <c r="G96">
        <v>112.5</v>
      </c>
    </row>
    <row r="97" spans="1:7">
      <c r="A97" t="s">
        <v>739</v>
      </c>
      <c r="B97" t="s">
        <v>1583</v>
      </c>
      <c r="C97">
        <v>350</v>
      </c>
      <c r="D97">
        <v>24</v>
      </c>
      <c r="E97">
        <v>8.4</v>
      </c>
      <c r="F97" t="s">
        <v>351</v>
      </c>
      <c r="G97">
        <v>112.5</v>
      </c>
    </row>
    <row r="98" spans="1:7">
      <c r="A98" t="s">
        <v>745</v>
      </c>
      <c r="B98" t="s">
        <v>1584</v>
      </c>
      <c r="C98">
        <v>600</v>
      </c>
      <c r="D98">
        <v>12</v>
      </c>
      <c r="E98">
        <v>7.2</v>
      </c>
      <c r="F98" t="s">
        <v>351</v>
      </c>
      <c r="G98">
        <v>175</v>
      </c>
    </row>
    <row r="99" spans="1:7">
      <c r="A99" t="s">
        <v>741</v>
      </c>
      <c r="B99" t="s">
        <v>1585</v>
      </c>
      <c r="C99">
        <v>1000</v>
      </c>
      <c r="D99">
        <v>10</v>
      </c>
      <c r="E99">
        <v>10</v>
      </c>
      <c r="F99" t="s">
        <v>351</v>
      </c>
      <c r="G99">
        <v>175</v>
      </c>
    </row>
    <row r="100" spans="1:7">
      <c r="A100" t="s">
        <v>767</v>
      </c>
      <c r="B100" t="s">
        <v>1586</v>
      </c>
      <c r="C100">
        <v>350</v>
      </c>
      <c r="D100">
        <v>24</v>
      </c>
      <c r="E100">
        <v>8.4</v>
      </c>
      <c r="F100" t="s">
        <v>351</v>
      </c>
      <c r="G100">
        <v>112.5</v>
      </c>
    </row>
    <row r="101" spans="1:7">
      <c r="A101" t="s">
        <v>769</v>
      </c>
      <c r="B101" t="s">
        <v>1587</v>
      </c>
      <c r="C101">
        <v>1000</v>
      </c>
      <c r="D101">
        <v>10</v>
      </c>
      <c r="E101">
        <v>10</v>
      </c>
      <c r="F101" t="s">
        <v>351</v>
      </c>
      <c r="G101">
        <v>175</v>
      </c>
    </row>
    <row r="102" spans="1:7">
      <c r="A102" t="s">
        <v>759</v>
      </c>
      <c r="B102" t="s">
        <v>1588</v>
      </c>
      <c r="C102">
        <v>350</v>
      </c>
      <c r="D102">
        <v>24</v>
      </c>
      <c r="E102">
        <v>8.4</v>
      </c>
      <c r="F102" t="s">
        <v>351</v>
      </c>
      <c r="G102">
        <v>112.5</v>
      </c>
    </row>
    <row r="103" spans="1:7">
      <c r="A103" t="s">
        <v>761</v>
      </c>
      <c r="B103" t="s">
        <v>1589</v>
      </c>
      <c r="C103">
        <v>1000</v>
      </c>
      <c r="D103">
        <v>10</v>
      </c>
      <c r="E103">
        <v>10</v>
      </c>
      <c r="F103" t="s">
        <v>351</v>
      </c>
      <c r="G103">
        <v>175</v>
      </c>
    </row>
    <row r="104" spans="1:7">
      <c r="A104" t="s">
        <v>1590</v>
      </c>
      <c r="B104" t="s">
        <v>1591</v>
      </c>
      <c r="C104">
        <v>800</v>
      </c>
      <c r="D104">
        <v>10</v>
      </c>
      <c r="E104">
        <v>8</v>
      </c>
      <c r="F104" t="s">
        <v>351</v>
      </c>
      <c r="G104">
        <v>187.5</v>
      </c>
    </row>
    <row r="105" spans="1:7">
      <c r="A105" t="s">
        <v>825</v>
      </c>
      <c r="B105" t="s">
        <v>826</v>
      </c>
      <c r="C105">
        <v>3000</v>
      </c>
      <c r="D105">
        <v>4</v>
      </c>
      <c r="E105">
        <v>12</v>
      </c>
      <c r="F105" t="s">
        <v>351</v>
      </c>
      <c r="G105">
        <v>116.66666666666667</v>
      </c>
    </row>
    <row r="106" spans="1:7">
      <c r="A106" t="s">
        <v>827</v>
      </c>
      <c r="B106" t="s">
        <v>828</v>
      </c>
      <c r="C106">
        <v>3000</v>
      </c>
      <c r="D106">
        <v>4</v>
      </c>
      <c r="E106">
        <v>12</v>
      </c>
      <c r="F106" t="s">
        <v>351</v>
      </c>
      <c r="G106">
        <v>116.66666666666667</v>
      </c>
    </row>
    <row r="107" spans="1:7">
      <c r="A107" t="s">
        <v>829</v>
      </c>
      <c r="B107" t="s">
        <v>830</v>
      </c>
      <c r="C107">
        <v>3000</v>
      </c>
      <c r="D107">
        <v>4</v>
      </c>
      <c r="E107">
        <v>12</v>
      </c>
      <c r="F107" t="s">
        <v>351</v>
      </c>
      <c r="G107">
        <v>116.66666666666667</v>
      </c>
    </row>
    <row r="108" spans="1:7">
      <c r="A108" t="s">
        <v>831</v>
      </c>
      <c r="B108" t="s">
        <v>832</v>
      </c>
      <c r="C108">
        <v>3000</v>
      </c>
      <c r="D108">
        <v>4</v>
      </c>
      <c r="E108">
        <v>12</v>
      </c>
      <c r="F108" t="s">
        <v>351</v>
      </c>
      <c r="G108">
        <v>116.66666666666667</v>
      </c>
    </row>
    <row r="109" spans="1:7">
      <c r="A109" t="s">
        <v>757</v>
      </c>
      <c r="B109" t="s">
        <v>1592</v>
      </c>
      <c r="C109">
        <v>3000</v>
      </c>
      <c r="D109">
        <v>4</v>
      </c>
      <c r="E109">
        <v>12</v>
      </c>
      <c r="F109" t="s">
        <v>351</v>
      </c>
      <c r="G109">
        <v>116.66666666666667</v>
      </c>
    </row>
    <row r="110" spans="1:7">
      <c r="A110" t="s">
        <v>747</v>
      </c>
      <c r="B110" t="s">
        <v>1593</v>
      </c>
      <c r="C110">
        <v>3000</v>
      </c>
      <c r="D110">
        <v>4</v>
      </c>
      <c r="E110">
        <v>12</v>
      </c>
      <c r="F110" t="s">
        <v>351</v>
      </c>
      <c r="G110">
        <v>116.66666666666667</v>
      </c>
    </row>
    <row r="111" spans="1:7">
      <c r="A111" t="s">
        <v>773</v>
      </c>
      <c r="B111" t="s">
        <v>1594</v>
      </c>
      <c r="C111">
        <v>3000</v>
      </c>
      <c r="D111">
        <v>4</v>
      </c>
      <c r="E111">
        <v>12</v>
      </c>
      <c r="F111" t="s">
        <v>351</v>
      </c>
      <c r="G111">
        <v>116.66666666666667</v>
      </c>
    </row>
    <row r="112" spans="1:7">
      <c r="A112" t="s">
        <v>765</v>
      </c>
      <c r="B112" t="s">
        <v>1595</v>
      </c>
      <c r="C112">
        <v>3000</v>
      </c>
      <c r="D112">
        <v>4</v>
      </c>
      <c r="E112">
        <v>12</v>
      </c>
      <c r="F112" t="s">
        <v>351</v>
      </c>
      <c r="G112">
        <v>116.66666666666667</v>
      </c>
    </row>
    <row r="113" spans="1:7">
      <c r="A113" t="s">
        <v>1198</v>
      </c>
      <c r="B113" t="s">
        <v>948</v>
      </c>
      <c r="C113">
        <v>800</v>
      </c>
      <c r="D113">
        <v>10</v>
      </c>
      <c r="E113">
        <v>8</v>
      </c>
      <c r="F113" t="s">
        <v>351</v>
      </c>
      <c r="G113">
        <v>229.16666666666666</v>
      </c>
    </row>
    <row r="114" spans="1:7">
      <c r="A114" t="s">
        <v>1199</v>
      </c>
      <c r="B114" t="s">
        <v>946</v>
      </c>
      <c r="C114">
        <v>400</v>
      </c>
      <c r="D114">
        <v>24</v>
      </c>
      <c r="E114">
        <v>9.6</v>
      </c>
      <c r="F114" t="s">
        <v>351</v>
      </c>
      <c r="G114">
        <v>112.5</v>
      </c>
    </row>
    <row r="115" spans="1:7">
      <c r="A115" t="s">
        <v>630</v>
      </c>
      <c r="B115" t="s">
        <v>631</v>
      </c>
      <c r="C115">
        <v>150</v>
      </c>
      <c r="D115">
        <v>48</v>
      </c>
      <c r="E115">
        <v>7.2</v>
      </c>
      <c r="F115" t="s">
        <v>351</v>
      </c>
      <c r="G115">
        <v>91.666666666666671</v>
      </c>
    </row>
    <row r="116" spans="1:7">
      <c r="A116" t="s">
        <v>1417</v>
      </c>
      <c r="B116" t="s">
        <v>1418</v>
      </c>
      <c r="C116">
        <v>120</v>
      </c>
      <c r="D116">
        <v>48</v>
      </c>
      <c r="E116">
        <v>5.76</v>
      </c>
      <c r="F116" t="s">
        <v>377</v>
      </c>
      <c r="G116">
        <v>0</v>
      </c>
    </row>
    <row r="117" spans="1:7">
      <c r="A117" t="s">
        <v>1415</v>
      </c>
      <c r="B117" t="s">
        <v>1416</v>
      </c>
      <c r="C117">
        <v>150</v>
      </c>
      <c r="D117">
        <v>48</v>
      </c>
      <c r="E117">
        <v>7.2</v>
      </c>
      <c r="F117" t="s">
        <v>377</v>
      </c>
      <c r="G117">
        <v>108.3</v>
      </c>
    </row>
    <row r="118" spans="1:7">
      <c r="A118" t="s">
        <v>1441</v>
      </c>
      <c r="B118" t="s">
        <v>1442</v>
      </c>
      <c r="C118">
        <v>400</v>
      </c>
      <c r="D118">
        <v>21</v>
      </c>
      <c r="E118">
        <v>8.4</v>
      </c>
      <c r="F118" t="s">
        <v>377</v>
      </c>
      <c r="G118">
        <v>0</v>
      </c>
    </row>
    <row r="119" spans="1:7">
      <c r="A119" t="s">
        <v>1425</v>
      </c>
      <c r="B119" t="s">
        <v>1426</v>
      </c>
      <c r="C119">
        <v>600</v>
      </c>
      <c r="D119">
        <v>12</v>
      </c>
      <c r="E119">
        <v>7.2</v>
      </c>
      <c r="F119" t="s">
        <v>377</v>
      </c>
      <c r="G119">
        <v>0</v>
      </c>
    </row>
    <row r="120" spans="1:7">
      <c r="A120" t="s">
        <v>1443</v>
      </c>
      <c r="B120" t="s">
        <v>1444</v>
      </c>
      <c r="C120">
        <v>1000</v>
      </c>
      <c r="D120">
        <v>10</v>
      </c>
      <c r="E120">
        <v>10</v>
      </c>
      <c r="F120" t="s">
        <v>377</v>
      </c>
      <c r="G120">
        <v>229</v>
      </c>
    </row>
    <row r="121" spans="1:7">
      <c r="A121" t="s">
        <v>1409</v>
      </c>
      <c r="B121" t="s">
        <v>1410</v>
      </c>
      <c r="C121">
        <v>150</v>
      </c>
      <c r="D121">
        <v>48</v>
      </c>
      <c r="E121">
        <v>7.2</v>
      </c>
      <c r="F121" t="s">
        <v>377</v>
      </c>
      <c r="G121">
        <v>116.7</v>
      </c>
    </row>
    <row r="122" spans="1:7">
      <c r="A122" t="s">
        <v>1445</v>
      </c>
      <c r="B122" t="s">
        <v>1446</v>
      </c>
      <c r="C122">
        <v>400</v>
      </c>
      <c r="D122">
        <v>21</v>
      </c>
      <c r="E122">
        <v>8.4</v>
      </c>
      <c r="F122" t="s">
        <v>377</v>
      </c>
      <c r="G122">
        <v>0</v>
      </c>
    </row>
    <row r="123" spans="1:7">
      <c r="A123" t="s">
        <v>1423</v>
      </c>
      <c r="B123" t="s">
        <v>1424</v>
      </c>
      <c r="C123">
        <v>600</v>
      </c>
      <c r="D123">
        <v>12</v>
      </c>
      <c r="E123">
        <v>7.2</v>
      </c>
      <c r="F123" t="s">
        <v>377</v>
      </c>
      <c r="G123">
        <v>0</v>
      </c>
    </row>
    <row r="124" spans="1:7">
      <c r="A124" t="s">
        <v>1439</v>
      </c>
      <c r="B124" t="s">
        <v>1440</v>
      </c>
      <c r="C124">
        <v>900</v>
      </c>
      <c r="D124">
        <v>10</v>
      </c>
      <c r="E124">
        <v>9</v>
      </c>
      <c r="F124" t="s">
        <v>377</v>
      </c>
      <c r="G124">
        <v>229</v>
      </c>
    </row>
    <row r="125" spans="1:7">
      <c r="A125" t="s">
        <v>1398</v>
      </c>
      <c r="B125" t="s">
        <v>1399</v>
      </c>
      <c r="C125">
        <v>1000</v>
      </c>
      <c r="D125">
        <v>10</v>
      </c>
      <c r="E125">
        <v>10</v>
      </c>
      <c r="F125" t="s">
        <v>377</v>
      </c>
      <c r="G125">
        <v>229</v>
      </c>
    </row>
    <row r="126" spans="1:7">
      <c r="A126" t="s">
        <v>1406</v>
      </c>
      <c r="B126" t="s">
        <v>1407</v>
      </c>
      <c r="C126">
        <v>150</v>
      </c>
      <c r="D126">
        <v>48</v>
      </c>
      <c r="E126">
        <v>7.2</v>
      </c>
      <c r="F126" t="s">
        <v>377</v>
      </c>
      <c r="G126">
        <v>116.7</v>
      </c>
    </row>
    <row r="127" spans="1:7">
      <c r="A127" t="s">
        <v>1457</v>
      </c>
      <c r="B127" t="s">
        <v>1458</v>
      </c>
      <c r="C127">
        <v>400</v>
      </c>
      <c r="D127">
        <v>21</v>
      </c>
      <c r="E127">
        <v>8.4</v>
      </c>
      <c r="F127" t="s">
        <v>377</v>
      </c>
      <c r="G127">
        <v>0</v>
      </c>
    </row>
    <row r="128" spans="1:7">
      <c r="A128" t="s">
        <v>1421</v>
      </c>
      <c r="B128" t="s">
        <v>1422</v>
      </c>
      <c r="C128">
        <v>600</v>
      </c>
      <c r="D128">
        <v>12</v>
      </c>
      <c r="E128">
        <v>7.2</v>
      </c>
      <c r="F128" t="s">
        <v>377</v>
      </c>
      <c r="G128">
        <v>0</v>
      </c>
    </row>
    <row r="129" spans="1:7">
      <c r="A129" t="s">
        <v>1437</v>
      </c>
      <c r="B129" t="s">
        <v>1438</v>
      </c>
      <c r="C129">
        <v>900</v>
      </c>
      <c r="D129">
        <v>10</v>
      </c>
      <c r="E129">
        <v>9</v>
      </c>
      <c r="F129" t="s">
        <v>377</v>
      </c>
      <c r="G129">
        <v>229</v>
      </c>
    </row>
    <row r="130" spans="1:7">
      <c r="A130" t="s">
        <v>1396</v>
      </c>
      <c r="B130" t="s">
        <v>1397</v>
      </c>
      <c r="C130">
        <v>1000</v>
      </c>
      <c r="D130">
        <v>10</v>
      </c>
      <c r="E130">
        <v>10</v>
      </c>
      <c r="F130" t="s">
        <v>377</v>
      </c>
      <c r="G130">
        <v>229</v>
      </c>
    </row>
    <row r="131" spans="1:7">
      <c r="A131" t="s">
        <v>1413</v>
      </c>
      <c r="B131" t="s">
        <v>1414</v>
      </c>
      <c r="C131">
        <v>150</v>
      </c>
      <c r="D131">
        <v>48</v>
      </c>
      <c r="E131">
        <v>7.2</v>
      </c>
      <c r="F131" t="s">
        <v>377</v>
      </c>
      <c r="G131">
        <v>116.7</v>
      </c>
    </row>
    <row r="132" spans="1:7">
      <c r="A132" t="s">
        <v>1453</v>
      </c>
      <c r="B132" t="s">
        <v>1454</v>
      </c>
      <c r="C132">
        <v>400</v>
      </c>
      <c r="D132">
        <v>21</v>
      </c>
      <c r="E132">
        <v>8.4</v>
      </c>
      <c r="F132" t="s">
        <v>377</v>
      </c>
      <c r="G132">
        <v>0</v>
      </c>
    </row>
    <row r="133" spans="1:7">
      <c r="A133" t="s">
        <v>1404</v>
      </c>
      <c r="B133" t="s">
        <v>1405</v>
      </c>
      <c r="C133">
        <v>600</v>
      </c>
      <c r="D133">
        <v>12</v>
      </c>
      <c r="E133">
        <v>7.2</v>
      </c>
      <c r="F133" t="s">
        <v>377</v>
      </c>
      <c r="G133">
        <v>0</v>
      </c>
    </row>
    <row r="134" spans="1:7">
      <c r="A134" t="s">
        <v>1433</v>
      </c>
      <c r="B134" t="s">
        <v>1434</v>
      </c>
      <c r="C134">
        <v>900</v>
      </c>
      <c r="D134">
        <v>10</v>
      </c>
      <c r="E134">
        <v>9</v>
      </c>
      <c r="F134" t="s">
        <v>377</v>
      </c>
      <c r="G134">
        <v>229</v>
      </c>
    </row>
    <row r="135" spans="1:7">
      <c r="A135" t="s">
        <v>1394</v>
      </c>
      <c r="B135" t="s">
        <v>1395</v>
      </c>
      <c r="C135">
        <v>1000</v>
      </c>
      <c r="D135">
        <v>10</v>
      </c>
      <c r="E135">
        <v>10</v>
      </c>
      <c r="F135" t="s">
        <v>377</v>
      </c>
      <c r="G135">
        <v>229</v>
      </c>
    </row>
    <row r="136" spans="1:7">
      <c r="A136" t="s">
        <v>1451</v>
      </c>
      <c r="B136" t="s">
        <v>1452</v>
      </c>
      <c r="C136">
        <v>400</v>
      </c>
      <c r="D136">
        <v>21</v>
      </c>
      <c r="E136">
        <v>8.4</v>
      </c>
      <c r="F136" t="s">
        <v>377</v>
      </c>
      <c r="G136">
        <v>0</v>
      </c>
    </row>
    <row r="137" spans="1:7">
      <c r="A137" t="s">
        <v>1419</v>
      </c>
      <c r="B137" t="s">
        <v>1420</v>
      </c>
      <c r="C137">
        <v>600</v>
      </c>
      <c r="D137">
        <v>12</v>
      </c>
      <c r="E137">
        <v>7.2</v>
      </c>
      <c r="F137" t="s">
        <v>377</v>
      </c>
      <c r="G137">
        <v>1</v>
      </c>
    </row>
    <row r="138" spans="1:7">
      <c r="A138" t="s">
        <v>1427</v>
      </c>
      <c r="B138" t="s">
        <v>1428</v>
      </c>
      <c r="C138">
        <v>900</v>
      </c>
      <c r="D138">
        <v>10</v>
      </c>
      <c r="E138">
        <v>9</v>
      </c>
      <c r="F138" t="s">
        <v>377</v>
      </c>
      <c r="G138">
        <v>229</v>
      </c>
    </row>
    <row r="139" spans="1:7">
      <c r="A139" t="s">
        <v>1392</v>
      </c>
      <c r="B139" t="s">
        <v>1393</v>
      </c>
      <c r="C139">
        <v>1000</v>
      </c>
      <c r="D139">
        <v>10</v>
      </c>
      <c r="E139">
        <v>10</v>
      </c>
      <c r="F139" t="s">
        <v>377</v>
      </c>
      <c r="G139">
        <v>229</v>
      </c>
    </row>
    <row r="140" spans="1:7">
      <c r="A140" t="s">
        <v>615</v>
      </c>
      <c r="B140" t="s">
        <v>616</v>
      </c>
      <c r="C140">
        <v>150</v>
      </c>
      <c r="D140">
        <v>48</v>
      </c>
      <c r="E140">
        <v>7.2</v>
      </c>
      <c r="F140" t="s">
        <v>377</v>
      </c>
      <c r="G140">
        <v>116.66666666666667</v>
      </c>
    </row>
    <row r="141" spans="1:7">
      <c r="A141" t="s">
        <v>624</v>
      </c>
      <c r="B141" t="s">
        <v>625</v>
      </c>
      <c r="C141">
        <v>150</v>
      </c>
      <c r="D141">
        <v>48</v>
      </c>
      <c r="E141">
        <v>7.2</v>
      </c>
      <c r="F141" t="s">
        <v>377</v>
      </c>
      <c r="G141">
        <v>116.66666666666667</v>
      </c>
    </row>
    <row r="142" spans="1:7">
      <c r="A142" t="s">
        <v>630</v>
      </c>
      <c r="B142" t="s">
        <v>631</v>
      </c>
      <c r="C142">
        <v>150</v>
      </c>
      <c r="D142">
        <v>48</v>
      </c>
      <c r="E142">
        <v>7.2</v>
      </c>
      <c r="F142" t="s">
        <v>377</v>
      </c>
      <c r="G142">
        <v>116.66666666666667</v>
      </c>
    </row>
    <row r="143" spans="1:7">
      <c r="A143" t="s">
        <v>1411</v>
      </c>
      <c r="B143" t="s">
        <v>1412</v>
      </c>
      <c r="C143">
        <v>150</v>
      </c>
      <c r="D143">
        <v>48</v>
      </c>
      <c r="E143">
        <v>7.2</v>
      </c>
      <c r="F143" t="s">
        <v>377</v>
      </c>
      <c r="G143">
        <v>116.66666666666667</v>
      </c>
    </row>
    <row r="144" spans="1:7">
      <c r="A144" t="s">
        <v>375</v>
      </c>
      <c r="B144" t="s">
        <v>376</v>
      </c>
      <c r="C144">
        <v>150</v>
      </c>
      <c r="D144">
        <v>48</v>
      </c>
      <c r="E144">
        <v>7.2</v>
      </c>
      <c r="F144" t="s">
        <v>377</v>
      </c>
      <c r="G144">
        <v>116.66666666666667</v>
      </c>
    </row>
    <row r="145" spans="1:7">
      <c r="A145" t="s">
        <v>663</v>
      </c>
      <c r="B145" t="s">
        <v>664</v>
      </c>
      <c r="C145">
        <v>900</v>
      </c>
      <c r="D145">
        <v>10</v>
      </c>
      <c r="E145">
        <v>9</v>
      </c>
      <c r="F145" t="s">
        <v>377</v>
      </c>
      <c r="G145">
        <v>229.16666666666666</v>
      </c>
    </row>
    <row r="146" spans="1:7">
      <c r="A146" t="s">
        <v>666</v>
      </c>
      <c r="B146" t="s">
        <v>667</v>
      </c>
      <c r="C146">
        <v>900</v>
      </c>
      <c r="D146">
        <v>10</v>
      </c>
      <c r="E146">
        <v>9</v>
      </c>
      <c r="F146" t="s">
        <v>377</v>
      </c>
      <c r="G146">
        <v>229.16666666666666</v>
      </c>
    </row>
    <row r="147" spans="1:7">
      <c r="A147" t="s">
        <v>668</v>
      </c>
      <c r="B147" t="s">
        <v>669</v>
      </c>
      <c r="C147">
        <v>900</v>
      </c>
      <c r="D147">
        <v>10</v>
      </c>
      <c r="E147">
        <v>9</v>
      </c>
      <c r="F147" t="s">
        <v>377</v>
      </c>
      <c r="G147">
        <v>229.16666666666666</v>
      </c>
    </row>
    <row r="148" spans="1:7">
      <c r="A148" t="s">
        <v>670</v>
      </c>
      <c r="B148" t="s">
        <v>671</v>
      </c>
      <c r="C148">
        <v>900</v>
      </c>
      <c r="D148">
        <v>10</v>
      </c>
      <c r="E148">
        <v>9</v>
      </c>
      <c r="F148" t="s">
        <v>377</v>
      </c>
      <c r="G148">
        <v>229.16666666666666</v>
      </c>
    </row>
    <row r="149" spans="1:7">
      <c r="A149" t="s">
        <v>845</v>
      </c>
      <c r="B149" t="s">
        <v>1596</v>
      </c>
      <c r="C149">
        <v>150</v>
      </c>
      <c r="D149">
        <v>48</v>
      </c>
      <c r="E149">
        <v>7.2</v>
      </c>
      <c r="F149" t="s">
        <v>377</v>
      </c>
      <c r="G149">
        <v>116.66666666666667</v>
      </c>
    </row>
    <row r="150" spans="1:7">
      <c r="A150" t="s">
        <v>905</v>
      </c>
      <c r="B150" t="s">
        <v>1597</v>
      </c>
      <c r="C150">
        <v>150</v>
      </c>
      <c r="D150">
        <v>48</v>
      </c>
      <c r="E150">
        <v>7.2</v>
      </c>
      <c r="F150" t="s">
        <v>377</v>
      </c>
      <c r="G150">
        <v>116.66666666666667</v>
      </c>
    </row>
    <row r="151" spans="1:7">
      <c r="A151" t="s">
        <v>879</v>
      </c>
      <c r="B151" t="s">
        <v>1598</v>
      </c>
      <c r="C151">
        <v>150</v>
      </c>
      <c r="D151">
        <v>48</v>
      </c>
      <c r="E151">
        <v>7.2</v>
      </c>
      <c r="F151" t="s">
        <v>377</v>
      </c>
      <c r="G151">
        <v>116.66666666666667</v>
      </c>
    </row>
    <row r="152" spans="1:7">
      <c r="A152" t="s">
        <v>1417</v>
      </c>
      <c r="B152" t="s">
        <v>1418</v>
      </c>
      <c r="C152">
        <v>120</v>
      </c>
      <c r="D152">
        <v>48</v>
      </c>
      <c r="E152">
        <v>5.76</v>
      </c>
      <c r="F152" t="s">
        <v>362</v>
      </c>
      <c r="G152">
        <v>0</v>
      </c>
    </row>
    <row r="153" spans="1:7">
      <c r="A153" t="s">
        <v>1415</v>
      </c>
      <c r="B153" t="s">
        <v>1416</v>
      </c>
      <c r="C153">
        <v>150</v>
      </c>
      <c r="D153">
        <v>48</v>
      </c>
      <c r="E153">
        <v>7.2</v>
      </c>
      <c r="F153" t="s">
        <v>362</v>
      </c>
      <c r="G153">
        <v>0</v>
      </c>
    </row>
    <row r="154" spans="1:7">
      <c r="A154" t="s">
        <v>1441</v>
      </c>
      <c r="B154" t="s">
        <v>1442</v>
      </c>
      <c r="C154">
        <v>400</v>
      </c>
      <c r="D154">
        <v>21</v>
      </c>
      <c r="E154">
        <v>8.4</v>
      </c>
      <c r="F154" t="s">
        <v>362</v>
      </c>
      <c r="G154">
        <v>200</v>
      </c>
    </row>
    <row r="155" spans="1:7">
      <c r="A155" t="s">
        <v>1425</v>
      </c>
      <c r="B155" t="s">
        <v>1426</v>
      </c>
      <c r="C155">
        <v>600</v>
      </c>
      <c r="D155">
        <v>12</v>
      </c>
      <c r="E155">
        <v>7.2</v>
      </c>
      <c r="F155" t="s">
        <v>362</v>
      </c>
      <c r="G155">
        <v>0</v>
      </c>
    </row>
    <row r="156" spans="1:7">
      <c r="A156" t="s">
        <v>1443</v>
      </c>
      <c r="B156" t="s">
        <v>1444</v>
      </c>
      <c r="C156">
        <v>1000</v>
      </c>
      <c r="D156">
        <v>10</v>
      </c>
      <c r="E156">
        <v>10</v>
      </c>
      <c r="F156" t="s">
        <v>362</v>
      </c>
      <c r="G156">
        <v>167</v>
      </c>
    </row>
    <row r="157" spans="1:7">
      <c r="A157" t="s">
        <v>1409</v>
      </c>
      <c r="B157" t="s">
        <v>1410</v>
      </c>
      <c r="C157">
        <v>150</v>
      </c>
      <c r="D157">
        <v>48</v>
      </c>
      <c r="E157">
        <v>7.2</v>
      </c>
      <c r="F157" t="s">
        <v>362</v>
      </c>
      <c r="G157">
        <v>0</v>
      </c>
    </row>
    <row r="158" spans="1:7">
      <c r="A158" t="s">
        <v>1445</v>
      </c>
      <c r="B158" t="s">
        <v>1446</v>
      </c>
      <c r="C158">
        <v>400</v>
      </c>
      <c r="D158">
        <v>21</v>
      </c>
      <c r="E158">
        <v>8.4</v>
      </c>
      <c r="F158" t="s">
        <v>362</v>
      </c>
      <c r="G158">
        <v>200</v>
      </c>
    </row>
    <row r="159" spans="1:7">
      <c r="A159" t="s">
        <v>1423</v>
      </c>
      <c r="B159" t="s">
        <v>1424</v>
      </c>
      <c r="C159">
        <v>600</v>
      </c>
      <c r="D159">
        <v>12</v>
      </c>
      <c r="E159">
        <v>7.2</v>
      </c>
      <c r="F159" t="s">
        <v>362</v>
      </c>
      <c r="G159">
        <v>0</v>
      </c>
    </row>
    <row r="160" spans="1:7">
      <c r="A160" t="s">
        <v>1439</v>
      </c>
      <c r="B160" t="s">
        <v>1440</v>
      </c>
      <c r="C160">
        <v>900</v>
      </c>
      <c r="D160">
        <v>10</v>
      </c>
      <c r="E160">
        <v>9</v>
      </c>
      <c r="F160" t="s">
        <v>362</v>
      </c>
      <c r="G160">
        <v>145.83333333333334</v>
      </c>
    </row>
    <row r="161" spans="1:7">
      <c r="A161" t="s">
        <v>1398</v>
      </c>
      <c r="B161" t="s">
        <v>1399</v>
      </c>
      <c r="C161">
        <v>1000</v>
      </c>
      <c r="D161">
        <v>10</v>
      </c>
      <c r="E161">
        <v>10</v>
      </c>
      <c r="F161" t="s">
        <v>362</v>
      </c>
      <c r="G161">
        <v>0</v>
      </c>
    </row>
    <row r="162" spans="1:7">
      <c r="A162" t="s">
        <v>1406</v>
      </c>
      <c r="B162" t="s">
        <v>1407</v>
      </c>
      <c r="C162">
        <v>150</v>
      </c>
      <c r="D162">
        <v>48</v>
      </c>
      <c r="E162">
        <v>7.2</v>
      </c>
      <c r="F162" t="s">
        <v>362</v>
      </c>
      <c r="G162">
        <v>0</v>
      </c>
    </row>
    <row r="163" spans="1:7">
      <c r="A163" t="s">
        <v>1457</v>
      </c>
      <c r="B163" t="s">
        <v>1458</v>
      </c>
      <c r="C163">
        <v>400</v>
      </c>
      <c r="D163">
        <v>21</v>
      </c>
      <c r="E163">
        <v>8.4</v>
      </c>
      <c r="F163" t="s">
        <v>362</v>
      </c>
      <c r="G163">
        <v>200</v>
      </c>
    </row>
    <row r="164" spans="1:7">
      <c r="A164" t="s">
        <v>1421</v>
      </c>
      <c r="B164" t="s">
        <v>1422</v>
      </c>
      <c r="C164">
        <v>600</v>
      </c>
      <c r="D164">
        <v>12</v>
      </c>
      <c r="E164">
        <v>7.2</v>
      </c>
      <c r="F164" t="s">
        <v>362</v>
      </c>
      <c r="G164">
        <v>0</v>
      </c>
    </row>
    <row r="165" spans="1:7">
      <c r="A165" t="s">
        <v>1437</v>
      </c>
      <c r="B165" t="s">
        <v>1438</v>
      </c>
      <c r="C165">
        <v>900</v>
      </c>
      <c r="D165">
        <v>10</v>
      </c>
      <c r="E165">
        <v>9</v>
      </c>
      <c r="F165" t="s">
        <v>362</v>
      </c>
      <c r="G165">
        <v>145.83333333333334</v>
      </c>
    </row>
    <row r="166" spans="1:7">
      <c r="A166" t="s">
        <v>1396</v>
      </c>
      <c r="B166" t="s">
        <v>1397</v>
      </c>
      <c r="C166">
        <v>1000</v>
      </c>
      <c r="D166">
        <v>10</v>
      </c>
      <c r="E166">
        <v>10</v>
      </c>
      <c r="F166" t="s">
        <v>362</v>
      </c>
      <c r="G166">
        <v>0</v>
      </c>
    </row>
    <row r="167" spans="1:7">
      <c r="A167" t="s">
        <v>1413</v>
      </c>
      <c r="B167" t="s">
        <v>1414</v>
      </c>
      <c r="C167">
        <v>150</v>
      </c>
      <c r="D167">
        <v>48</v>
      </c>
      <c r="E167">
        <v>7.2</v>
      </c>
      <c r="F167" t="s">
        <v>362</v>
      </c>
      <c r="G167">
        <v>0</v>
      </c>
    </row>
    <row r="168" spans="1:7">
      <c r="A168" t="s">
        <v>1453</v>
      </c>
      <c r="B168" t="s">
        <v>1454</v>
      </c>
      <c r="C168">
        <v>400</v>
      </c>
      <c r="D168">
        <v>21</v>
      </c>
      <c r="E168">
        <v>8.4</v>
      </c>
      <c r="F168" t="s">
        <v>362</v>
      </c>
      <c r="G168">
        <v>200</v>
      </c>
    </row>
    <row r="169" spans="1:7">
      <c r="A169" t="s">
        <v>1404</v>
      </c>
      <c r="B169" t="s">
        <v>1405</v>
      </c>
      <c r="C169">
        <v>600</v>
      </c>
      <c r="D169">
        <v>12</v>
      </c>
      <c r="E169">
        <v>7.2</v>
      </c>
      <c r="F169" t="s">
        <v>362</v>
      </c>
      <c r="G169">
        <v>0</v>
      </c>
    </row>
    <row r="170" spans="1:7">
      <c r="A170" t="s">
        <v>1433</v>
      </c>
      <c r="B170" t="s">
        <v>1434</v>
      </c>
      <c r="C170">
        <v>900</v>
      </c>
      <c r="D170">
        <v>10</v>
      </c>
      <c r="E170">
        <v>9</v>
      </c>
      <c r="F170" t="s">
        <v>362</v>
      </c>
      <c r="G170">
        <v>146</v>
      </c>
    </row>
    <row r="171" spans="1:7">
      <c r="A171" t="s">
        <v>1394</v>
      </c>
      <c r="B171" t="s">
        <v>1395</v>
      </c>
      <c r="C171">
        <v>1000</v>
      </c>
      <c r="D171">
        <v>10</v>
      </c>
      <c r="E171">
        <v>10</v>
      </c>
      <c r="F171" t="s">
        <v>362</v>
      </c>
      <c r="G171">
        <v>0</v>
      </c>
    </row>
    <row r="172" spans="1:7">
      <c r="A172" t="s">
        <v>1451</v>
      </c>
      <c r="B172" t="s">
        <v>1452</v>
      </c>
      <c r="C172">
        <v>400</v>
      </c>
      <c r="D172">
        <v>21</v>
      </c>
      <c r="E172">
        <v>8.4</v>
      </c>
      <c r="F172" t="s">
        <v>362</v>
      </c>
      <c r="G172">
        <v>200</v>
      </c>
    </row>
    <row r="173" spans="1:7">
      <c r="A173" t="s">
        <v>1419</v>
      </c>
      <c r="B173" t="s">
        <v>1420</v>
      </c>
      <c r="C173">
        <v>600</v>
      </c>
      <c r="D173">
        <v>12</v>
      </c>
      <c r="E173">
        <v>7.2</v>
      </c>
      <c r="F173" t="s">
        <v>362</v>
      </c>
      <c r="G173">
        <v>0</v>
      </c>
    </row>
    <row r="174" spans="1:7">
      <c r="A174" t="s">
        <v>1427</v>
      </c>
      <c r="B174" t="s">
        <v>1428</v>
      </c>
      <c r="C174">
        <v>900</v>
      </c>
      <c r="D174">
        <v>10</v>
      </c>
      <c r="E174">
        <v>9</v>
      </c>
      <c r="F174" t="s">
        <v>362</v>
      </c>
      <c r="G174">
        <v>146</v>
      </c>
    </row>
    <row r="175" spans="1:7">
      <c r="A175" t="s">
        <v>1392</v>
      </c>
      <c r="B175" t="s">
        <v>1393</v>
      </c>
      <c r="C175">
        <v>1000</v>
      </c>
      <c r="D175">
        <v>10</v>
      </c>
      <c r="E175">
        <v>10</v>
      </c>
      <c r="F175" t="s">
        <v>362</v>
      </c>
      <c r="G175">
        <v>0</v>
      </c>
    </row>
    <row r="176" spans="1:7">
      <c r="A176" t="s">
        <v>1364</v>
      </c>
      <c r="B176" t="s">
        <v>1365</v>
      </c>
      <c r="C176">
        <v>400</v>
      </c>
      <c r="D176">
        <v>21</v>
      </c>
      <c r="E176">
        <v>8.4</v>
      </c>
      <c r="F176" t="s">
        <v>362</v>
      </c>
      <c r="G176">
        <v>200</v>
      </c>
    </row>
    <row r="177" spans="1:7">
      <c r="A177" t="s">
        <v>1362</v>
      </c>
      <c r="B177" t="s">
        <v>1363</v>
      </c>
      <c r="C177">
        <v>400</v>
      </c>
      <c r="D177">
        <v>21</v>
      </c>
      <c r="E177">
        <v>8.4</v>
      </c>
      <c r="F177" t="s">
        <v>362</v>
      </c>
      <c r="G177">
        <v>200</v>
      </c>
    </row>
    <row r="178" spans="1:7">
      <c r="A178" t="s">
        <v>1360</v>
      </c>
      <c r="B178" t="s">
        <v>1361</v>
      </c>
      <c r="C178">
        <v>400</v>
      </c>
      <c r="D178">
        <v>21</v>
      </c>
      <c r="E178">
        <v>8.4</v>
      </c>
      <c r="F178" t="s">
        <v>362</v>
      </c>
      <c r="G178">
        <v>200</v>
      </c>
    </row>
    <row r="179" spans="1:7">
      <c r="A179" t="s">
        <v>1358</v>
      </c>
      <c r="B179" t="s">
        <v>1359</v>
      </c>
      <c r="C179">
        <v>400</v>
      </c>
      <c r="D179">
        <v>21</v>
      </c>
      <c r="E179">
        <v>8.4</v>
      </c>
      <c r="F179" t="s">
        <v>362</v>
      </c>
      <c r="G179">
        <v>200</v>
      </c>
    </row>
    <row r="180" spans="1:7">
      <c r="A180" t="s">
        <v>663</v>
      </c>
      <c r="B180" t="s">
        <v>664</v>
      </c>
      <c r="C180">
        <v>900</v>
      </c>
      <c r="D180">
        <v>10</v>
      </c>
      <c r="E180">
        <v>9</v>
      </c>
      <c r="F180" t="s">
        <v>362</v>
      </c>
      <c r="G180">
        <v>229.16666666666666</v>
      </c>
    </row>
    <row r="181" spans="1:7">
      <c r="A181" t="s">
        <v>666</v>
      </c>
      <c r="B181" t="s">
        <v>667</v>
      </c>
      <c r="C181">
        <v>900</v>
      </c>
      <c r="D181">
        <v>10</v>
      </c>
      <c r="E181">
        <v>9</v>
      </c>
      <c r="F181" t="s">
        <v>362</v>
      </c>
      <c r="G181">
        <v>229.16666666666666</v>
      </c>
    </row>
    <row r="182" spans="1:7">
      <c r="A182" t="s">
        <v>668</v>
      </c>
      <c r="B182" t="s">
        <v>669</v>
      </c>
      <c r="C182">
        <v>900</v>
      </c>
      <c r="D182">
        <v>10</v>
      </c>
      <c r="E182">
        <v>9</v>
      </c>
      <c r="F182" t="s">
        <v>362</v>
      </c>
      <c r="G182">
        <v>229.16666666666666</v>
      </c>
    </row>
    <row r="183" spans="1:7">
      <c r="A183" t="s">
        <v>670</v>
      </c>
      <c r="B183" t="s">
        <v>671</v>
      </c>
      <c r="C183">
        <v>900</v>
      </c>
      <c r="D183">
        <v>10</v>
      </c>
      <c r="E183">
        <v>9</v>
      </c>
      <c r="F183" t="s">
        <v>362</v>
      </c>
      <c r="G183">
        <v>229.16666666666666</v>
      </c>
    </row>
    <row r="184" spans="1:7">
      <c r="A184" t="s">
        <v>358</v>
      </c>
      <c r="B184" t="s">
        <v>359</v>
      </c>
      <c r="C184">
        <v>300</v>
      </c>
      <c r="D184">
        <v>21</v>
      </c>
      <c r="E184">
        <v>6.3</v>
      </c>
      <c r="F184" t="s">
        <v>362</v>
      </c>
      <c r="G184">
        <v>200</v>
      </c>
    </row>
    <row r="185" spans="1:7">
      <c r="A185" t="s">
        <v>619</v>
      </c>
      <c r="B185" t="s">
        <v>620</v>
      </c>
      <c r="C185">
        <v>400</v>
      </c>
      <c r="D185">
        <v>21</v>
      </c>
      <c r="E185">
        <v>8.4</v>
      </c>
      <c r="F185" t="s">
        <v>362</v>
      </c>
      <c r="G185">
        <v>208.33333333333334</v>
      </c>
    </row>
    <row r="186" spans="1:7">
      <c r="A186" t="s">
        <v>626</v>
      </c>
      <c r="B186" t="s">
        <v>627</v>
      </c>
      <c r="C186">
        <v>400</v>
      </c>
      <c r="D186">
        <v>21</v>
      </c>
      <c r="E186">
        <v>8.4</v>
      </c>
      <c r="F186" t="s">
        <v>362</v>
      </c>
      <c r="G186">
        <v>208.33333333333334</v>
      </c>
    </row>
    <row r="187" spans="1:7">
      <c r="A187" t="s">
        <v>633</v>
      </c>
      <c r="B187" t="s">
        <v>634</v>
      </c>
      <c r="C187">
        <v>400</v>
      </c>
      <c r="D187">
        <v>21</v>
      </c>
      <c r="E187">
        <v>8.4</v>
      </c>
      <c r="F187" t="s">
        <v>362</v>
      </c>
      <c r="G187">
        <v>208.33333333333334</v>
      </c>
    </row>
    <row r="188" spans="1:7">
      <c r="A188" t="s">
        <v>637</v>
      </c>
      <c r="B188" t="s">
        <v>638</v>
      </c>
      <c r="C188">
        <v>400</v>
      </c>
      <c r="D188">
        <v>21</v>
      </c>
      <c r="E188">
        <v>8.4</v>
      </c>
      <c r="F188" t="s">
        <v>362</v>
      </c>
      <c r="G188">
        <v>208.33333333333334</v>
      </c>
    </row>
    <row r="189" spans="1:7">
      <c r="A189" t="s">
        <v>687</v>
      </c>
      <c r="B189" t="s">
        <v>688</v>
      </c>
      <c r="C189">
        <v>400</v>
      </c>
      <c r="D189">
        <v>21</v>
      </c>
      <c r="E189">
        <v>8.4</v>
      </c>
      <c r="F189" t="s">
        <v>362</v>
      </c>
      <c r="G189">
        <v>208.33333333333334</v>
      </c>
    </row>
    <row r="190" spans="1:7">
      <c r="A190" t="s">
        <v>641</v>
      </c>
      <c r="B190" t="s">
        <v>642</v>
      </c>
      <c r="C190">
        <v>400</v>
      </c>
      <c r="D190">
        <v>21</v>
      </c>
      <c r="E190">
        <v>8.4</v>
      </c>
      <c r="F190" t="s">
        <v>362</v>
      </c>
      <c r="G190">
        <v>208.33333333333334</v>
      </c>
    </row>
    <row r="191" spans="1:7">
      <c r="A191" t="s">
        <v>1351</v>
      </c>
      <c r="B191" t="s">
        <v>1352</v>
      </c>
      <c r="C191">
        <v>330</v>
      </c>
      <c r="D191">
        <v>21</v>
      </c>
      <c r="E191">
        <v>6.93</v>
      </c>
      <c r="F191" t="s">
        <v>362</v>
      </c>
      <c r="G191">
        <v>208.33333333333334</v>
      </c>
    </row>
    <row r="192" spans="1:7">
      <c r="A192" t="s">
        <v>1471</v>
      </c>
      <c r="B192" t="s">
        <v>1599</v>
      </c>
      <c r="C192">
        <v>200</v>
      </c>
      <c r="D192">
        <v>21</v>
      </c>
      <c r="E192">
        <v>4.2</v>
      </c>
      <c r="F192" t="s">
        <v>362</v>
      </c>
      <c r="G192">
        <v>208.33333333333334</v>
      </c>
    </row>
    <row r="193" spans="1:7">
      <c r="A193" t="s">
        <v>1374</v>
      </c>
      <c r="B193" t="s">
        <v>1375</v>
      </c>
      <c r="C193">
        <v>330</v>
      </c>
      <c r="D193">
        <v>21</v>
      </c>
      <c r="E193">
        <v>6.93</v>
      </c>
      <c r="F193" t="s">
        <v>362</v>
      </c>
      <c r="G193">
        <v>208.33333333333334</v>
      </c>
    </row>
    <row r="194" spans="1:7">
      <c r="A194" t="s">
        <v>903</v>
      </c>
      <c r="B194" t="s">
        <v>1600</v>
      </c>
      <c r="C194">
        <v>375</v>
      </c>
      <c r="D194">
        <v>21</v>
      </c>
      <c r="E194">
        <v>7.875</v>
      </c>
      <c r="F194" t="s">
        <v>362</v>
      </c>
      <c r="G194">
        <v>208.33333333333334</v>
      </c>
    </row>
    <row r="195" spans="1:7">
      <c r="A195" t="s">
        <v>899</v>
      </c>
      <c r="B195" t="s">
        <v>1577</v>
      </c>
      <c r="C195">
        <v>900</v>
      </c>
      <c r="D195">
        <v>10</v>
      </c>
      <c r="E195">
        <v>9</v>
      </c>
      <c r="F195" t="s">
        <v>362</v>
      </c>
      <c r="G195">
        <v>229.16666666666666</v>
      </c>
    </row>
    <row r="196" spans="1:7">
      <c r="A196" t="s">
        <v>897</v>
      </c>
      <c r="B196" t="s">
        <v>1601</v>
      </c>
      <c r="C196">
        <v>375</v>
      </c>
      <c r="D196">
        <v>21</v>
      </c>
      <c r="E196">
        <v>7.875</v>
      </c>
      <c r="F196" t="s">
        <v>362</v>
      </c>
      <c r="G196">
        <v>208.33333333333334</v>
      </c>
    </row>
    <row r="197" spans="1:7">
      <c r="A197" t="s">
        <v>893</v>
      </c>
      <c r="B197" t="s">
        <v>1578</v>
      </c>
      <c r="C197">
        <v>900</v>
      </c>
      <c r="D197">
        <v>10</v>
      </c>
      <c r="E197">
        <v>9</v>
      </c>
      <c r="F197" t="s">
        <v>362</v>
      </c>
      <c r="G197">
        <v>229.16666666666666</v>
      </c>
    </row>
    <row r="198" spans="1:7">
      <c r="A198" t="s">
        <v>877</v>
      </c>
      <c r="B198" t="s">
        <v>1602</v>
      </c>
      <c r="C198">
        <v>375</v>
      </c>
      <c r="D198">
        <v>21</v>
      </c>
      <c r="E198">
        <v>7.875</v>
      </c>
      <c r="F198" t="s">
        <v>362</v>
      </c>
      <c r="G198">
        <v>208.33333333333334</v>
      </c>
    </row>
    <row r="199" spans="1:7">
      <c r="A199" t="s">
        <v>881</v>
      </c>
      <c r="B199" t="s">
        <v>1603</v>
      </c>
      <c r="C199">
        <v>900</v>
      </c>
      <c r="D199">
        <v>10</v>
      </c>
      <c r="E199">
        <v>9</v>
      </c>
      <c r="F199" t="s">
        <v>362</v>
      </c>
      <c r="G199">
        <v>229.16666666666666</v>
      </c>
    </row>
    <row r="200" spans="1:7">
      <c r="A200" t="s">
        <v>875</v>
      </c>
      <c r="B200" t="s">
        <v>1604</v>
      </c>
      <c r="C200">
        <v>375</v>
      </c>
      <c r="D200">
        <v>21</v>
      </c>
      <c r="E200">
        <v>7.875</v>
      </c>
      <c r="F200" t="s">
        <v>362</v>
      </c>
      <c r="G200">
        <v>208.33333333333334</v>
      </c>
    </row>
    <row r="201" spans="1:7">
      <c r="A201" t="s">
        <v>871</v>
      </c>
      <c r="B201" t="s">
        <v>1605</v>
      </c>
      <c r="C201">
        <v>900</v>
      </c>
      <c r="D201">
        <v>10</v>
      </c>
      <c r="E201">
        <v>9</v>
      </c>
      <c r="F201" t="s">
        <v>362</v>
      </c>
      <c r="G201">
        <v>229.16666666666666</v>
      </c>
    </row>
    <row r="202" spans="1:7">
      <c r="A202" t="s">
        <v>869</v>
      </c>
      <c r="B202" t="s">
        <v>870</v>
      </c>
      <c r="C202">
        <v>400</v>
      </c>
      <c r="D202">
        <v>21</v>
      </c>
      <c r="E202">
        <v>8.4</v>
      </c>
      <c r="F202" t="s">
        <v>362</v>
      </c>
      <c r="G202">
        <v>208.33333333333334</v>
      </c>
    </row>
    <row r="203" spans="1:7">
      <c r="A203" t="s">
        <v>857</v>
      </c>
      <c r="B203" t="s">
        <v>1606</v>
      </c>
      <c r="C203">
        <v>400</v>
      </c>
      <c r="D203">
        <v>21</v>
      </c>
      <c r="E203">
        <v>8.4</v>
      </c>
      <c r="F203" t="s">
        <v>362</v>
      </c>
      <c r="G203">
        <v>208.33333333333334</v>
      </c>
    </row>
    <row r="204" spans="1:7">
      <c r="A204" t="s">
        <v>1417</v>
      </c>
      <c r="B204" t="s">
        <v>1418</v>
      </c>
      <c r="C204">
        <v>120</v>
      </c>
      <c r="D204">
        <v>48</v>
      </c>
      <c r="E204">
        <v>5.76</v>
      </c>
      <c r="F204" t="s">
        <v>623</v>
      </c>
      <c r="G204">
        <v>0</v>
      </c>
    </row>
    <row r="205" spans="1:7">
      <c r="A205" t="s">
        <v>1415</v>
      </c>
      <c r="B205" t="s">
        <v>1416</v>
      </c>
      <c r="C205">
        <v>150</v>
      </c>
      <c r="D205">
        <v>48</v>
      </c>
      <c r="E205">
        <v>7.2</v>
      </c>
      <c r="F205" t="s">
        <v>623</v>
      </c>
      <c r="G205">
        <v>0</v>
      </c>
    </row>
    <row r="206" spans="1:7">
      <c r="A206" t="s">
        <v>1441</v>
      </c>
      <c r="B206" t="s">
        <v>1442</v>
      </c>
      <c r="C206">
        <v>400</v>
      </c>
      <c r="D206">
        <v>21</v>
      </c>
      <c r="E206">
        <v>8.4</v>
      </c>
      <c r="F206" t="s">
        <v>623</v>
      </c>
      <c r="G206">
        <v>0</v>
      </c>
    </row>
    <row r="207" spans="1:7">
      <c r="A207" t="s">
        <v>1425</v>
      </c>
      <c r="B207" t="s">
        <v>1426</v>
      </c>
      <c r="C207">
        <v>600</v>
      </c>
      <c r="D207">
        <v>12</v>
      </c>
      <c r="E207">
        <v>7.2</v>
      </c>
      <c r="F207" t="s">
        <v>623</v>
      </c>
      <c r="G207">
        <v>334</v>
      </c>
    </row>
    <row r="208" spans="1:7">
      <c r="A208" t="s">
        <v>1443</v>
      </c>
      <c r="B208" t="s">
        <v>1444</v>
      </c>
      <c r="C208">
        <v>1000</v>
      </c>
      <c r="D208">
        <v>10</v>
      </c>
      <c r="E208">
        <v>10</v>
      </c>
      <c r="F208" t="s">
        <v>623</v>
      </c>
      <c r="G208">
        <v>312.5</v>
      </c>
    </row>
    <row r="209" spans="1:7">
      <c r="A209" t="s">
        <v>1409</v>
      </c>
      <c r="B209" t="s">
        <v>1410</v>
      </c>
      <c r="C209">
        <v>150</v>
      </c>
      <c r="D209">
        <v>48</v>
      </c>
      <c r="E209">
        <v>7.2</v>
      </c>
      <c r="F209" t="s">
        <v>623</v>
      </c>
      <c r="G209">
        <v>0</v>
      </c>
    </row>
    <row r="210" spans="1:7">
      <c r="A210" t="s">
        <v>1445</v>
      </c>
      <c r="B210" t="s">
        <v>1446</v>
      </c>
      <c r="C210">
        <v>400</v>
      </c>
      <c r="D210">
        <v>21</v>
      </c>
      <c r="E210">
        <v>8.4</v>
      </c>
      <c r="F210" t="s">
        <v>623</v>
      </c>
      <c r="G210">
        <v>0</v>
      </c>
    </row>
    <row r="211" spans="1:7">
      <c r="A211" t="s">
        <v>1423</v>
      </c>
      <c r="B211" t="s">
        <v>1424</v>
      </c>
      <c r="C211">
        <v>600</v>
      </c>
      <c r="D211">
        <v>12</v>
      </c>
      <c r="E211">
        <v>7.2</v>
      </c>
      <c r="F211" t="s">
        <v>623</v>
      </c>
      <c r="G211">
        <v>334</v>
      </c>
    </row>
    <row r="212" spans="1:7">
      <c r="A212" t="s">
        <v>1439</v>
      </c>
      <c r="B212" t="s">
        <v>1440</v>
      </c>
      <c r="C212">
        <v>900</v>
      </c>
      <c r="D212">
        <v>10</v>
      </c>
      <c r="E212">
        <v>9</v>
      </c>
      <c r="F212" t="s">
        <v>623</v>
      </c>
      <c r="G212">
        <v>312.5</v>
      </c>
    </row>
    <row r="213" spans="1:7">
      <c r="A213" t="s">
        <v>1398</v>
      </c>
      <c r="B213" t="s">
        <v>1399</v>
      </c>
      <c r="C213">
        <v>1000</v>
      </c>
      <c r="D213">
        <v>10</v>
      </c>
      <c r="E213">
        <v>10</v>
      </c>
      <c r="F213" t="s">
        <v>623</v>
      </c>
      <c r="G213">
        <v>312.5</v>
      </c>
    </row>
    <row r="214" spans="1:7">
      <c r="A214" t="s">
        <v>1406</v>
      </c>
      <c r="B214" t="s">
        <v>1407</v>
      </c>
      <c r="C214">
        <v>150</v>
      </c>
      <c r="D214">
        <v>48</v>
      </c>
      <c r="E214">
        <v>7.2</v>
      </c>
      <c r="F214" t="s">
        <v>623</v>
      </c>
      <c r="G214">
        <v>0</v>
      </c>
    </row>
    <row r="215" spans="1:7">
      <c r="A215" t="s">
        <v>1457</v>
      </c>
      <c r="B215" t="s">
        <v>1458</v>
      </c>
      <c r="C215">
        <v>400</v>
      </c>
      <c r="D215">
        <v>21</v>
      </c>
      <c r="E215">
        <v>8.4</v>
      </c>
      <c r="F215" t="s">
        <v>623</v>
      </c>
      <c r="G215">
        <v>0</v>
      </c>
    </row>
    <row r="216" spans="1:7">
      <c r="A216" t="s">
        <v>1421</v>
      </c>
      <c r="B216" t="s">
        <v>1422</v>
      </c>
      <c r="C216">
        <v>600</v>
      </c>
      <c r="D216">
        <v>12</v>
      </c>
      <c r="E216">
        <v>7.2</v>
      </c>
      <c r="F216" t="s">
        <v>623</v>
      </c>
      <c r="G216">
        <v>334</v>
      </c>
    </row>
    <row r="217" spans="1:7">
      <c r="A217" t="s">
        <v>1437</v>
      </c>
      <c r="B217" t="s">
        <v>1438</v>
      </c>
      <c r="C217">
        <v>900</v>
      </c>
      <c r="D217">
        <v>10</v>
      </c>
      <c r="E217">
        <v>9</v>
      </c>
      <c r="F217" t="s">
        <v>623</v>
      </c>
      <c r="G217">
        <v>312.5</v>
      </c>
    </row>
    <row r="218" spans="1:7">
      <c r="A218" t="s">
        <v>1396</v>
      </c>
      <c r="B218" t="s">
        <v>1397</v>
      </c>
      <c r="C218">
        <v>1000</v>
      </c>
      <c r="D218">
        <v>10</v>
      </c>
      <c r="E218">
        <v>10</v>
      </c>
      <c r="F218" t="s">
        <v>623</v>
      </c>
      <c r="G218">
        <v>312.5</v>
      </c>
    </row>
    <row r="219" spans="1:7">
      <c r="A219" t="s">
        <v>1413</v>
      </c>
      <c r="B219" t="s">
        <v>1414</v>
      </c>
      <c r="C219">
        <v>150</v>
      </c>
      <c r="D219">
        <v>48</v>
      </c>
      <c r="E219">
        <v>7.2</v>
      </c>
      <c r="F219" t="s">
        <v>623</v>
      </c>
      <c r="G219">
        <v>0</v>
      </c>
    </row>
    <row r="220" spans="1:7">
      <c r="A220" t="s">
        <v>1453</v>
      </c>
      <c r="B220" t="s">
        <v>1454</v>
      </c>
      <c r="C220">
        <v>400</v>
      </c>
      <c r="D220">
        <v>21</v>
      </c>
      <c r="E220">
        <v>8.4</v>
      </c>
      <c r="F220" t="s">
        <v>623</v>
      </c>
      <c r="G220">
        <v>0</v>
      </c>
    </row>
    <row r="221" spans="1:7">
      <c r="A221" t="s">
        <v>1404</v>
      </c>
      <c r="B221" t="s">
        <v>1405</v>
      </c>
      <c r="C221">
        <v>600</v>
      </c>
      <c r="D221">
        <v>12</v>
      </c>
      <c r="E221">
        <v>7.2</v>
      </c>
      <c r="F221" t="s">
        <v>623</v>
      </c>
      <c r="G221">
        <v>334</v>
      </c>
    </row>
    <row r="222" spans="1:7">
      <c r="A222" t="s">
        <v>1433</v>
      </c>
      <c r="B222" t="s">
        <v>1434</v>
      </c>
      <c r="C222">
        <v>900</v>
      </c>
      <c r="D222">
        <v>10</v>
      </c>
      <c r="E222">
        <v>9</v>
      </c>
      <c r="F222" t="s">
        <v>623</v>
      </c>
      <c r="G222">
        <v>312.5</v>
      </c>
    </row>
    <row r="223" spans="1:7">
      <c r="A223" t="s">
        <v>1394</v>
      </c>
      <c r="B223" t="s">
        <v>1395</v>
      </c>
      <c r="C223">
        <v>1000</v>
      </c>
      <c r="D223">
        <v>10</v>
      </c>
      <c r="E223">
        <v>10</v>
      </c>
      <c r="F223" t="s">
        <v>623</v>
      </c>
      <c r="G223">
        <v>312.5</v>
      </c>
    </row>
    <row r="224" spans="1:7">
      <c r="A224" t="s">
        <v>1451</v>
      </c>
      <c r="B224" t="s">
        <v>1452</v>
      </c>
      <c r="C224">
        <v>400</v>
      </c>
      <c r="D224">
        <v>21</v>
      </c>
      <c r="E224">
        <v>8.4</v>
      </c>
      <c r="F224" t="s">
        <v>623</v>
      </c>
      <c r="G224">
        <v>0</v>
      </c>
    </row>
    <row r="225" spans="1:7">
      <c r="A225" t="s">
        <v>1419</v>
      </c>
      <c r="B225" t="s">
        <v>1420</v>
      </c>
      <c r="C225">
        <v>600</v>
      </c>
      <c r="D225">
        <v>12</v>
      </c>
      <c r="E225">
        <v>7.2</v>
      </c>
      <c r="F225" t="s">
        <v>623</v>
      </c>
      <c r="G225">
        <v>334</v>
      </c>
    </row>
    <row r="226" spans="1:7">
      <c r="A226" t="s">
        <v>1427</v>
      </c>
      <c r="B226" t="s">
        <v>1428</v>
      </c>
      <c r="C226">
        <v>900</v>
      </c>
      <c r="D226">
        <v>10</v>
      </c>
      <c r="E226">
        <v>9</v>
      </c>
      <c r="F226" t="s">
        <v>623</v>
      </c>
      <c r="G226">
        <v>312.5</v>
      </c>
    </row>
    <row r="227" spans="1:7">
      <c r="A227" t="s">
        <v>1392</v>
      </c>
      <c r="B227" t="s">
        <v>1393</v>
      </c>
      <c r="C227">
        <v>1000</v>
      </c>
      <c r="D227">
        <v>10</v>
      </c>
      <c r="E227">
        <v>10</v>
      </c>
      <c r="F227" t="s">
        <v>623</v>
      </c>
      <c r="G227">
        <v>312.5</v>
      </c>
    </row>
    <row r="228" spans="1:7">
      <c r="A228" t="s">
        <v>663</v>
      </c>
      <c r="B228" t="s">
        <v>664</v>
      </c>
      <c r="C228">
        <v>900</v>
      </c>
      <c r="D228">
        <v>10</v>
      </c>
      <c r="E228">
        <v>9</v>
      </c>
      <c r="F228" t="s">
        <v>623</v>
      </c>
      <c r="G228">
        <v>354.16666666666669</v>
      </c>
    </row>
    <row r="229" spans="1:7">
      <c r="A229" t="s">
        <v>666</v>
      </c>
      <c r="B229" t="s">
        <v>667</v>
      </c>
      <c r="C229">
        <v>900</v>
      </c>
      <c r="D229">
        <v>10</v>
      </c>
      <c r="E229">
        <v>9</v>
      </c>
      <c r="F229" t="s">
        <v>623</v>
      </c>
      <c r="G229">
        <v>354.16666666666669</v>
      </c>
    </row>
    <row r="230" spans="1:7">
      <c r="A230" t="s">
        <v>668</v>
      </c>
      <c r="B230" t="s">
        <v>669</v>
      </c>
      <c r="C230">
        <v>900</v>
      </c>
      <c r="D230">
        <v>10</v>
      </c>
      <c r="E230">
        <v>9</v>
      </c>
      <c r="F230" t="s">
        <v>623</v>
      </c>
      <c r="G230">
        <v>354.16666666666669</v>
      </c>
    </row>
    <row r="231" spans="1:7">
      <c r="A231" t="s">
        <v>670</v>
      </c>
      <c r="B231" t="s">
        <v>671</v>
      </c>
      <c r="C231">
        <v>900</v>
      </c>
      <c r="D231">
        <v>10</v>
      </c>
      <c r="E231">
        <v>9</v>
      </c>
      <c r="F231" t="s">
        <v>623</v>
      </c>
      <c r="G231">
        <v>354.16666666666669</v>
      </c>
    </row>
    <row r="232" spans="1:7">
      <c r="A232" t="s">
        <v>621</v>
      </c>
      <c r="B232" t="s">
        <v>622</v>
      </c>
      <c r="C232">
        <v>600</v>
      </c>
      <c r="D232">
        <v>12</v>
      </c>
      <c r="E232">
        <v>7.2</v>
      </c>
      <c r="F232" t="s">
        <v>623</v>
      </c>
      <c r="G232">
        <v>333.33333333333331</v>
      </c>
    </row>
    <row r="233" spans="1:7">
      <c r="A233" t="s">
        <v>628</v>
      </c>
      <c r="B233" t="s">
        <v>629</v>
      </c>
      <c r="C233">
        <v>600</v>
      </c>
      <c r="D233">
        <v>12</v>
      </c>
      <c r="E233">
        <v>7.2</v>
      </c>
      <c r="F233" t="s">
        <v>623</v>
      </c>
      <c r="G233">
        <v>333.33333333333331</v>
      </c>
    </row>
    <row r="234" spans="1:7">
      <c r="A234" t="s">
        <v>635</v>
      </c>
      <c r="B234" t="s">
        <v>636</v>
      </c>
      <c r="C234">
        <v>600</v>
      </c>
      <c r="D234">
        <v>12</v>
      </c>
      <c r="E234">
        <v>7.2</v>
      </c>
      <c r="F234" t="s">
        <v>623</v>
      </c>
      <c r="G234">
        <v>333.33333333333331</v>
      </c>
    </row>
    <row r="235" spans="1:7">
      <c r="A235" t="s">
        <v>639</v>
      </c>
      <c r="B235" t="s">
        <v>640</v>
      </c>
      <c r="C235">
        <v>600</v>
      </c>
      <c r="D235">
        <v>12</v>
      </c>
      <c r="E235">
        <v>7.2</v>
      </c>
      <c r="F235" t="s">
        <v>623</v>
      </c>
      <c r="G235">
        <v>333.33333333333331</v>
      </c>
    </row>
    <row r="236" spans="1:7">
      <c r="A236" t="s">
        <v>1379</v>
      </c>
      <c r="B236" t="s">
        <v>1380</v>
      </c>
      <c r="C236">
        <v>690</v>
      </c>
      <c r="D236">
        <v>12</v>
      </c>
      <c r="E236">
        <v>8.2799999999999994</v>
      </c>
      <c r="F236" t="s">
        <v>623</v>
      </c>
      <c r="G236">
        <v>325</v>
      </c>
    </row>
    <row r="237" spans="1:7">
      <c r="A237" t="s">
        <v>1370</v>
      </c>
      <c r="B237" t="s">
        <v>1371</v>
      </c>
      <c r="C237">
        <v>690</v>
      </c>
      <c r="D237">
        <v>12</v>
      </c>
      <c r="E237">
        <v>8.2799999999999994</v>
      </c>
      <c r="F237" t="s">
        <v>623</v>
      </c>
      <c r="G237">
        <v>325</v>
      </c>
    </row>
    <row r="238" spans="1:7">
      <c r="A238" t="s">
        <v>674</v>
      </c>
      <c r="B238" t="s">
        <v>675</v>
      </c>
      <c r="C238">
        <v>900</v>
      </c>
      <c r="D238">
        <v>10</v>
      </c>
      <c r="E238">
        <v>9</v>
      </c>
      <c r="F238" t="s">
        <v>623</v>
      </c>
      <c r="G238">
        <v>333.33333333333331</v>
      </c>
    </row>
    <row r="239" spans="1:7">
      <c r="A239" t="s">
        <v>672</v>
      </c>
      <c r="B239" t="s">
        <v>673</v>
      </c>
      <c r="C239">
        <v>900</v>
      </c>
      <c r="D239">
        <v>10</v>
      </c>
      <c r="E239">
        <v>9</v>
      </c>
      <c r="F239" t="s">
        <v>623</v>
      </c>
      <c r="G239">
        <v>333.33333333333331</v>
      </c>
    </row>
    <row r="240" spans="1:7">
      <c r="A240" t="s">
        <v>677</v>
      </c>
      <c r="B240" t="s">
        <v>678</v>
      </c>
      <c r="C240">
        <v>900</v>
      </c>
      <c r="D240">
        <v>10</v>
      </c>
      <c r="E240">
        <v>9</v>
      </c>
      <c r="F240" t="s">
        <v>623</v>
      </c>
      <c r="G240">
        <v>333.33333333333331</v>
      </c>
    </row>
    <row r="241" spans="1:7">
      <c r="A241" t="s">
        <v>1607</v>
      </c>
      <c r="B241" t="s">
        <v>1608</v>
      </c>
      <c r="C241">
        <v>1000</v>
      </c>
      <c r="D241">
        <v>10</v>
      </c>
      <c r="E241">
        <v>10</v>
      </c>
      <c r="F241" t="s">
        <v>623</v>
      </c>
      <c r="G241">
        <v>325</v>
      </c>
    </row>
    <row r="242" spans="1:7">
      <c r="A242" t="s">
        <v>835</v>
      </c>
      <c r="B242" t="s">
        <v>836</v>
      </c>
      <c r="C242">
        <v>575</v>
      </c>
      <c r="D242">
        <v>12</v>
      </c>
      <c r="E242">
        <v>6.9</v>
      </c>
      <c r="F242" t="s">
        <v>623</v>
      </c>
      <c r="G242">
        <v>333.33333333333331</v>
      </c>
    </row>
    <row r="243" spans="1:7">
      <c r="A243" t="s">
        <v>833</v>
      </c>
      <c r="B243" t="s">
        <v>834</v>
      </c>
      <c r="C243">
        <v>575</v>
      </c>
      <c r="D243">
        <v>12</v>
      </c>
      <c r="E243">
        <v>6.9</v>
      </c>
      <c r="F243" t="s">
        <v>623</v>
      </c>
      <c r="G243">
        <v>333.33333333333331</v>
      </c>
    </row>
    <row r="244" spans="1:7">
      <c r="A244" t="s">
        <v>901</v>
      </c>
      <c r="B244" t="s">
        <v>1609</v>
      </c>
      <c r="C244">
        <v>600</v>
      </c>
      <c r="D244">
        <v>12</v>
      </c>
      <c r="E244">
        <v>7.2</v>
      </c>
      <c r="F244" t="s">
        <v>623</v>
      </c>
      <c r="G244">
        <v>333.33333333333331</v>
      </c>
    </row>
    <row r="245" spans="1:7">
      <c r="A245" t="s">
        <v>899</v>
      </c>
      <c r="B245" t="s">
        <v>1577</v>
      </c>
      <c r="C245">
        <v>900</v>
      </c>
      <c r="D245">
        <v>10</v>
      </c>
      <c r="E245">
        <v>9</v>
      </c>
      <c r="F245" t="s">
        <v>623</v>
      </c>
      <c r="G245">
        <v>354.16666666666669</v>
      </c>
    </row>
    <row r="246" spans="1:7">
      <c r="A246" t="s">
        <v>895</v>
      </c>
      <c r="B246" t="s">
        <v>1610</v>
      </c>
      <c r="C246">
        <v>600</v>
      </c>
      <c r="D246">
        <v>12</v>
      </c>
      <c r="E246">
        <v>7.2</v>
      </c>
      <c r="F246" t="s">
        <v>623</v>
      </c>
      <c r="G246">
        <v>333.33333333333331</v>
      </c>
    </row>
    <row r="247" spans="1:7">
      <c r="A247" t="s">
        <v>893</v>
      </c>
      <c r="B247" t="s">
        <v>1578</v>
      </c>
      <c r="C247">
        <v>900</v>
      </c>
      <c r="D247">
        <v>10</v>
      </c>
      <c r="E247">
        <v>9</v>
      </c>
      <c r="F247" t="s">
        <v>623</v>
      </c>
      <c r="G247">
        <v>354.16666666666669</v>
      </c>
    </row>
    <row r="248" spans="1:7">
      <c r="A248" t="s">
        <v>883</v>
      </c>
      <c r="B248" t="s">
        <v>1611</v>
      </c>
      <c r="C248">
        <v>600</v>
      </c>
      <c r="D248">
        <v>12</v>
      </c>
      <c r="E248">
        <v>7.2</v>
      </c>
      <c r="F248" t="s">
        <v>623</v>
      </c>
      <c r="G248">
        <v>333.33333333333331</v>
      </c>
    </row>
    <row r="249" spans="1:7">
      <c r="A249" t="s">
        <v>881</v>
      </c>
      <c r="B249" t="s">
        <v>1603</v>
      </c>
      <c r="C249">
        <v>900</v>
      </c>
      <c r="D249">
        <v>10</v>
      </c>
      <c r="E249">
        <v>9</v>
      </c>
      <c r="F249" t="s">
        <v>623</v>
      </c>
      <c r="G249">
        <v>354.16666666666669</v>
      </c>
    </row>
    <row r="250" spans="1:7">
      <c r="A250" t="s">
        <v>873</v>
      </c>
      <c r="B250" t="s">
        <v>1612</v>
      </c>
      <c r="C250">
        <v>600</v>
      </c>
      <c r="D250">
        <v>12</v>
      </c>
      <c r="E250">
        <v>7.2</v>
      </c>
      <c r="F250" t="s">
        <v>623</v>
      </c>
      <c r="G250">
        <v>333.33333333333331</v>
      </c>
    </row>
    <row r="251" spans="1:7">
      <c r="A251" t="s">
        <v>871</v>
      </c>
      <c r="B251" t="s">
        <v>1605</v>
      </c>
      <c r="C251">
        <v>900</v>
      </c>
      <c r="D251">
        <v>10</v>
      </c>
      <c r="E251">
        <v>9</v>
      </c>
      <c r="F251" t="s">
        <v>623</v>
      </c>
      <c r="G251">
        <v>354.16666666666669</v>
      </c>
    </row>
    <row r="252" spans="1:7">
      <c r="A252" t="s">
        <v>867</v>
      </c>
      <c r="B252" t="s">
        <v>1613</v>
      </c>
      <c r="C252">
        <v>900</v>
      </c>
      <c r="D252">
        <v>10</v>
      </c>
      <c r="E252">
        <v>9</v>
      </c>
      <c r="F252" t="s">
        <v>623</v>
      </c>
      <c r="G252">
        <v>354.16666666666669</v>
      </c>
    </row>
    <row r="253" spans="1:7">
      <c r="A253" t="s">
        <v>853</v>
      </c>
      <c r="B253" t="s">
        <v>1614</v>
      </c>
      <c r="C253">
        <v>900</v>
      </c>
      <c r="D253">
        <v>10</v>
      </c>
      <c r="E253">
        <v>9</v>
      </c>
      <c r="F253" t="s">
        <v>623</v>
      </c>
      <c r="G253">
        <v>354.16666666666669</v>
      </c>
    </row>
    <row r="254" spans="1:7">
      <c r="A254" t="s">
        <v>851</v>
      </c>
      <c r="B254" t="s">
        <v>1615</v>
      </c>
      <c r="C254">
        <v>575</v>
      </c>
      <c r="D254">
        <v>12</v>
      </c>
      <c r="E254">
        <v>6.9</v>
      </c>
      <c r="F254" t="s">
        <v>623</v>
      </c>
      <c r="G254">
        <v>333.33333333333331</v>
      </c>
    </row>
    <row r="255" spans="1:7">
      <c r="A255" t="s">
        <v>855</v>
      </c>
      <c r="B255" t="s">
        <v>1616</v>
      </c>
      <c r="C255">
        <v>900</v>
      </c>
      <c r="D255">
        <v>10</v>
      </c>
      <c r="E255">
        <v>9</v>
      </c>
      <c r="F255" t="s">
        <v>623</v>
      </c>
      <c r="G255">
        <v>354.16666666666669</v>
      </c>
    </row>
    <row r="256" spans="1:7">
      <c r="A256" t="s">
        <v>847</v>
      </c>
      <c r="B256" t="s">
        <v>1617</v>
      </c>
      <c r="C256">
        <v>575</v>
      </c>
      <c r="D256">
        <v>12</v>
      </c>
      <c r="E256">
        <v>6.9</v>
      </c>
      <c r="F256" t="s">
        <v>623</v>
      </c>
      <c r="G256">
        <v>333.33333333333331</v>
      </c>
    </row>
    <row r="257" spans="1:7">
      <c r="A257" t="s">
        <v>849</v>
      </c>
      <c r="B257" t="s">
        <v>850</v>
      </c>
      <c r="C257">
        <v>575</v>
      </c>
      <c r="D257">
        <v>12</v>
      </c>
      <c r="E257">
        <v>6.9</v>
      </c>
      <c r="F257" t="s">
        <v>623</v>
      </c>
      <c r="G257">
        <v>333.33333333333331</v>
      </c>
    </row>
    <row r="258" spans="1:7" ht="36">
      <c r="A258" t="s">
        <v>1618</v>
      </c>
      <c r="B258" t="s">
        <v>1088</v>
      </c>
      <c r="C258">
        <v>1050</v>
      </c>
      <c r="D258">
        <v>10</v>
      </c>
      <c r="E258">
        <v>10.5</v>
      </c>
      <c r="F258" t="s">
        <v>623</v>
      </c>
      <c r="G258">
        <v>291.66666666666669</v>
      </c>
    </row>
    <row r="259" spans="1:7" ht="36">
      <c r="A259" t="s">
        <v>1619</v>
      </c>
      <c r="B259" t="s">
        <v>1076</v>
      </c>
      <c r="C259">
        <v>1050</v>
      </c>
      <c r="D259">
        <v>10</v>
      </c>
      <c r="E259">
        <v>10.5</v>
      </c>
      <c r="F259" t="s">
        <v>623</v>
      </c>
      <c r="G259">
        <v>291.66666666666669</v>
      </c>
    </row>
    <row r="260" spans="1:7" ht="36">
      <c r="A260" t="s">
        <v>1620</v>
      </c>
      <c r="B260" t="s">
        <v>1078</v>
      </c>
      <c r="C260">
        <v>1050</v>
      </c>
      <c r="D260">
        <v>10</v>
      </c>
      <c r="E260">
        <v>10.5</v>
      </c>
      <c r="F260" t="s">
        <v>623</v>
      </c>
      <c r="G260">
        <v>291.66666666666669</v>
      </c>
    </row>
    <row r="261" spans="1:7" ht="36">
      <c r="A261" t="s">
        <v>1621</v>
      </c>
      <c r="B261" t="s">
        <v>1080</v>
      </c>
      <c r="C261">
        <v>1050</v>
      </c>
      <c r="D261">
        <v>10</v>
      </c>
      <c r="E261">
        <v>10.5</v>
      </c>
      <c r="F261" t="s">
        <v>623</v>
      </c>
      <c r="G261">
        <v>291.66666666666669</v>
      </c>
    </row>
    <row r="262" spans="1:7">
      <c r="A262" t="s">
        <v>1417</v>
      </c>
      <c r="B262" t="s">
        <v>1418</v>
      </c>
      <c r="C262">
        <v>120</v>
      </c>
      <c r="D262">
        <v>48</v>
      </c>
      <c r="E262">
        <v>5.76</v>
      </c>
      <c r="F262" t="s">
        <v>216</v>
      </c>
      <c r="G262">
        <v>0</v>
      </c>
    </row>
    <row r="263" spans="1:7">
      <c r="A263" t="s">
        <v>1415</v>
      </c>
      <c r="B263" t="s">
        <v>1416</v>
      </c>
      <c r="C263">
        <v>150</v>
      </c>
      <c r="D263">
        <v>48</v>
      </c>
      <c r="E263">
        <v>7.2</v>
      </c>
      <c r="F263" t="s">
        <v>216</v>
      </c>
      <c r="G263">
        <v>0</v>
      </c>
    </row>
    <row r="264" spans="1:7">
      <c r="A264" t="s">
        <v>1441</v>
      </c>
      <c r="B264" t="s">
        <v>1442</v>
      </c>
      <c r="C264">
        <v>400</v>
      </c>
      <c r="D264">
        <v>21</v>
      </c>
      <c r="E264">
        <v>8.4</v>
      </c>
      <c r="F264" t="s">
        <v>216</v>
      </c>
      <c r="G264">
        <v>0</v>
      </c>
    </row>
    <row r="265" spans="1:7">
      <c r="A265" t="s">
        <v>1425</v>
      </c>
      <c r="B265" t="s">
        <v>1426</v>
      </c>
      <c r="C265">
        <v>600</v>
      </c>
      <c r="D265">
        <v>12</v>
      </c>
      <c r="E265">
        <v>7.2</v>
      </c>
      <c r="F265" t="s">
        <v>216</v>
      </c>
      <c r="G265">
        <v>0</v>
      </c>
    </row>
    <row r="266" spans="1:7">
      <c r="A266" t="s">
        <v>1443</v>
      </c>
      <c r="B266" t="s">
        <v>1444</v>
      </c>
      <c r="C266">
        <v>1000</v>
      </c>
      <c r="D266">
        <v>10</v>
      </c>
      <c r="E266">
        <v>10</v>
      </c>
      <c r="F266" t="s">
        <v>216</v>
      </c>
      <c r="G266">
        <v>242</v>
      </c>
    </row>
    <row r="267" spans="1:7">
      <c r="A267" t="s">
        <v>1409</v>
      </c>
      <c r="B267" t="s">
        <v>1410</v>
      </c>
      <c r="C267">
        <v>150</v>
      </c>
      <c r="D267">
        <v>48</v>
      </c>
      <c r="E267">
        <v>7.2</v>
      </c>
      <c r="F267" t="s">
        <v>216</v>
      </c>
      <c r="G267">
        <v>0</v>
      </c>
    </row>
    <row r="268" spans="1:7">
      <c r="A268" t="s">
        <v>1445</v>
      </c>
      <c r="B268" t="s">
        <v>1446</v>
      </c>
      <c r="C268">
        <v>400</v>
      </c>
      <c r="D268">
        <v>21</v>
      </c>
      <c r="E268">
        <v>8.4</v>
      </c>
      <c r="F268" t="s">
        <v>216</v>
      </c>
      <c r="G268">
        <v>145.83333333333334</v>
      </c>
    </row>
    <row r="269" spans="1:7">
      <c r="A269" t="s">
        <v>1423</v>
      </c>
      <c r="B269" t="s">
        <v>1424</v>
      </c>
      <c r="C269">
        <v>600</v>
      </c>
      <c r="D269">
        <v>12</v>
      </c>
      <c r="E269">
        <v>7.2</v>
      </c>
      <c r="F269" t="s">
        <v>216</v>
      </c>
      <c r="G269">
        <v>0</v>
      </c>
    </row>
    <row r="270" spans="1:7">
      <c r="A270" t="s">
        <v>1439</v>
      </c>
      <c r="B270" t="s">
        <v>1440</v>
      </c>
      <c r="C270">
        <v>900</v>
      </c>
      <c r="D270">
        <v>10</v>
      </c>
      <c r="E270">
        <v>9</v>
      </c>
      <c r="F270" t="s">
        <v>216</v>
      </c>
      <c r="G270">
        <v>195</v>
      </c>
    </row>
    <row r="271" spans="1:7">
      <c r="A271" t="s">
        <v>1398</v>
      </c>
      <c r="B271" t="s">
        <v>1399</v>
      </c>
      <c r="C271">
        <v>1000</v>
      </c>
      <c r="D271">
        <v>10</v>
      </c>
      <c r="E271">
        <v>10</v>
      </c>
      <c r="F271" t="s">
        <v>216</v>
      </c>
      <c r="G271">
        <v>242</v>
      </c>
    </row>
    <row r="272" spans="1:7">
      <c r="A272" t="s">
        <v>1406</v>
      </c>
      <c r="B272" t="s">
        <v>1407</v>
      </c>
      <c r="C272">
        <v>150</v>
      </c>
      <c r="D272">
        <v>48</v>
      </c>
      <c r="E272">
        <v>7.2</v>
      </c>
      <c r="F272" t="s">
        <v>216</v>
      </c>
      <c r="G272">
        <v>0</v>
      </c>
    </row>
    <row r="273" spans="1:7">
      <c r="A273" t="s">
        <v>1457</v>
      </c>
      <c r="B273" t="s">
        <v>1458</v>
      </c>
      <c r="C273">
        <v>400</v>
      </c>
      <c r="D273">
        <v>21</v>
      </c>
      <c r="E273">
        <v>8.4</v>
      </c>
      <c r="F273" t="s">
        <v>216</v>
      </c>
      <c r="G273">
        <v>145.83333333333334</v>
      </c>
    </row>
    <row r="274" spans="1:7">
      <c r="A274" t="s">
        <v>1421</v>
      </c>
      <c r="B274" t="s">
        <v>1422</v>
      </c>
      <c r="C274">
        <v>600</v>
      </c>
      <c r="D274">
        <v>12</v>
      </c>
      <c r="E274">
        <v>7.2</v>
      </c>
      <c r="F274" t="s">
        <v>216</v>
      </c>
      <c r="G274">
        <v>0</v>
      </c>
    </row>
    <row r="275" spans="1:7">
      <c r="A275" t="s">
        <v>1437</v>
      </c>
      <c r="B275" t="s">
        <v>1438</v>
      </c>
      <c r="C275">
        <v>900</v>
      </c>
      <c r="D275">
        <v>10</v>
      </c>
      <c r="E275">
        <v>9</v>
      </c>
      <c r="F275" t="s">
        <v>216</v>
      </c>
      <c r="G275">
        <v>195</v>
      </c>
    </row>
    <row r="276" spans="1:7">
      <c r="A276" t="s">
        <v>1396</v>
      </c>
      <c r="B276" t="s">
        <v>1397</v>
      </c>
      <c r="C276">
        <v>1000</v>
      </c>
      <c r="D276">
        <v>10</v>
      </c>
      <c r="E276">
        <v>10</v>
      </c>
      <c r="F276" t="s">
        <v>216</v>
      </c>
      <c r="G276">
        <v>242</v>
      </c>
    </row>
    <row r="277" spans="1:7">
      <c r="A277" t="s">
        <v>1413</v>
      </c>
      <c r="B277" t="s">
        <v>1414</v>
      </c>
      <c r="C277">
        <v>150</v>
      </c>
      <c r="D277">
        <v>48</v>
      </c>
      <c r="E277">
        <v>7.2</v>
      </c>
      <c r="F277" t="s">
        <v>216</v>
      </c>
      <c r="G277">
        <v>0</v>
      </c>
    </row>
    <row r="278" spans="1:7">
      <c r="A278" t="s">
        <v>1453</v>
      </c>
      <c r="B278" t="s">
        <v>1454</v>
      </c>
      <c r="C278">
        <v>400</v>
      </c>
      <c r="D278">
        <v>21</v>
      </c>
      <c r="E278">
        <v>8.4</v>
      </c>
      <c r="F278" t="s">
        <v>216</v>
      </c>
      <c r="G278">
        <v>0</v>
      </c>
    </row>
    <row r="279" spans="1:7">
      <c r="A279" t="s">
        <v>1404</v>
      </c>
      <c r="B279" t="s">
        <v>1405</v>
      </c>
      <c r="C279">
        <v>600</v>
      </c>
      <c r="D279">
        <v>12</v>
      </c>
      <c r="E279">
        <v>7.2</v>
      </c>
      <c r="F279" t="s">
        <v>216</v>
      </c>
      <c r="G279">
        <v>0</v>
      </c>
    </row>
    <row r="280" spans="1:7">
      <c r="A280" t="s">
        <v>1433</v>
      </c>
      <c r="B280" t="s">
        <v>1434</v>
      </c>
      <c r="C280">
        <v>900</v>
      </c>
      <c r="D280">
        <v>10</v>
      </c>
      <c r="E280">
        <v>9</v>
      </c>
      <c r="F280" t="s">
        <v>216</v>
      </c>
      <c r="G280">
        <v>195</v>
      </c>
    </row>
    <row r="281" spans="1:7">
      <c r="A281" t="s">
        <v>1394</v>
      </c>
      <c r="B281" t="s">
        <v>1395</v>
      </c>
      <c r="C281">
        <v>1000</v>
      </c>
      <c r="D281">
        <v>10</v>
      </c>
      <c r="E281">
        <v>10</v>
      </c>
      <c r="F281" t="s">
        <v>216</v>
      </c>
      <c r="G281">
        <v>242</v>
      </c>
    </row>
    <row r="282" spans="1:7">
      <c r="A282" t="s">
        <v>1451</v>
      </c>
      <c r="B282" t="s">
        <v>1452</v>
      </c>
      <c r="C282">
        <v>400</v>
      </c>
      <c r="D282">
        <v>21</v>
      </c>
      <c r="E282">
        <v>8.4</v>
      </c>
      <c r="F282" t="s">
        <v>216</v>
      </c>
      <c r="G282">
        <v>0</v>
      </c>
    </row>
    <row r="283" spans="1:7">
      <c r="A283" t="s">
        <v>1419</v>
      </c>
      <c r="B283" t="s">
        <v>1420</v>
      </c>
      <c r="C283">
        <v>600</v>
      </c>
      <c r="D283">
        <v>12</v>
      </c>
      <c r="E283">
        <v>7.2</v>
      </c>
      <c r="F283" t="s">
        <v>216</v>
      </c>
      <c r="G283">
        <v>0</v>
      </c>
    </row>
    <row r="284" spans="1:7">
      <c r="A284" t="s">
        <v>1427</v>
      </c>
      <c r="B284" t="s">
        <v>1428</v>
      </c>
      <c r="C284">
        <v>900</v>
      </c>
      <c r="D284">
        <v>10</v>
      </c>
      <c r="E284">
        <v>9</v>
      </c>
      <c r="F284" t="s">
        <v>216</v>
      </c>
      <c r="G284">
        <v>195</v>
      </c>
    </row>
    <row r="285" spans="1:7">
      <c r="A285" t="s">
        <v>1392</v>
      </c>
      <c r="B285" t="s">
        <v>1393</v>
      </c>
      <c r="C285">
        <v>1000</v>
      </c>
      <c r="D285">
        <v>10</v>
      </c>
      <c r="E285">
        <v>10</v>
      </c>
      <c r="F285" t="s">
        <v>216</v>
      </c>
      <c r="G285">
        <v>242</v>
      </c>
    </row>
    <row r="286" spans="1:7">
      <c r="A286" t="s">
        <v>663</v>
      </c>
      <c r="B286" t="s">
        <v>664</v>
      </c>
      <c r="C286">
        <v>900</v>
      </c>
      <c r="D286">
        <v>10</v>
      </c>
      <c r="E286">
        <v>9</v>
      </c>
      <c r="F286" t="s">
        <v>216</v>
      </c>
      <c r="G286">
        <v>241.66666666666666</v>
      </c>
    </row>
    <row r="287" spans="1:7">
      <c r="A287" t="s">
        <v>666</v>
      </c>
      <c r="B287" t="s">
        <v>667</v>
      </c>
      <c r="C287">
        <v>900</v>
      </c>
      <c r="D287">
        <v>10</v>
      </c>
      <c r="E287">
        <v>9</v>
      </c>
      <c r="F287" t="s">
        <v>216</v>
      </c>
      <c r="G287">
        <v>241.66666666666666</v>
      </c>
    </row>
    <row r="288" spans="1:7">
      <c r="A288" t="s">
        <v>668</v>
      </c>
      <c r="B288" t="s">
        <v>669</v>
      </c>
      <c r="C288">
        <v>900</v>
      </c>
      <c r="D288">
        <v>10</v>
      </c>
      <c r="E288">
        <v>9</v>
      </c>
      <c r="F288" t="s">
        <v>216</v>
      </c>
      <c r="G288">
        <v>241.66666666666666</v>
      </c>
    </row>
    <row r="289" spans="1:7">
      <c r="A289" t="s">
        <v>670</v>
      </c>
      <c r="B289" t="s">
        <v>671</v>
      </c>
      <c r="C289">
        <v>900</v>
      </c>
      <c r="D289">
        <v>10</v>
      </c>
      <c r="E289">
        <v>9</v>
      </c>
      <c r="F289" t="s">
        <v>216</v>
      </c>
      <c r="G289">
        <v>241.66666666666666</v>
      </c>
    </row>
    <row r="290" spans="1:7">
      <c r="A290" t="s">
        <v>899</v>
      </c>
      <c r="B290" t="s">
        <v>1577</v>
      </c>
      <c r="C290">
        <v>900</v>
      </c>
      <c r="D290">
        <v>10</v>
      </c>
      <c r="E290">
        <v>9</v>
      </c>
      <c r="F290" t="s">
        <v>216</v>
      </c>
      <c r="G290">
        <v>241.66666666666666</v>
      </c>
    </row>
    <row r="291" spans="1:7">
      <c r="A291" t="s">
        <v>893</v>
      </c>
      <c r="B291" t="s">
        <v>1578</v>
      </c>
      <c r="C291">
        <v>900</v>
      </c>
      <c r="D291">
        <v>10</v>
      </c>
      <c r="E291">
        <v>9</v>
      </c>
      <c r="F291" t="s">
        <v>216</v>
      </c>
      <c r="G291">
        <v>241.66666666666666</v>
      </c>
    </row>
    <row r="292" spans="1:7">
      <c r="A292" t="s">
        <v>881</v>
      </c>
      <c r="B292" t="s">
        <v>1603</v>
      </c>
      <c r="C292">
        <v>900</v>
      </c>
      <c r="D292">
        <v>10</v>
      </c>
      <c r="E292">
        <v>9</v>
      </c>
      <c r="F292" t="s">
        <v>216</v>
      </c>
      <c r="G292">
        <v>241.66666666666666</v>
      </c>
    </row>
    <row r="293" spans="1:7">
      <c r="A293" t="s">
        <v>871</v>
      </c>
      <c r="B293" t="s">
        <v>1605</v>
      </c>
      <c r="C293">
        <v>900</v>
      </c>
      <c r="D293">
        <v>10</v>
      </c>
      <c r="E293">
        <v>9</v>
      </c>
      <c r="F293" t="s">
        <v>216</v>
      </c>
      <c r="G293">
        <v>241.66666666666666</v>
      </c>
    </row>
    <row r="294" spans="1:7">
      <c r="A294" t="s">
        <v>755</v>
      </c>
      <c r="B294" t="s">
        <v>1622</v>
      </c>
      <c r="C294">
        <v>1800</v>
      </c>
      <c r="D294">
        <v>6</v>
      </c>
      <c r="E294">
        <v>10.8</v>
      </c>
      <c r="F294" t="s">
        <v>216</v>
      </c>
      <c r="G294">
        <v>145.83333333333334</v>
      </c>
    </row>
    <row r="295" spans="1:7">
      <c r="A295" t="s">
        <v>753</v>
      </c>
      <c r="B295" t="s">
        <v>1581</v>
      </c>
      <c r="C295">
        <v>1000</v>
      </c>
      <c r="D295">
        <v>10</v>
      </c>
      <c r="E295">
        <v>10</v>
      </c>
      <c r="F295" t="s">
        <v>216</v>
      </c>
      <c r="G295">
        <v>229.16666666666666</v>
      </c>
    </row>
    <row r="296" spans="1:7">
      <c r="A296" t="s">
        <v>743</v>
      </c>
      <c r="B296" t="s">
        <v>1623</v>
      </c>
      <c r="C296">
        <v>1800</v>
      </c>
      <c r="D296">
        <v>6</v>
      </c>
      <c r="E296">
        <v>10.8</v>
      </c>
      <c r="F296" t="s">
        <v>216</v>
      </c>
      <c r="G296">
        <v>145.83333333333334</v>
      </c>
    </row>
    <row r="297" spans="1:7">
      <c r="A297" t="s">
        <v>741</v>
      </c>
      <c r="B297" t="s">
        <v>1585</v>
      </c>
      <c r="C297">
        <v>1000</v>
      </c>
      <c r="D297">
        <v>10</v>
      </c>
      <c r="E297">
        <v>10</v>
      </c>
      <c r="F297" t="s">
        <v>216</v>
      </c>
      <c r="G297">
        <v>229.16666666666666</v>
      </c>
    </row>
    <row r="298" spans="1:7">
      <c r="A298" t="s">
        <v>771</v>
      </c>
      <c r="B298" t="s">
        <v>1624</v>
      </c>
      <c r="C298">
        <v>1800</v>
      </c>
      <c r="D298">
        <v>6</v>
      </c>
      <c r="E298">
        <v>10.8</v>
      </c>
      <c r="F298" t="s">
        <v>216</v>
      </c>
      <c r="G298">
        <v>145.83333333333334</v>
      </c>
    </row>
    <row r="299" spans="1:7">
      <c r="A299" t="s">
        <v>769</v>
      </c>
      <c r="B299" t="s">
        <v>1587</v>
      </c>
      <c r="C299">
        <v>1000</v>
      </c>
      <c r="D299">
        <v>10</v>
      </c>
      <c r="E299">
        <v>10</v>
      </c>
      <c r="F299" t="s">
        <v>216</v>
      </c>
      <c r="G299">
        <v>229.16666666666666</v>
      </c>
    </row>
    <row r="300" spans="1:7">
      <c r="A300" t="s">
        <v>763</v>
      </c>
      <c r="B300" t="s">
        <v>1625</v>
      </c>
      <c r="C300">
        <v>1800</v>
      </c>
      <c r="D300">
        <v>6</v>
      </c>
      <c r="E300">
        <v>10.8</v>
      </c>
      <c r="F300" t="s">
        <v>216</v>
      </c>
      <c r="G300">
        <v>145.83333333333334</v>
      </c>
    </row>
    <row r="301" spans="1:7">
      <c r="A301" t="s">
        <v>761</v>
      </c>
      <c r="B301" t="s">
        <v>1589</v>
      </c>
      <c r="C301">
        <v>1000</v>
      </c>
      <c r="D301">
        <v>10</v>
      </c>
      <c r="E301">
        <v>10</v>
      </c>
      <c r="F301" t="s">
        <v>216</v>
      </c>
      <c r="G301">
        <v>229.16666666666666</v>
      </c>
    </row>
    <row r="302" spans="1:7">
      <c r="A302" t="s">
        <v>214</v>
      </c>
      <c r="B302" t="s">
        <v>1626</v>
      </c>
      <c r="C302">
        <v>1800</v>
      </c>
      <c r="D302">
        <v>6</v>
      </c>
      <c r="E302">
        <v>10.8</v>
      </c>
      <c r="F302" t="s">
        <v>216</v>
      </c>
      <c r="G302">
        <v>145.83333333333334</v>
      </c>
    </row>
    <row r="303" spans="1:7">
      <c r="A303" t="s">
        <v>515</v>
      </c>
      <c r="B303" t="s">
        <v>516</v>
      </c>
      <c r="C303">
        <v>1800</v>
      </c>
      <c r="D303">
        <v>6</v>
      </c>
      <c r="E303">
        <v>10.8</v>
      </c>
      <c r="F303" t="s">
        <v>216</v>
      </c>
      <c r="G303">
        <v>145.83333333333334</v>
      </c>
    </row>
    <row r="304" spans="1:7">
      <c r="A304" t="s">
        <v>517</v>
      </c>
      <c r="B304" t="s">
        <v>518</v>
      </c>
      <c r="C304">
        <v>1800</v>
      </c>
      <c r="D304">
        <v>6</v>
      </c>
      <c r="E304">
        <v>10.8</v>
      </c>
      <c r="F304" t="s">
        <v>216</v>
      </c>
      <c r="G304">
        <v>145.83333333333334</v>
      </c>
    </row>
    <row r="305" spans="1:7">
      <c r="A305" t="s">
        <v>885</v>
      </c>
      <c r="B305" t="s">
        <v>886</v>
      </c>
      <c r="C305">
        <v>1800</v>
      </c>
      <c r="D305">
        <v>6</v>
      </c>
      <c r="E305">
        <v>10.8</v>
      </c>
      <c r="F305" t="s">
        <v>216</v>
      </c>
      <c r="G305">
        <v>145.82</v>
      </c>
    </row>
    <row r="306" spans="1:7">
      <c r="A306" t="s">
        <v>887</v>
      </c>
      <c r="B306" t="s">
        <v>1627</v>
      </c>
      <c r="C306">
        <v>1800</v>
      </c>
      <c r="D306">
        <v>6</v>
      </c>
      <c r="E306">
        <v>10.8</v>
      </c>
      <c r="F306" t="s">
        <v>216</v>
      </c>
      <c r="G306">
        <v>145.83333333333334</v>
      </c>
    </row>
    <row r="307" spans="1:7">
      <c r="A307" t="s">
        <v>859</v>
      </c>
      <c r="B307" t="s">
        <v>860</v>
      </c>
      <c r="C307">
        <v>1800</v>
      </c>
      <c r="D307">
        <v>6</v>
      </c>
      <c r="E307">
        <v>10.8</v>
      </c>
      <c r="F307" t="s">
        <v>216</v>
      </c>
      <c r="G307">
        <v>145.83333333333334</v>
      </c>
    </row>
    <row r="308" spans="1:7">
      <c r="A308" t="s">
        <v>861</v>
      </c>
      <c r="B308" t="s">
        <v>862</v>
      </c>
      <c r="C308">
        <v>1800</v>
      </c>
      <c r="D308">
        <v>6</v>
      </c>
      <c r="E308">
        <v>10.8</v>
      </c>
      <c r="F308" t="s">
        <v>216</v>
      </c>
      <c r="G308">
        <v>145.83333333333334</v>
      </c>
    </row>
    <row r="309" spans="1:7" ht="36">
      <c r="A309" t="s">
        <v>1628</v>
      </c>
      <c r="B309" t="s">
        <v>1099</v>
      </c>
      <c r="C309">
        <v>1500</v>
      </c>
      <c r="D309">
        <v>10</v>
      </c>
      <c r="E309">
        <v>15</v>
      </c>
      <c r="F309" t="s">
        <v>216</v>
      </c>
      <c r="G309">
        <v>145.83333333333334</v>
      </c>
    </row>
    <row r="310" spans="1:7" ht="36">
      <c r="A310" t="s">
        <v>1629</v>
      </c>
      <c r="B310" t="s">
        <v>1110</v>
      </c>
      <c r="C310">
        <v>1500</v>
      </c>
      <c r="D310">
        <v>10</v>
      </c>
      <c r="E310">
        <v>15</v>
      </c>
      <c r="F310" t="s">
        <v>216</v>
      </c>
      <c r="G310">
        <v>145.83333333333334</v>
      </c>
    </row>
    <row r="311" spans="1:7" ht="36">
      <c r="A311" t="s">
        <v>1630</v>
      </c>
      <c r="B311" t="s">
        <v>1109</v>
      </c>
      <c r="C311">
        <v>1500</v>
      </c>
      <c r="D311">
        <v>10</v>
      </c>
      <c r="E311">
        <v>15</v>
      </c>
      <c r="F311" t="s">
        <v>216</v>
      </c>
      <c r="G311">
        <v>145.83333333333334</v>
      </c>
    </row>
    <row r="312" spans="1:7" ht="36">
      <c r="A312" t="s">
        <v>1631</v>
      </c>
      <c r="B312" t="s">
        <v>1108</v>
      </c>
      <c r="C312">
        <v>1500</v>
      </c>
      <c r="D312">
        <v>10</v>
      </c>
      <c r="E312">
        <v>15</v>
      </c>
      <c r="F312" t="s">
        <v>216</v>
      </c>
      <c r="G312">
        <v>145.83333333333334</v>
      </c>
    </row>
    <row r="313" spans="1:7">
      <c r="A313" t="s">
        <v>1174</v>
      </c>
      <c r="B313" t="s">
        <v>969</v>
      </c>
      <c r="C313">
        <v>775</v>
      </c>
      <c r="D313">
        <v>10</v>
      </c>
      <c r="E313">
        <v>7.75</v>
      </c>
      <c r="F313" t="s">
        <v>216</v>
      </c>
      <c r="G313">
        <v>208.33333333333334</v>
      </c>
    </row>
    <row r="314" spans="1:7">
      <c r="A314" t="s">
        <v>1173</v>
      </c>
      <c r="B314" t="s">
        <v>970</v>
      </c>
      <c r="C314">
        <v>775</v>
      </c>
      <c r="D314">
        <v>10</v>
      </c>
      <c r="E314">
        <v>7.75</v>
      </c>
      <c r="F314" t="s">
        <v>216</v>
      </c>
      <c r="G314">
        <v>208.33333333333334</v>
      </c>
    </row>
    <row r="315" spans="1:7">
      <c r="A315" t="s">
        <v>1172</v>
      </c>
      <c r="B315" t="s">
        <v>971</v>
      </c>
      <c r="C315">
        <v>775</v>
      </c>
      <c r="D315">
        <v>10</v>
      </c>
      <c r="E315">
        <v>7.75</v>
      </c>
      <c r="F315" t="s">
        <v>216</v>
      </c>
      <c r="G315">
        <v>208.33333333333334</v>
      </c>
    </row>
    <row r="316" spans="1:7">
      <c r="A316" t="s">
        <v>1169</v>
      </c>
      <c r="B316" t="s">
        <v>972</v>
      </c>
      <c r="C316">
        <v>775</v>
      </c>
      <c r="D316">
        <v>10</v>
      </c>
      <c r="E316">
        <v>7.75</v>
      </c>
      <c r="F316" t="s">
        <v>216</v>
      </c>
      <c r="G316">
        <v>208.33333333333334</v>
      </c>
    </row>
    <row r="317" spans="1:7">
      <c r="A317" t="s">
        <v>1417</v>
      </c>
      <c r="B317" t="s">
        <v>1418</v>
      </c>
      <c r="C317">
        <v>120</v>
      </c>
      <c r="D317">
        <v>48</v>
      </c>
      <c r="E317">
        <v>5.76</v>
      </c>
      <c r="F317" t="s">
        <v>1408</v>
      </c>
      <c r="G317">
        <v>72</v>
      </c>
    </row>
    <row r="318" spans="1:7">
      <c r="A318" t="s">
        <v>1415</v>
      </c>
      <c r="B318" t="s">
        <v>1416</v>
      </c>
      <c r="C318">
        <v>150</v>
      </c>
      <c r="D318">
        <v>48</v>
      </c>
      <c r="E318">
        <v>7.2</v>
      </c>
      <c r="F318" t="s">
        <v>1408</v>
      </c>
      <c r="G318">
        <v>68.75</v>
      </c>
    </row>
    <row r="319" spans="1:7">
      <c r="A319" t="s">
        <v>1441</v>
      </c>
      <c r="B319" t="s">
        <v>1442</v>
      </c>
      <c r="C319">
        <v>400</v>
      </c>
      <c r="D319">
        <v>21</v>
      </c>
      <c r="E319">
        <v>8.4</v>
      </c>
      <c r="F319" t="s">
        <v>1408</v>
      </c>
      <c r="G319">
        <v>0</v>
      </c>
    </row>
    <row r="320" spans="1:7">
      <c r="A320" t="s">
        <v>1425</v>
      </c>
      <c r="B320" t="s">
        <v>1426</v>
      </c>
      <c r="C320">
        <v>600</v>
      </c>
      <c r="D320">
        <v>12</v>
      </c>
      <c r="E320">
        <v>7.2</v>
      </c>
      <c r="F320" t="s">
        <v>1408</v>
      </c>
      <c r="G320">
        <v>0</v>
      </c>
    </row>
    <row r="321" spans="1:7">
      <c r="A321" t="s">
        <v>1443</v>
      </c>
      <c r="B321" t="s">
        <v>1444</v>
      </c>
      <c r="C321">
        <v>1000</v>
      </c>
      <c r="D321">
        <v>10</v>
      </c>
      <c r="E321">
        <v>10</v>
      </c>
      <c r="F321" t="s">
        <v>1408</v>
      </c>
      <c r="G321">
        <v>0</v>
      </c>
    </row>
    <row r="322" spans="1:7">
      <c r="A322" t="s">
        <v>1409</v>
      </c>
      <c r="B322" t="s">
        <v>1410</v>
      </c>
      <c r="C322">
        <v>150</v>
      </c>
      <c r="D322">
        <v>48</v>
      </c>
      <c r="E322">
        <v>7.2</v>
      </c>
      <c r="F322" t="s">
        <v>1408</v>
      </c>
      <c r="G322">
        <v>68.75</v>
      </c>
    </row>
    <row r="323" spans="1:7">
      <c r="A323" t="s">
        <v>1445</v>
      </c>
      <c r="B323" t="s">
        <v>1446</v>
      </c>
      <c r="C323">
        <v>400</v>
      </c>
      <c r="D323">
        <v>21</v>
      </c>
      <c r="E323">
        <v>8.4</v>
      </c>
      <c r="F323" t="s">
        <v>1408</v>
      </c>
      <c r="G323">
        <v>0</v>
      </c>
    </row>
    <row r="324" spans="1:7">
      <c r="A324" t="s">
        <v>1423</v>
      </c>
      <c r="B324" t="s">
        <v>1424</v>
      </c>
      <c r="C324">
        <v>600</v>
      </c>
      <c r="D324">
        <v>12</v>
      </c>
      <c r="E324">
        <v>7.2</v>
      </c>
      <c r="F324" t="s">
        <v>1408</v>
      </c>
      <c r="G324">
        <v>0</v>
      </c>
    </row>
    <row r="325" spans="1:7">
      <c r="A325" t="s">
        <v>1439</v>
      </c>
      <c r="B325" t="s">
        <v>1440</v>
      </c>
      <c r="C325">
        <v>900</v>
      </c>
      <c r="D325">
        <v>10</v>
      </c>
      <c r="E325">
        <v>9</v>
      </c>
      <c r="F325" t="s">
        <v>1408</v>
      </c>
      <c r="G325">
        <v>0</v>
      </c>
    </row>
    <row r="326" spans="1:7">
      <c r="A326" t="s">
        <v>1406</v>
      </c>
      <c r="B326" t="s">
        <v>1407</v>
      </c>
      <c r="C326">
        <v>150</v>
      </c>
      <c r="D326">
        <v>48</v>
      </c>
      <c r="E326">
        <v>7.2</v>
      </c>
      <c r="F326" t="s">
        <v>1408</v>
      </c>
      <c r="G326">
        <v>68.75</v>
      </c>
    </row>
    <row r="327" spans="1:7">
      <c r="A327" t="s">
        <v>1457</v>
      </c>
      <c r="B327" t="s">
        <v>1458</v>
      </c>
      <c r="C327">
        <v>400</v>
      </c>
      <c r="D327">
        <v>21</v>
      </c>
      <c r="E327">
        <v>8.4</v>
      </c>
      <c r="F327" t="s">
        <v>1408</v>
      </c>
      <c r="G327">
        <v>0</v>
      </c>
    </row>
    <row r="328" spans="1:7">
      <c r="A328" t="s">
        <v>1421</v>
      </c>
      <c r="B328" t="s">
        <v>1422</v>
      </c>
      <c r="C328">
        <v>600</v>
      </c>
      <c r="D328">
        <v>12</v>
      </c>
      <c r="E328">
        <v>7.2</v>
      </c>
      <c r="F328" t="s">
        <v>1408</v>
      </c>
      <c r="G328">
        <v>0</v>
      </c>
    </row>
    <row r="329" spans="1:7">
      <c r="A329" t="s">
        <v>1437</v>
      </c>
      <c r="B329" t="s">
        <v>1438</v>
      </c>
      <c r="C329">
        <v>900</v>
      </c>
      <c r="D329">
        <v>10</v>
      </c>
      <c r="E329">
        <v>9</v>
      </c>
      <c r="F329" t="s">
        <v>1408</v>
      </c>
      <c r="G329">
        <v>0</v>
      </c>
    </row>
    <row r="330" spans="1:7">
      <c r="A330" t="s">
        <v>1413</v>
      </c>
      <c r="B330" t="s">
        <v>1414</v>
      </c>
      <c r="C330">
        <v>150</v>
      </c>
      <c r="D330">
        <v>48</v>
      </c>
      <c r="E330">
        <v>7.2</v>
      </c>
      <c r="F330" t="s">
        <v>1408</v>
      </c>
      <c r="G330">
        <v>68.75</v>
      </c>
    </row>
    <row r="331" spans="1:7">
      <c r="A331" t="s">
        <v>1453</v>
      </c>
      <c r="B331" t="s">
        <v>1454</v>
      </c>
      <c r="C331">
        <v>400</v>
      </c>
      <c r="D331">
        <v>21</v>
      </c>
      <c r="E331">
        <v>8.4</v>
      </c>
      <c r="F331" t="s">
        <v>1408</v>
      </c>
      <c r="G331">
        <v>0</v>
      </c>
    </row>
    <row r="332" spans="1:7">
      <c r="A332" t="s">
        <v>1404</v>
      </c>
      <c r="B332" t="s">
        <v>1405</v>
      </c>
      <c r="C332">
        <v>600</v>
      </c>
      <c r="D332">
        <v>12</v>
      </c>
      <c r="E332">
        <v>7.2</v>
      </c>
      <c r="F332" t="s">
        <v>1408</v>
      </c>
      <c r="G332">
        <v>0</v>
      </c>
    </row>
    <row r="333" spans="1:7">
      <c r="A333" t="s">
        <v>1433</v>
      </c>
      <c r="B333" t="s">
        <v>1434</v>
      </c>
      <c r="C333">
        <v>900</v>
      </c>
      <c r="D333">
        <v>10</v>
      </c>
      <c r="E333">
        <v>9</v>
      </c>
      <c r="F333" t="s">
        <v>1408</v>
      </c>
      <c r="G333">
        <v>0</v>
      </c>
    </row>
    <row r="334" spans="1:7">
      <c r="A334" t="s">
        <v>1451</v>
      </c>
      <c r="B334" t="s">
        <v>1452</v>
      </c>
      <c r="C334">
        <v>400</v>
      </c>
      <c r="D334">
        <v>21</v>
      </c>
      <c r="E334">
        <v>8.4</v>
      </c>
      <c r="F334" t="s">
        <v>1408</v>
      </c>
      <c r="G334">
        <v>0</v>
      </c>
    </row>
    <row r="335" spans="1:7">
      <c r="A335" t="s">
        <v>1419</v>
      </c>
      <c r="B335" t="s">
        <v>1420</v>
      </c>
      <c r="C335">
        <v>600</v>
      </c>
      <c r="D335">
        <v>12</v>
      </c>
      <c r="E335">
        <v>7.2</v>
      </c>
      <c r="F335" t="s">
        <v>1408</v>
      </c>
      <c r="G335">
        <v>0</v>
      </c>
    </row>
    <row r="336" spans="1:7">
      <c r="A336" t="s">
        <v>1427</v>
      </c>
      <c r="B336" t="s">
        <v>1428</v>
      </c>
      <c r="C336">
        <v>900</v>
      </c>
      <c r="D336">
        <v>10</v>
      </c>
      <c r="E336">
        <v>9</v>
      </c>
      <c r="F336" t="s">
        <v>1408</v>
      </c>
      <c r="G336">
        <v>0</v>
      </c>
    </row>
    <row r="337" spans="1:7">
      <c r="A337" t="s">
        <v>1556</v>
      </c>
      <c r="B337" t="s">
        <v>1557</v>
      </c>
      <c r="C337">
        <v>1000</v>
      </c>
      <c r="D337">
        <v>10</v>
      </c>
      <c r="E337">
        <v>10</v>
      </c>
      <c r="F337" t="s">
        <v>665</v>
      </c>
      <c r="G337">
        <v>158.33333333333334</v>
      </c>
    </row>
    <row r="338" spans="1:7">
      <c r="A338" t="s">
        <v>1632</v>
      </c>
      <c r="B338" t="s">
        <v>1633</v>
      </c>
      <c r="C338">
        <v>1800</v>
      </c>
      <c r="D338">
        <v>6</v>
      </c>
      <c r="E338">
        <v>10.8</v>
      </c>
      <c r="F338" t="s">
        <v>665</v>
      </c>
      <c r="G338">
        <v>83.333333333333329</v>
      </c>
    </row>
    <row r="339" spans="1:7">
      <c r="A339" t="s">
        <v>1634</v>
      </c>
      <c r="B339" t="s">
        <v>1635</v>
      </c>
      <c r="C339">
        <v>1800</v>
      </c>
      <c r="D339">
        <v>6</v>
      </c>
      <c r="E339">
        <v>10.8</v>
      </c>
      <c r="F339" t="s">
        <v>665</v>
      </c>
      <c r="G339">
        <v>83.333333333333329</v>
      </c>
    </row>
    <row r="340" spans="1:7">
      <c r="A340" t="s">
        <v>257</v>
      </c>
      <c r="B340" t="s">
        <v>258</v>
      </c>
      <c r="C340">
        <v>1800</v>
      </c>
      <c r="D340">
        <v>6</v>
      </c>
      <c r="E340">
        <v>10.8</v>
      </c>
      <c r="F340" t="s">
        <v>665</v>
      </c>
      <c r="G340">
        <v>83.333333333333329</v>
      </c>
    </row>
    <row r="341" spans="1:7">
      <c r="A341" t="s">
        <v>259</v>
      </c>
      <c r="B341" t="s">
        <v>260</v>
      </c>
      <c r="C341">
        <v>1800</v>
      </c>
      <c r="D341">
        <v>6</v>
      </c>
      <c r="E341">
        <v>10.8</v>
      </c>
      <c r="F341" t="s">
        <v>665</v>
      </c>
      <c r="G341">
        <v>83.333333333333329</v>
      </c>
    </row>
    <row r="342" spans="1:7">
      <c r="A342" t="s">
        <v>214</v>
      </c>
      <c r="B342" t="s">
        <v>215</v>
      </c>
      <c r="C342">
        <v>1800</v>
      </c>
      <c r="D342">
        <v>6</v>
      </c>
      <c r="E342">
        <v>10.8</v>
      </c>
      <c r="F342" t="s">
        <v>665</v>
      </c>
      <c r="G342">
        <v>83.333333333333329</v>
      </c>
    </row>
    <row r="343" spans="1:7">
      <c r="A343" t="s">
        <v>1548</v>
      </c>
      <c r="B343" t="s">
        <v>1549</v>
      </c>
      <c r="C343">
        <v>1000</v>
      </c>
      <c r="D343">
        <v>10</v>
      </c>
      <c r="E343">
        <v>10</v>
      </c>
      <c r="F343" t="s">
        <v>665</v>
      </c>
      <c r="G343">
        <v>154.16666666666666</v>
      </c>
    </row>
    <row r="344" spans="1:7">
      <c r="A344" t="s">
        <v>1636</v>
      </c>
      <c r="B344" t="s">
        <v>1637</v>
      </c>
      <c r="C344">
        <v>1800</v>
      </c>
      <c r="D344">
        <v>6</v>
      </c>
      <c r="E344">
        <v>10.8</v>
      </c>
      <c r="F344" t="s">
        <v>665</v>
      </c>
      <c r="G344">
        <v>83.333333333333329</v>
      </c>
    </row>
    <row r="345" spans="1:7">
      <c r="A345" t="s">
        <v>1542</v>
      </c>
      <c r="B345" t="s">
        <v>1543</v>
      </c>
      <c r="C345">
        <v>1000</v>
      </c>
      <c r="D345">
        <v>10</v>
      </c>
      <c r="E345">
        <v>10</v>
      </c>
      <c r="F345" t="s">
        <v>665</v>
      </c>
      <c r="G345">
        <v>154.16666666666666</v>
      </c>
    </row>
    <row r="346" spans="1:7">
      <c r="A346" t="s">
        <v>1638</v>
      </c>
      <c r="B346" t="s">
        <v>1639</v>
      </c>
      <c r="C346">
        <v>1800</v>
      </c>
      <c r="D346">
        <v>6</v>
      </c>
      <c r="E346">
        <v>10.8</v>
      </c>
      <c r="F346" t="s">
        <v>665</v>
      </c>
      <c r="G346">
        <v>83.333333333333329</v>
      </c>
    </row>
    <row r="347" spans="1:7">
      <c r="A347" t="s">
        <v>1540</v>
      </c>
      <c r="B347" t="s">
        <v>1541</v>
      </c>
      <c r="C347">
        <v>400</v>
      </c>
      <c r="D347">
        <v>24</v>
      </c>
      <c r="E347">
        <v>9.6</v>
      </c>
      <c r="F347" t="s">
        <v>665</v>
      </c>
      <c r="G347">
        <v>83.333333333333329</v>
      </c>
    </row>
    <row r="348" spans="1:7">
      <c r="A348" t="s">
        <v>1544</v>
      </c>
      <c r="B348" t="s">
        <v>1545</v>
      </c>
      <c r="C348">
        <v>200</v>
      </c>
      <c r="D348">
        <v>24</v>
      </c>
      <c r="E348">
        <v>4.8</v>
      </c>
      <c r="F348" t="s">
        <v>665</v>
      </c>
      <c r="G348">
        <v>1</v>
      </c>
    </row>
    <row r="349" spans="1:7">
      <c r="A349" t="s">
        <v>1546</v>
      </c>
      <c r="B349" t="s">
        <v>1547</v>
      </c>
      <c r="C349">
        <v>400</v>
      </c>
      <c r="D349">
        <v>24</v>
      </c>
      <c r="E349">
        <v>9.6</v>
      </c>
      <c r="F349" t="s">
        <v>665</v>
      </c>
      <c r="G349">
        <v>83.333333333333329</v>
      </c>
    </row>
    <row r="350" spans="1:7">
      <c r="A350" t="s">
        <v>1550</v>
      </c>
      <c r="B350" t="s">
        <v>1551</v>
      </c>
      <c r="C350">
        <v>400</v>
      </c>
      <c r="D350">
        <v>24</v>
      </c>
      <c r="E350">
        <v>9.6</v>
      </c>
      <c r="F350" t="s">
        <v>665</v>
      </c>
      <c r="G350">
        <v>83.333333333333329</v>
      </c>
    </row>
    <row r="351" spans="1:7">
      <c r="A351" t="s">
        <v>1554</v>
      </c>
      <c r="B351" t="s">
        <v>1555</v>
      </c>
      <c r="C351">
        <v>400</v>
      </c>
      <c r="D351">
        <v>24</v>
      </c>
      <c r="E351">
        <v>9.6</v>
      </c>
      <c r="F351" t="s">
        <v>665</v>
      </c>
      <c r="G351">
        <v>83.333333333333329</v>
      </c>
    </row>
    <row r="352" spans="1:7">
      <c r="A352" t="s">
        <v>462</v>
      </c>
      <c r="B352" t="s">
        <v>463</v>
      </c>
      <c r="C352">
        <v>400</v>
      </c>
      <c r="D352">
        <v>24</v>
      </c>
      <c r="E352">
        <v>9.6</v>
      </c>
      <c r="F352" t="s">
        <v>665</v>
      </c>
      <c r="G352">
        <v>83.333333333333329</v>
      </c>
    </row>
    <row r="353" spans="1:7">
      <c r="A353" t="s">
        <v>1450</v>
      </c>
      <c r="B353" t="s">
        <v>1640</v>
      </c>
      <c r="C353">
        <v>400</v>
      </c>
      <c r="D353">
        <v>21</v>
      </c>
      <c r="E353">
        <v>8.4</v>
      </c>
      <c r="F353" t="s">
        <v>665</v>
      </c>
      <c r="G353">
        <v>0</v>
      </c>
    </row>
    <row r="354" spans="1:7">
      <c r="A354" t="s">
        <v>1431</v>
      </c>
      <c r="B354" t="s">
        <v>1432</v>
      </c>
      <c r="C354">
        <v>900</v>
      </c>
      <c r="D354">
        <v>10</v>
      </c>
      <c r="E354">
        <v>9</v>
      </c>
      <c r="F354" t="s">
        <v>665</v>
      </c>
      <c r="G354">
        <v>154.16666666666666</v>
      </c>
    </row>
    <row r="355" spans="1:7">
      <c r="A355" t="s">
        <v>1443</v>
      </c>
      <c r="B355" t="s">
        <v>1444</v>
      </c>
      <c r="C355">
        <v>1000</v>
      </c>
      <c r="D355">
        <v>10</v>
      </c>
      <c r="E355">
        <v>10</v>
      </c>
      <c r="F355" t="s">
        <v>665</v>
      </c>
      <c r="G355">
        <v>154.16666666666666</v>
      </c>
    </row>
    <row r="356" spans="1:7">
      <c r="A356" t="s">
        <v>1439</v>
      </c>
      <c r="B356" t="s">
        <v>1440</v>
      </c>
      <c r="C356">
        <v>900</v>
      </c>
      <c r="D356">
        <v>10</v>
      </c>
      <c r="E356">
        <v>9</v>
      </c>
      <c r="F356" t="s">
        <v>665</v>
      </c>
      <c r="G356">
        <v>154.16666666666666</v>
      </c>
    </row>
    <row r="357" spans="1:7">
      <c r="A357" t="s">
        <v>1398</v>
      </c>
      <c r="B357" t="s">
        <v>1399</v>
      </c>
      <c r="C357">
        <v>1000</v>
      </c>
      <c r="D357">
        <v>10</v>
      </c>
      <c r="E357">
        <v>10</v>
      </c>
      <c r="F357" t="s">
        <v>665</v>
      </c>
      <c r="G357">
        <v>0</v>
      </c>
    </row>
    <row r="358" spans="1:7">
      <c r="A358" t="s">
        <v>1406</v>
      </c>
      <c r="B358" t="s">
        <v>1407</v>
      </c>
      <c r="C358">
        <v>150</v>
      </c>
      <c r="D358">
        <v>48</v>
      </c>
      <c r="E358">
        <v>7.2</v>
      </c>
      <c r="F358" t="s">
        <v>665</v>
      </c>
      <c r="G358">
        <v>0</v>
      </c>
    </row>
    <row r="359" spans="1:7">
      <c r="A359" t="s">
        <v>1457</v>
      </c>
      <c r="B359" t="s">
        <v>1458</v>
      </c>
      <c r="C359">
        <v>400</v>
      </c>
      <c r="D359">
        <v>21</v>
      </c>
      <c r="E359">
        <v>8.4</v>
      </c>
      <c r="F359" t="s">
        <v>665</v>
      </c>
      <c r="G359">
        <v>0</v>
      </c>
    </row>
    <row r="360" spans="1:7">
      <c r="A360" t="s">
        <v>1421</v>
      </c>
      <c r="B360" t="s">
        <v>1422</v>
      </c>
      <c r="C360">
        <v>600</v>
      </c>
      <c r="D360">
        <v>12</v>
      </c>
      <c r="E360">
        <v>7.2</v>
      </c>
      <c r="F360" t="s">
        <v>665</v>
      </c>
      <c r="G360">
        <v>0</v>
      </c>
    </row>
    <row r="361" spans="1:7">
      <c r="A361" t="s">
        <v>1437</v>
      </c>
      <c r="B361" t="s">
        <v>1438</v>
      </c>
      <c r="C361">
        <v>900</v>
      </c>
      <c r="D361">
        <v>10</v>
      </c>
      <c r="E361">
        <v>9</v>
      </c>
      <c r="F361" t="s">
        <v>665</v>
      </c>
      <c r="G361">
        <v>154.16666666666666</v>
      </c>
    </row>
    <row r="362" spans="1:7">
      <c r="A362" t="s">
        <v>1396</v>
      </c>
      <c r="B362" t="s">
        <v>1397</v>
      </c>
      <c r="C362">
        <v>1000</v>
      </c>
      <c r="D362">
        <v>10</v>
      </c>
      <c r="E362">
        <v>10</v>
      </c>
      <c r="F362" t="s">
        <v>665</v>
      </c>
      <c r="G362">
        <v>0</v>
      </c>
    </row>
    <row r="363" spans="1:7">
      <c r="A363" t="s">
        <v>1413</v>
      </c>
      <c r="B363" t="s">
        <v>1414</v>
      </c>
      <c r="C363">
        <v>150</v>
      </c>
      <c r="D363">
        <v>48</v>
      </c>
      <c r="E363">
        <v>7.2</v>
      </c>
      <c r="F363" t="s">
        <v>665</v>
      </c>
      <c r="G363">
        <v>0</v>
      </c>
    </row>
    <row r="364" spans="1:7">
      <c r="A364" t="s">
        <v>1453</v>
      </c>
      <c r="B364" t="s">
        <v>1454</v>
      </c>
      <c r="C364">
        <v>400</v>
      </c>
      <c r="D364">
        <v>21</v>
      </c>
      <c r="E364">
        <v>8.4</v>
      </c>
      <c r="F364" t="s">
        <v>665</v>
      </c>
      <c r="G364">
        <v>0</v>
      </c>
    </row>
    <row r="365" spans="1:7">
      <c r="A365" t="s">
        <v>1404</v>
      </c>
      <c r="B365" t="s">
        <v>1405</v>
      </c>
      <c r="C365">
        <v>600</v>
      </c>
      <c r="D365">
        <v>12</v>
      </c>
      <c r="E365">
        <v>7.2</v>
      </c>
      <c r="F365" t="s">
        <v>665</v>
      </c>
      <c r="G365">
        <v>0</v>
      </c>
    </row>
    <row r="366" spans="1:7">
      <c r="A366" t="s">
        <v>1433</v>
      </c>
      <c r="B366" t="s">
        <v>1434</v>
      </c>
      <c r="C366">
        <v>900</v>
      </c>
      <c r="D366">
        <v>10</v>
      </c>
      <c r="E366">
        <v>9</v>
      </c>
      <c r="F366" t="s">
        <v>665</v>
      </c>
      <c r="G366">
        <v>154.16666666666666</v>
      </c>
    </row>
    <row r="367" spans="1:7">
      <c r="A367" t="s">
        <v>1394</v>
      </c>
      <c r="B367" t="s">
        <v>1395</v>
      </c>
      <c r="C367">
        <v>1000</v>
      </c>
      <c r="D367">
        <v>10</v>
      </c>
      <c r="E367">
        <v>10</v>
      </c>
      <c r="F367" t="s">
        <v>665</v>
      </c>
      <c r="G367">
        <v>154.16666666666666</v>
      </c>
    </row>
    <row r="368" spans="1:7">
      <c r="A368" t="s">
        <v>1451</v>
      </c>
      <c r="B368" t="s">
        <v>1452</v>
      </c>
      <c r="C368">
        <v>400</v>
      </c>
      <c r="D368">
        <v>21</v>
      </c>
      <c r="E368">
        <v>8.4</v>
      </c>
      <c r="F368" t="s">
        <v>665</v>
      </c>
      <c r="G368">
        <v>0</v>
      </c>
    </row>
    <row r="369" spans="1:7">
      <c r="A369" t="s">
        <v>1419</v>
      </c>
      <c r="B369" t="s">
        <v>1420</v>
      </c>
      <c r="C369">
        <v>600</v>
      </c>
      <c r="D369">
        <v>12</v>
      </c>
      <c r="E369">
        <v>7.2</v>
      </c>
      <c r="F369" t="s">
        <v>665</v>
      </c>
      <c r="G369">
        <v>0</v>
      </c>
    </row>
    <row r="370" spans="1:7">
      <c r="A370" t="s">
        <v>1427</v>
      </c>
      <c r="B370" t="s">
        <v>1428</v>
      </c>
      <c r="C370">
        <v>900</v>
      </c>
      <c r="D370">
        <v>10</v>
      </c>
      <c r="E370">
        <v>9</v>
      </c>
      <c r="F370" t="s">
        <v>665</v>
      </c>
      <c r="G370">
        <v>154</v>
      </c>
    </row>
    <row r="371" spans="1:7">
      <c r="A371" t="s">
        <v>1392</v>
      </c>
      <c r="B371" t="s">
        <v>1393</v>
      </c>
      <c r="C371">
        <v>1000</v>
      </c>
      <c r="D371">
        <v>10</v>
      </c>
      <c r="E371">
        <v>10</v>
      </c>
      <c r="F371" t="s">
        <v>665</v>
      </c>
      <c r="G371">
        <v>154.16666666666666</v>
      </c>
    </row>
    <row r="372" spans="1:7">
      <c r="A372" t="s">
        <v>349</v>
      </c>
      <c r="B372" t="s">
        <v>350</v>
      </c>
      <c r="C372">
        <v>200</v>
      </c>
      <c r="D372">
        <v>24</v>
      </c>
      <c r="E372">
        <v>4.8</v>
      </c>
      <c r="F372" t="s">
        <v>665</v>
      </c>
      <c r="G372">
        <v>85.208333333333329</v>
      </c>
    </row>
    <row r="373" spans="1:7">
      <c r="A373" t="s">
        <v>1552</v>
      </c>
      <c r="B373" t="s">
        <v>1553</v>
      </c>
      <c r="C373">
        <v>1000</v>
      </c>
      <c r="D373">
        <v>10</v>
      </c>
      <c r="E373">
        <v>10</v>
      </c>
      <c r="F373" t="s">
        <v>665</v>
      </c>
      <c r="G373">
        <v>158.33333333333334</v>
      </c>
    </row>
    <row r="374" spans="1:7">
      <c r="A374" t="s">
        <v>458</v>
      </c>
      <c r="B374" t="s">
        <v>459</v>
      </c>
      <c r="C374">
        <v>200</v>
      </c>
      <c r="D374">
        <v>24</v>
      </c>
      <c r="E374">
        <v>4.8</v>
      </c>
      <c r="F374" t="s">
        <v>665</v>
      </c>
      <c r="G374">
        <v>85.208333333333329</v>
      </c>
    </row>
    <row r="375" spans="1:7">
      <c r="A375" t="s">
        <v>1558</v>
      </c>
      <c r="B375" t="s">
        <v>1559</v>
      </c>
      <c r="C375">
        <v>400</v>
      </c>
      <c r="D375">
        <v>24</v>
      </c>
      <c r="E375">
        <v>9.6</v>
      </c>
      <c r="F375" t="s">
        <v>665</v>
      </c>
      <c r="G375">
        <v>83.333333333333329</v>
      </c>
    </row>
    <row r="376" spans="1:7">
      <c r="A376" t="s">
        <v>1560</v>
      </c>
      <c r="B376" t="s">
        <v>1561</v>
      </c>
      <c r="C376">
        <v>1000</v>
      </c>
      <c r="D376">
        <v>10</v>
      </c>
      <c r="E376">
        <v>10</v>
      </c>
      <c r="F376" t="s">
        <v>665</v>
      </c>
      <c r="G376">
        <v>158.33333333333334</v>
      </c>
    </row>
    <row r="377" spans="1:7">
      <c r="A377" t="s">
        <v>1641</v>
      </c>
      <c r="B377" t="s">
        <v>1642</v>
      </c>
      <c r="C377">
        <v>1800</v>
      </c>
      <c r="D377">
        <v>6</v>
      </c>
      <c r="E377">
        <v>10.8</v>
      </c>
      <c r="F377" t="s">
        <v>665</v>
      </c>
      <c r="G377">
        <v>70.833333333333329</v>
      </c>
    </row>
    <row r="378" spans="1:7">
      <c r="A378" t="s">
        <v>1562</v>
      </c>
      <c r="B378" t="s">
        <v>1563</v>
      </c>
      <c r="C378">
        <v>200</v>
      </c>
      <c r="D378">
        <v>24</v>
      </c>
      <c r="E378">
        <v>4.8</v>
      </c>
      <c r="F378" t="s">
        <v>665</v>
      </c>
      <c r="G378">
        <v>83</v>
      </c>
    </row>
    <row r="379" spans="1:7">
      <c r="A379" t="s">
        <v>1564</v>
      </c>
      <c r="B379" t="s">
        <v>1565</v>
      </c>
      <c r="C379">
        <v>400</v>
      </c>
      <c r="D379">
        <v>24</v>
      </c>
      <c r="E379">
        <v>9.6</v>
      </c>
      <c r="F379" t="s">
        <v>665</v>
      </c>
      <c r="G379">
        <v>83.333333333333329</v>
      </c>
    </row>
    <row r="380" spans="1:7">
      <c r="A380" t="s">
        <v>1566</v>
      </c>
      <c r="B380" t="s">
        <v>1567</v>
      </c>
      <c r="C380">
        <v>1000</v>
      </c>
      <c r="D380">
        <v>10</v>
      </c>
      <c r="E380">
        <v>10</v>
      </c>
      <c r="F380" t="s">
        <v>665</v>
      </c>
      <c r="G380">
        <v>158.33333333333334</v>
      </c>
    </row>
    <row r="381" spans="1:7">
      <c r="A381" t="s">
        <v>1643</v>
      </c>
      <c r="B381" t="s">
        <v>1644</v>
      </c>
      <c r="C381">
        <v>1800</v>
      </c>
      <c r="D381">
        <v>6</v>
      </c>
      <c r="E381">
        <v>10.8</v>
      </c>
      <c r="F381" t="s">
        <v>665</v>
      </c>
      <c r="G381">
        <v>70.833333333333329</v>
      </c>
    </row>
    <row r="382" spans="1:7">
      <c r="A382" t="s">
        <v>1568</v>
      </c>
      <c r="B382" t="s">
        <v>1569</v>
      </c>
      <c r="C382">
        <v>400</v>
      </c>
      <c r="D382">
        <v>24</v>
      </c>
      <c r="E382">
        <v>9.6</v>
      </c>
      <c r="F382" t="s">
        <v>665</v>
      </c>
      <c r="G382">
        <v>83.333333333333329</v>
      </c>
    </row>
    <row r="383" spans="1:7">
      <c r="A383" t="s">
        <v>1570</v>
      </c>
      <c r="B383" t="s">
        <v>1571</v>
      </c>
      <c r="C383">
        <v>1000</v>
      </c>
      <c r="D383">
        <v>10</v>
      </c>
      <c r="E383">
        <v>10</v>
      </c>
      <c r="F383" t="s">
        <v>665</v>
      </c>
      <c r="G383">
        <v>158.33333333333334</v>
      </c>
    </row>
    <row r="384" spans="1:7">
      <c r="A384" t="s">
        <v>1645</v>
      </c>
      <c r="B384" t="s">
        <v>1646</v>
      </c>
      <c r="C384">
        <v>1800</v>
      </c>
      <c r="D384">
        <v>6</v>
      </c>
      <c r="E384">
        <v>10.8</v>
      </c>
      <c r="F384" t="s">
        <v>665</v>
      </c>
      <c r="G384">
        <v>70.833333333333329</v>
      </c>
    </row>
    <row r="385" spans="1:7">
      <c r="A385" t="s">
        <v>1572</v>
      </c>
      <c r="B385" t="s">
        <v>1573</v>
      </c>
      <c r="C385">
        <v>400</v>
      </c>
      <c r="D385">
        <v>24</v>
      </c>
      <c r="E385">
        <v>9.6</v>
      </c>
      <c r="F385" t="s">
        <v>665</v>
      </c>
      <c r="G385">
        <v>83.333333333333329</v>
      </c>
    </row>
    <row r="386" spans="1:7">
      <c r="A386" t="s">
        <v>1574</v>
      </c>
      <c r="B386" t="s">
        <v>1575</v>
      </c>
      <c r="C386">
        <v>1000</v>
      </c>
      <c r="D386">
        <v>10</v>
      </c>
      <c r="E386">
        <v>10</v>
      </c>
      <c r="F386" t="s">
        <v>665</v>
      </c>
      <c r="G386">
        <v>158.33333333333334</v>
      </c>
    </row>
    <row r="387" spans="1:7">
      <c r="A387" t="s">
        <v>1647</v>
      </c>
      <c r="B387" t="s">
        <v>1648</v>
      </c>
      <c r="C387">
        <v>1800</v>
      </c>
      <c r="D387">
        <v>6</v>
      </c>
      <c r="E387">
        <v>10.8</v>
      </c>
      <c r="F387" t="s">
        <v>665</v>
      </c>
      <c r="G387">
        <v>70.833333333333329</v>
      </c>
    </row>
    <row r="388" spans="1:7">
      <c r="A388" t="s">
        <v>488</v>
      </c>
      <c r="B388" t="s">
        <v>489</v>
      </c>
      <c r="C388">
        <v>400</v>
      </c>
      <c r="D388">
        <v>24</v>
      </c>
      <c r="E388">
        <v>9.6</v>
      </c>
      <c r="F388" t="s">
        <v>665</v>
      </c>
      <c r="G388">
        <v>83</v>
      </c>
    </row>
    <row r="389" spans="1:7">
      <c r="A389" t="s">
        <v>486</v>
      </c>
      <c r="B389" t="s">
        <v>487</v>
      </c>
      <c r="C389">
        <v>400</v>
      </c>
      <c r="D389">
        <v>24</v>
      </c>
      <c r="E389">
        <v>9.6</v>
      </c>
      <c r="F389" t="s">
        <v>665</v>
      </c>
      <c r="G389">
        <v>83</v>
      </c>
    </row>
    <row r="390" spans="1:7">
      <c r="A390" t="s">
        <v>1341</v>
      </c>
      <c r="B390" t="s">
        <v>1342</v>
      </c>
      <c r="C390">
        <v>400</v>
      </c>
      <c r="D390">
        <v>24</v>
      </c>
      <c r="E390">
        <v>9.6</v>
      </c>
      <c r="F390" t="s">
        <v>665</v>
      </c>
      <c r="G390" t="s">
        <v>1576</v>
      </c>
    </row>
    <row r="391" spans="1:7">
      <c r="A391" t="s">
        <v>1323</v>
      </c>
      <c r="B391" t="s">
        <v>1324</v>
      </c>
      <c r="C391">
        <v>1000</v>
      </c>
      <c r="D391">
        <v>10</v>
      </c>
      <c r="E391">
        <v>10</v>
      </c>
      <c r="F391" t="s">
        <v>665</v>
      </c>
      <c r="G391">
        <v>158.33333333333334</v>
      </c>
    </row>
    <row r="392" spans="1:7">
      <c r="A392" t="s">
        <v>1331</v>
      </c>
      <c r="B392" t="s">
        <v>1332</v>
      </c>
      <c r="C392">
        <v>1800</v>
      </c>
      <c r="D392">
        <v>6</v>
      </c>
      <c r="E392">
        <v>10.8</v>
      </c>
      <c r="F392" t="s">
        <v>665</v>
      </c>
      <c r="G392">
        <v>70.833333333333329</v>
      </c>
    </row>
    <row r="393" spans="1:7">
      <c r="A393" t="s">
        <v>1309</v>
      </c>
      <c r="B393" t="s">
        <v>1310</v>
      </c>
      <c r="C393">
        <v>200</v>
      </c>
      <c r="D393">
        <v>24</v>
      </c>
      <c r="E393">
        <v>4.8</v>
      </c>
      <c r="F393" t="s">
        <v>665</v>
      </c>
      <c r="G393">
        <v>83</v>
      </c>
    </row>
    <row r="394" spans="1:7">
      <c r="A394" t="s">
        <v>1339</v>
      </c>
      <c r="B394" t="s">
        <v>1340</v>
      </c>
      <c r="C394">
        <v>400</v>
      </c>
      <c r="D394">
        <v>24</v>
      </c>
      <c r="E394">
        <v>9.6</v>
      </c>
      <c r="F394" t="s">
        <v>665</v>
      </c>
      <c r="G394" t="s">
        <v>1576</v>
      </c>
    </row>
    <row r="395" spans="1:7">
      <c r="A395" t="s">
        <v>1321</v>
      </c>
      <c r="B395" t="s">
        <v>1322</v>
      </c>
      <c r="C395">
        <v>1000</v>
      </c>
      <c r="D395">
        <v>10</v>
      </c>
      <c r="E395">
        <v>10</v>
      </c>
      <c r="F395" t="s">
        <v>665</v>
      </c>
      <c r="G395">
        <v>158.33333333333334</v>
      </c>
    </row>
    <row r="396" spans="1:7">
      <c r="A396" t="s">
        <v>1329</v>
      </c>
      <c r="B396" t="s">
        <v>1330</v>
      </c>
      <c r="C396">
        <v>1800</v>
      </c>
      <c r="D396">
        <v>6</v>
      </c>
      <c r="E396">
        <v>10.8</v>
      </c>
      <c r="F396" t="s">
        <v>665</v>
      </c>
      <c r="G396">
        <v>70.833333333333329</v>
      </c>
    </row>
    <row r="397" spans="1:7">
      <c r="A397" t="s">
        <v>1337</v>
      </c>
      <c r="B397" t="s">
        <v>1338</v>
      </c>
      <c r="C397">
        <v>400</v>
      </c>
      <c r="D397">
        <v>24</v>
      </c>
      <c r="E397">
        <v>9.6</v>
      </c>
      <c r="F397" t="s">
        <v>665</v>
      </c>
      <c r="G397" t="s">
        <v>1576</v>
      </c>
    </row>
    <row r="398" spans="1:7">
      <c r="A398" t="s">
        <v>1319</v>
      </c>
      <c r="B398" t="s">
        <v>1320</v>
      </c>
      <c r="C398">
        <v>1000</v>
      </c>
      <c r="D398">
        <v>10</v>
      </c>
      <c r="E398">
        <v>10</v>
      </c>
      <c r="F398" t="s">
        <v>665</v>
      </c>
      <c r="G398">
        <v>158.33333333333334</v>
      </c>
    </row>
    <row r="399" spans="1:7">
      <c r="A399" t="s">
        <v>1327</v>
      </c>
      <c r="B399" t="s">
        <v>1328</v>
      </c>
      <c r="C399">
        <v>1800</v>
      </c>
      <c r="D399">
        <v>6</v>
      </c>
      <c r="E399">
        <v>10.8</v>
      </c>
      <c r="F399" t="s">
        <v>665</v>
      </c>
      <c r="G399">
        <v>70.833333333333329</v>
      </c>
    </row>
    <row r="400" spans="1:7">
      <c r="A400" t="s">
        <v>1335</v>
      </c>
      <c r="B400" t="s">
        <v>1336</v>
      </c>
      <c r="C400">
        <v>400</v>
      </c>
      <c r="D400">
        <v>24</v>
      </c>
      <c r="E400">
        <v>9.6</v>
      </c>
      <c r="F400" t="s">
        <v>665</v>
      </c>
      <c r="G400" t="s">
        <v>1576</v>
      </c>
    </row>
    <row r="401" spans="1:7">
      <c r="A401" t="s">
        <v>1317</v>
      </c>
      <c r="B401" t="s">
        <v>1318</v>
      </c>
      <c r="C401">
        <v>1000</v>
      </c>
      <c r="D401">
        <v>10</v>
      </c>
      <c r="E401">
        <v>10</v>
      </c>
      <c r="F401" t="s">
        <v>665</v>
      </c>
      <c r="G401">
        <v>158.33333333333334</v>
      </c>
    </row>
    <row r="402" spans="1:7">
      <c r="A402" t="s">
        <v>1325</v>
      </c>
      <c r="B402" t="s">
        <v>1326</v>
      </c>
      <c r="C402">
        <v>1800</v>
      </c>
      <c r="D402">
        <v>6</v>
      </c>
      <c r="E402">
        <v>10.8</v>
      </c>
      <c r="F402" t="s">
        <v>665</v>
      </c>
      <c r="G402">
        <v>70.833333333333329</v>
      </c>
    </row>
    <row r="403" spans="1:7">
      <c r="A403" t="s">
        <v>515</v>
      </c>
      <c r="B403" t="s">
        <v>516</v>
      </c>
      <c r="C403">
        <v>1800</v>
      </c>
      <c r="D403">
        <v>6</v>
      </c>
      <c r="E403">
        <v>10.8</v>
      </c>
      <c r="F403" t="s">
        <v>665</v>
      </c>
      <c r="G403">
        <v>70.833333333333329</v>
      </c>
    </row>
    <row r="404" spans="1:7">
      <c r="A404" t="s">
        <v>517</v>
      </c>
      <c r="B404" t="s">
        <v>518</v>
      </c>
      <c r="C404">
        <v>1800</v>
      </c>
      <c r="D404">
        <v>6</v>
      </c>
      <c r="E404">
        <v>10.8</v>
      </c>
      <c r="F404" t="s">
        <v>665</v>
      </c>
      <c r="G404">
        <v>70.833333333333329</v>
      </c>
    </row>
    <row r="405" spans="1:7">
      <c r="A405" t="s">
        <v>1409</v>
      </c>
      <c r="B405" t="s">
        <v>1410</v>
      </c>
      <c r="C405">
        <v>150</v>
      </c>
      <c r="D405">
        <v>48</v>
      </c>
      <c r="E405">
        <v>7.2</v>
      </c>
      <c r="F405" t="s">
        <v>665</v>
      </c>
      <c r="G405">
        <v>62.5</v>
      </c>
    </row>
    <row r="406" spans="1:7">
      <c r="A406" t="s">
        <v>1286</v>
      </c>
      <c r="B406" t="s">
        <v>1287</v>
      </c>
      <c r="C406">
        <v>1000</v>
      </c>
      <c r="D406">
        <v>10</v>
      </c>
      <c r="E406">
        <v>10</v>
      </c>
      <c r="F406" t="s">
        <v>665</v>
      </c>
      <c r="G406">
        <v>158.33333333333334</v>
      </c>
    </row>
    <row r="407" spans="1:7">
      <c r="A407" t="s">
        <v>1288</v>
      </c>
      <c r="B407" t="s">
        <v>1289</v>
      </c>
      <c r="C407">
        <v>1800</v>
      </c>
      <c r="D407">
        <v>6</v>
      </c>
      <c r="E407">
        <v>10.8</v>
      </c>
      <c r="F407" t="s">
        <v>665</v>
      </c>
      <c r="G407">
        <v>112.5</v>
      </c>
    </row>
    <row r="408" spans="1:7">
      <c r="A408" t="s">
        <v>1276</v>
      </c>
      <c r="B408" t="s">
        <v>1277</v>
      </c>
      <c r="C408">
        <v>1000</v>
      </c>
      <c r="D408">
        <v>10</v>
      </c>
      <c r="E408">
        <v>10</v>
      </c>
      <c r="F408" t="s">
        <v>665</v>
      </c>
      <c r="G408">
        <v>158.33333333333334</v>
      </c>
    </row>
    <row r="409" spans="1:7">
      <c r="A409" t="s">
        <v>1278</v>
      </c>
      <c r="B409" t="s">
        <v>1279</v>
      </c>
      <c r="C409">
        <v>1800</v>
      </c>
      <c r="D409">
        <v>6</v>
      </c>
      <c r="E409">
        <v>10.8</v>
      </c>
      <c r="F409" t="s">
        <v>665</v>
      </c>
      <c r="G409">
        <v>112.5</v>
      </c>
    </row>
    <row r="410" spans="1:7">
      <c r="A410" t="s">
        <v>1302</v>
      </c>
      <c r="B410" t="s">
        <v>1303</v>
      </c>
      <c r="C410">
        <v>1000</v>
      </c>
      <c r="D410">
        <v>10</v>
      </c>
      <c r="E410">
        <v>10</v>
      </c>
      <c r="F410" t="s">
        <v>665</v>
      </c>
      <c r="G410">
        <v>158.33333333333334</v>
      </c>
    </row>
    <row r="411" spans="1:7">
      <c r="A411" t="s">
        <v>1304</v>
      </c>
      <c r="B411" t="s">
        <v>1305</v>
      </c>
      <c r="C411">
        <v>1800</v>
      </c>
      <c r="D411">
        <v>6</v>
      </c>
      <c r="E411">
        <v>10.8</v>
      </c>
      <c r="F411" t="s">
        <v>665</v>
      </c>
      <c r="G411">
        <v>112.5</v>
      </c>
    </row>
    <row r="412" spans="1:7">
      <c r="A412" t="s">
        <v>1296</v>
      </c>
      <c r="B412" t="s">
        <v>1297</v>
      </c>
      <c r="C412">
        <v>1000</v>
      </c>
      <c r="D412">
        <v>10</v>
      </c>
      <c r="E412">
        <v>10</v>
      </c>
      <c r="F412" t="s">
        <v>665</v>
      </c>
      <c r="G412">
        <v>187.5</v>
      </c>
    </row>
    <row r="413" spans="1:7">
      <c r="A413" t="s">
        <v>1294</v>
      </c>
      <c r="B413" t="s">
        <v>1295</v>
      </c>
      <c r="C413">
        <v>1800</v>
      </c>
      <c r="D413">
        <v>6</v>
      </c>
      <c r="E413">
        <v>10.8</v>
      </c>
      <c r="F413" t="s">
        <v>665</v>
      </c>
      <c r="G413">
        <v>112.5</v>
      </c>
    </row>
    <row r="414" spans="1:7">
      <c r="A414" t="s">
        <v>1261</v>
      </c>
      <c r="B414" t="s">
        <v>1262</v>
      </c>
      <c r="C414">
        <v>900</v>
      </c>
      <c r="D414">
        <v>10</v>
      </c>
      <c r="E414">
        <v>9</v>
      </c>
      <c r="F414" t="s">
        <v>665</v>
      </c>
      <c r="G414">
        <v>175</v>
      </c>
    </row>
    <row r="415" spans="1:7">
      <c r="A415" t="s">
        <v>1241</v>
      </c>
      <c r="B415" t="s">
        <v>1242</v>
      </c>
      <c r="C415">
        <v>1000</v>
      </c>
      <c r="D415">
        <v>10</v>
      </c>
      <c r="E415">
        <v>10</v>
      </c>
      <c r="F415" t="s">
        <v>665</v>
      </c>
      <c r="G415">
        <v>187.5</v>
      </c>
    </row>
    <row r="416" spans="1:7">
      <c r="A416" t="s">
        <v>1239</v>
      </c>
      <c r="B416" t="s">
        <v>1240</v>
      </c>
      <c r="C416">
        <v>1800</v>
      </c>
      <c r="D416">
        <v>6</v>
      </c>
      <c r="E416">
        <v>10.8</v>
      </c>
      <c r="F416" t="s">
        <v>665</v>
      </c>
      <c r="G416">
        <v>116.66666666666667</v>
      </c>
    </row>
    <row r="417" spans="1:7">
      <c r="A417" t="s">
        <v>666</v>
      </c>
      <c r="B417" t="s">
        <v>667</v>
      </c>
      <c r="C417">
        <v>900</v>
      </c>
      <c r="D417">
        <v>10</v>
      </c>
      <c r="E417">
        <v>9</v>
      </c>
      <c r="F417" t="s">
        <v>665</v>
      </c>
      <c r="G417">
        <v>175</v>
      </c>
    </row>
    <row r="418" spans="1:7">
      <c r="A418" t="s">
        <v>663</v>
      </c>
      <c r="B418" t="s">
        <v>664</v>
      </c>
      <c r="C418">
        <v>900</v>
      </c>
      <c r="D418">
        <v>10</v>
      </c>
      <c r="E418">
        <v>9</v>
      </c>
      <c r="F418" t="s">
        <v>665</v>
      </c>
      <c r="G418">
        <v>175</v>
      </c>
    </row>
    <row r="419" spans="1:7">
      <c r="A419" t="s">
        <v>670</v>
      </c>
      <c r="B419" t="s">
        <v>671</v>
      </c>
      <c r="C419">
        <v>900</v>
      </c>
      <c r="D419">
        <v>10</v>
      </c>
      <c r="E419">
        <v>9</v>
      </c>
      <c r="F419" t="s">
        <v>665</v>
      </c>
      <c r="G419">
        <v>175</v>
      </c>
    </row>
    <row r="420" spans="1:7">
      <c r="A420" t="s">
        <v>753</v>
      </c>
      <c r="B420" t="s">
        <v>1581</v>
      </c>
      <c r="C420">
        <v>1000</v>
      </c>
      <c r="D420">
        <v>10</v>
      </c>
      <c r="E420">
        <v>10</v>
      </c>
      <c r="F420" t="s">
        <v>665</v>
      </c>
      <c r="G420">
        <v>175</v>
      </c>
    </row>
    <row r="421" spans="1:7">
      <c r="A421" t="s">
        <v>769</v>
      </c>
      <c r="B421" t="s">
        <v>1587</v>
      </c>
      <c r="C421">
        <v>1000</v>
      </c>
      <c r="D421">
        <v>10</v>
      </c>
      <c r="E421">
        <v>10</v>
      </c>
      <c r="F421" t="s">
        <v>665</v>
      </c>
      <c r="G421">
        <v>175</v>
      </c>
    </row>
    <row r="422" spans="1:7">
      <c r="A422" t="s">
        <v>761</v>
      </c>
      <c r="B422" t="s">
        <v>1589</v>
      </c>
      <c r="C422">
        <v>1000</v>
      </c>
      <c r="D422">
        <v>10</v>
      </c>
      <c r="E422">
        <v>10</v>
      </c>
      <c r="F422" t="s">
        <v>665</v>
      </c>
      <c r="G422">
        <v>175</v>
      </c>
    </row>
    <row r="423" spans="1:7">
      <c r="A423" t="s">
        <v>1251</v>
      </c>
      <c r="B423" t="s">
        <v>1252</v>
      </c>
      <c r="C423">
        <v>1000</v>
      </c>
      <c r="D423">
        <v>10</v>
      </c>
      <c r="E423">
        <v>10</v>
      </c>
      <c r="F423" t="s">
        <v>665</v>
      </c>
      <c r="G423">
        <v>187.5</v>
      </c>
    </row>
    <row r="424" spans="1:7">
      <c r="A424" t="s">
        <v>1249</v>
      </c>
      <c r="B424" t="s">
        <v>1250</v>
      </c>
      <c r="C424">
        <v>1800</v>
      </c>
      <c r="D424">
        <v>6</v>
      </c>
      <c r="E424">
        <v>10.8</v>
      </c>
      <c r="F424" t="s">
        <v>665</v>
      </c>
      <c r="G424">
        <v>116.66666666666667</v>
      </c>
    </row>
    <row r="425" spans="1:7">
      <c r="A425" t="s">
        <v>1225</v>
      </c>
      <c r="B425" t="s">
        <v>1226</v>
      </c>
      <c r="C425">
        <v>1000</v>
      </c>
      <c r="D425">
        <v>10</v>
      </c>
      <c r="E425">
        <v>10</v>
      </c>
      <c r="F425" t="s">
        <v>665</v>
      </c>
      <c r="G425">
        <v>187.5</v>
      </c>
    </row>
    <row r="426" spans="1:7">
      <c r="A426" t="s">
        <v>1223</v>
      </c>
      <c r="B426" t="s">
        <v>1224</v>
      </c>
      <c r="C426">
        <v>1800</v>
      </c>
      <c r="D426">
        <v>6</v>
      </c>
      <c r="E426">
        <v>10.8</v>
      </c>
      <c r="F426" t="s">
        <v>665</v>
      </c>
      <c r="G426">
        <v>116.66666666666667</v>
      </c>
    </row>
    <row r="427" spans="1:7">
      <c r="A427" t="s">
        <v>1233</v>
      </c>
      <c r="B427" t="s">
        <v>1234</v>
      </c>
      <c r="C427">
        <v>1000</v>
      </c>
      <c r="D427">
        <v>10</v>
      </c>
      <c r="E427">
        <v>10</v>
      </c>
      <c r="F427" t="s">
        <v>665</v>
      </c>
      <c r="G427">
        <v>187.5</v>
      </c>
    </row>
    <row r="428" spans="1:7">
      <c r="A428" t="s">
        <v>1231</v>
      </c>
      <c r="B428" t="s">
        <v>1232</v>
      </c>
      <c r="C428">
        <v>1800</v>
      </c>
      <c r="D428">
        <v>6</v>
      </c>
      <c r="E428">
        <v>10.8</v>
      </c>
      <c r="F428" t="s">
        <v>665</v>
      </c>
      <c r="G428">
        <v>116.66666666666667</v>
      </c>
    </row>
    <row r="429" spans="1:7">
      <c r="A429" t="s">
        <v>668</v>
      </c>
      <c r="B429" t="s">
        <v>669</v>
      </c>
      <c r="C429">
        <v>900</v>
      </c>
      <c r="D429">
        <v>10</v>
      </c>
      <c r="E429">
        <v>9</v>
      </c>
      <c r="F429" t="s">
        <v>665</v>
      </c>
      <c r="G429">
        <v>191.66666666666666</v>
      </c>
    </row>
    <row r="430" spans="1:7">
      <c r="A430" t="s">
        <v>674</v>
      </c>
      <c r="B430" t="s">
        <v>675</v>
      </c>
      <c r="C430">
        <v>900</v>
      </c>
      <c r="D430">
        <v>10</v>
      </c>
      <c r="E430">
        <v>9</v>
      </c>
      <c r="F430" t="s">
        <v>665</v>
      </c>
      <c r="G430">
        <v>191.66666666666666</v>
      </c>
    </row>
    <row r="431" spans="1:7">
      <c r="A431" t="s">
        <v>171</v>
      </c>
      <c r="B431" t="s">
        <v>172</v>
      </c>
      <c r="C431">
        <v>400</v>
      </c>
      <c r="D431">
        <v>24</v>
      </c>
      <c r="E431">
        <v>9.6</v>
      </c>
      <c r="F431" t="s">
        <v>665</v>
      </c>
      <c r="G431">
        <v>100</v>
      </c>
    </row>
    <row r="432" spans="1:7">
      <c r="A432" t="s">
        <v>511</v>
      </c>
      <c r="B432" t="s">
        <v>512</v>
      </c>
      <c r="C432">
        <v>400</v>
      </c>
      <c r="D432">
        <v>24</v>
      </c>
      <c r="E432">
        <v>9.6</v>
      </c>
      <c r="F432" t="s">
        <v>665</v>
      </c>
      <c r="G432">
        <v>100</v>
      </c>
    </row>
    <row r="433" spans="1:7">
      <c r="A433" t="s">
        <v>513</v>
      </c>
      <c r="B433" t="s">
        <v>514</v>
      </c>
      <c r="C433">
        <v>400</v>
      </c>
      <c r="D433">
        <v>24</v>
      </c>
      <c r="E433">
        <v>9.6</v>
      </c>
      <c r="F433" t="s">
        <v>665</v>
      </c>
      <c r="G433">
        <v>100</v>
      </c>
    </row>
    <row r="434" spans="1:7">
      <c r="A434" t="s">
        <v>899</v>
      </c>
      <c r="B434" t="s">
        <v>1577</v>
      </c>
      <c r="C434">
        <v>900</v>
      </c>
      <c r="D434">
        <v>10</v>
      </c>
      <c r="E434">
        <v>9</v>
      </c>
      <c r="F434" t="s">
        <v>665</v>
      </c>
      <c r="G434">
        <v>191.66666666666666</v>
      </c>
    </row>
    <row r="435" spans="1:7">
      <c r="A435" t="s">
        <v>893</v>
      </c>
      <c r="B435" t="s">
        <v>1578</v>
      </c>
      <c r="C435">
        <v>900</v>
      </c>
      <c r="D435">
        <v>10</v>
      </c>
      <c r="E435">
        <v>9</v>
      </c>
      <c r="F435" t="s">
        <v>665</v>
      </c>
      <c r="G435">
        <v>191.66666666666666</v>
      </c>
    </row>
    <row r="436" spans="1:7">
      <c r="A436" t="s">
        <v>881</v>
      </c>
      <c r="B436" t="s">
        <v>1603</v>
      </c>
      <c r="C436">
        <v>900</v>
      </c>
      <c r="D436">
        <v>10</v>
      </c>
      <c r="E436">
        <v>9</v>
      </c>
      <c r="F436" t="s">
        <v>665</v>
      </c>
      <c r="G436">
        <v>191.66666666666666</v>
      </c>
    </row>
    <row r="437" spans="1:7">
      <c r="A437" t="s">
        <v>871</v>
      </c>
      <c r="B437" t="s">
        <v>1605</v>
      </c>
      <c r="C437">
        <v>900</v>
      </c>
      <c r="D437">
        <v>10</v>
      </c>
      <c r="E437">
        <v>9</v>
      </c>
      <c r="F437" t="s">
        <v>665</v>
      </c>
      <c r="G437">
        <v>191.66666666666666</v>
      </c>
    </row>
    <row r="438" spans="1:7">
      <c r="A438" t="s">
        <v>885</v>
      </c>
      <c r="B438" t="s">
        <v>1649</v>
      </c>
      <c r="C438">
        <v>1800</v>
      </c>
      <c r="D438">
        <v>6</v>
      </c>
      <c r="E438">
        <v>10.8</v>
      </c>
      <c r="F438" t="s">
        <v>665</v>
      </c>
      <c r="G438">
        <v>116.66666666666667</v>
      </c>
    </row>
    <row r="439" spans="1:7">
      <c r="A439" t="s">
        <v>887</v>
      </c>
      <c r="B439" t="s">
        <v>1650</v>
      </c>
      <c r="C439">
        <v>1800</v>
      </c>
      <c r="D439">
        <v>6</v>
      </c>
      <c r="E439">
        <v>10.8</v>
      </c>
      <c r="F439" t="s">
        <v>665</v>
      </c>
      <c r="G439">
        <v>116.66666666666667</v>
      </c>
    </row>
    <row r="440" spans="1:7">
      <c r="A440" t="s">
        <v>859</v>
      </c>
      <c r="B440" t="s">
        <v>1651</v>
      </c>
      <c r="C440">
        <v>1800</v>
      </c>
      <c r="D440">
        <v>6</v>
      </c>
      <c r="E440">
        <v>10.8</v>
      </c>
      <c r="F440" t="s">
        <v>665</v>
      </c>
      <c r="G440">
        <v>116.66666666666667</v>
      </c>
    </row>
    <row r="441" spans="1:7">
      <c r="A441" t="s">
        <v>861</v>
      </c>
      <c r="B441" t="s">
        <v>1652</v>
      </c>
      <c r="C441">
        <v>1800</v>
      </c>
      <c r="D441">
        <v>6</v>
      </c>
      <c r="E441">
        <v>10.8</v>
      </c>
      <c r="F441" t="s">
        <v>665</v>
      </c>
      <c r="G441">
        <v>116.66666666666667</v>
      </c>
    </row>
    <row r="442" spans="1:7">
      <c r="A442" t="s">
        <v>755</v>
      </c>
      <c r="B442" t="s">
        <v>1622</v>
      </c>
      <c r="C442">
        <v>1800</v>
      </c>
      <c r="D442">
        <v>6</v>
      </c>
      <c r="E442">
        <v>10.8</v>
      </c>
      <c r="F442" t="s">
        <v>665</v>
      </c>
      <c r="G442">
        <v>116.66666666666667</v>
      </c>
    </row>
    <row r="443" spans="1:7">
      <c r="A443" t="s">
        <v>753</v>
      </c>
      <c r="B443" t="s">
        <v>1581</v>
      </c>
      <c r="C443">
        <v>1000</v>
      </c>
      <c r="D443">
        <v>10</v>
      </c>
      <c r="E443">
        <v>10</v>
      </c>
      <c r="F443" t="s">
        <v>665</v>
      </c>
      <c r="G443">
        <v>187.5</v>
      </c>
    </row>
    <row r="444" spans="1:7">
      <c r="A444" t="s">
        <v>743</v>
      </c>
      <c r="B444" t="s">
        <v>1623</v>
      </c>
      <c r="C444">
        <v>1800</v>
      </c>
      <c r="D444">
        <v>6</v>
      </c>
      <c r="E444">
        <v>10.8</v>
      </c>
      <c r="F444" t="s">
        <v>665</v>
      </c>
      <c r="G444">
        <v>116.66666666666667</v>
      </c>
    </row>
    <row r="445" spans="1:7">
      <c r="A445" t="s">
        <v>741</v>
      </c>
      <c r="B445" t="s">
        <v>1585</v>
      </c>
      <c r="C445">
        <v>1000</v>
      </c>
      <c r="D445">
        <v>10</v>
      </c>
      <c r="E445">
        <v>10</v>
      </c>
      <c r="F445" t="s">
        <v>665</v>
      </c>
      <c r="G445">
        <v>187.5</v>
      </c>
    </row>
    <row r="446" spans="1:7">
      <c r="A446" t="s">
        <v>771</v>
      </c>
      <c r="B446" t="s">
        <v>1624</v>
      </c>
      <c r="C446">
        <v>1800</v>
      </c>
      <c r="D446">
        <v>6</v>
      </c>
      <c r="E446">
        <v>10.8</v>
      </c>
      <c r="F446" t="s">
        <v>665</v>
      </c>
      <c r="G446">
        <v>116.66666666666667</v>
      </c>
    </row>
    <row r="447" spans="1:7">
      <c r="A447" t="s">
        <v>769</v>
      </c>
      <c r="B447" t="s">
        <v>1587</v>
      </c>
      <c r="C447">
        <v>1000</v>
      </c>
      <c r="D447">
        <v>10</v>
      </c>
      <c r="E447">
        <v>10</v>
      </c>
      <c r="F447" t="s">
        <v>665</v>
      </c>
      <c r="G447">
        <v>187.5</v>
      </c>
    </row>
    <row r="448" spans="1:7">
      <c r="A448" t="s">
        <v>763</v>
      </c>
      <c r="B448" t="s">
        <v>1625</v>
      </c>
      <c r="C448">
        <v>1800</v>
      </c>
      <c r="D448">
        <v>6</v>
      </c>
      <c r="E448">
        <v>10.8</v>
      </c>
      <c r="F448" t="s">
        <v>665</v>
      </c>
      <c r="G448">
        <v>116.66666666666667</v>
      </c>
    </row>
    <row r="449" spans="1:7">
      <c r="A449" t="s">
        <v>761</v>
      </c>
      <c r="B449" t="s">
        <v>1589</v>
      </c>
      <c r="C449">
        <v>1000</v>
      </c>
      <c r="D449">
        <v>10</v>
      </c>
      <c r="E449">
        <v>10</v>
      </c>
      <c r="F449" t="s">
        <v>665</v>
      </c>
      <c r="G449">
        <v>187.5</v>
      </c>
    </row>
    <row r="450" spans="1:7">
      <c r="A450" t="s">
        <v>749</v>
      </c>
      <c r="B450" t="s">
        <v>1579</v>
      </c>
      <c r="C450">
        <v>350</v>
      </c>
      <c r="D450">
        <v>24</v>
      </c>
      <c r="E450">
        <v>8.4</v>
      </c>
      <c r="F450" t="s">
        <v>665</v>
      </c>
      <c r="G450">
        <v>75</v>
      </c>
    </row>
    <row r="451" spans="1:7">
      <c r="A451" t="s">
        <v>739</v>
      </c>
      <c r="B451" t="s">
        <v>1583</v>
      </c>
      <c r="C451">
        <v>350</v>
      </c>
      <c r="D451">
        <v>24</v>
      </c>
      <c r="E451">
        <v>8.4</v>
      </c>
      <c r="F451" t="s">
        <v>665</v>
      </c>
      <c r="G451">
        <v>75</v>
      </c>
    </row>
    <row r="452" spans="1:7">
      <c r="A452" t="s">
        <v>825</v>
      </c>
      <c r="B452" t="s">
        <v>826</v>
      </c>
      <c r="C452">
        <v>3000</v>
      </c>
      <c r="D452">
        <v>4</v>
      </c>
      <c r="E452">
        <v>12</v>
      </c>
      <c r="F452" t="s">
        <v>665</v>
      </c>
      <c r="G452">
        <v>104.16666666666667</v>
      </c>
    </row>
    <row r="453" spans="1:7">
      <c r="A453" t="s">
        <v>827</v>
      </c>
      <c r="B453" t="s">
        <v>828</v>
      </c>
      <c r="C453">
        <v>3000</v>
      </c>
      <c r="D453">
        <v>4</v>
      </c>
      <c r="E453">
        <v>12</v>
      </c>
      <c r="F453" t="s">
        <v>665</v>
      </c>
      <c r="G453">
        <v>104.16666666666667</v>
      </c>
    </row>
    <row r="454" spans="1:7">
      <c r="A454" t="s">
        <v>829</v>
      </c>
      <c r="B454" t="s">
        <v>830</v>
      </c>
      <c r="C454">
        <v>3000</v>
      </c>
      <c r="D454">
        <v>4</v>
      </c>
      <c r="E454">
        <v>12</v>
      </c>
      <c r="F454" t="s">
        <v>665</v>
      </c>
      <c r="G454">
        <v>104.16666666666667</v>
      </c>
    </row>
    <row r="455" spans="1:7">
      <c r="A455" t="s">
        <v>831</v>
      </c>
      <c r="B455" t="s">
        <v>832</v>
      </c>
      <c r="C455">
        <v>3000</v>
      </c>
      <c r="D455">
        <v>4</v>
      </c>
      <c r="E455">
        <v>12</v>
      </c>
      <c r="F455" t="s">
        <v>665</v>
      </c>
      <c r="G455">
        <v>104.16666666666667</v>
      </c>
    </row>
    <row r="456" spans="1:7">
      <c r="A456" t="s">
        <v>757</v>
      </c>
      <c r="B456" t="s">
        <v>1592</v>
      </c>
      <c r="C456">
        <v>3000</v>
      </c>
      <c r="D456">
        <v>4</v>
      </c>
      <c r="E456">
        <v>12</v>
      </c>
      <c r="F456" t="s">
        <v>665</v>
      </c>
      <c r="G456">
        <v>104.16666666666667</v>
      </c>
    </row>
    <row r="457" spans="1:7">
      <c r="A457" t="s">
        <v>747</v>
      </c>
      <c r="B457" t="s">
        <v>1593</v>
      </c>
      <c r="C457">
        <v>3000</v>
      </c>
      <c r="D457">
        <v>4</v>
      </c>
      <c r="E457">
        <v>12</v>
      </c>
      <c r="F457" t="s">
        <v>665</v>
      </c>
      <c r="G457">
        <v>104.16666666666667</v>
      </c>
    </row>
    <row r="458" spans="1:7">
      <c r="A458" t="s">
        <v>773</v>
      </c>
      <c r="B458" t="s">
        <v>1594</v>
      </c>
      <c r="C458">
        <v>3000</v>
      </c>
      <c r="D458">
        <v>4</v>
      </c>
      <c r="E458">
        <v>12</v>
      </c>
      <c r="F458" t="s">
        <v>665</v>
      </c>
      <c r="G458">
        <v>104.16666666666667</v>
      </c>
    </row>
    <row r="459" spans="1:7">
      <c r="A459" t="s">
        <v>765</v>
      </c>
      <c r="B459" t="s">
        <v>1595</v>
      </c>
      <c r="C459">
        <v>3000</v>
      </c>
      <c r="D459">
        <v>4</v>
      </c>
      <c r="E459">
        <v>12</v>
      </c>
      <c r="F459" t="s">
        <v>665</v>
      </c>
      <c r="G459">
        <v>104.16666666666667</v>
      </c>
    </row>
    <row r="460" spans="1:7">
      <c r="A460" t="s">
        <v>1221</v>
      </c>
      <c r="B460" t="s">
        <v>1222</v>
      </c>
      <c r="C460">
        <v>3000</v>
      </c>
      <c r="D460">
        <v>4</v>
      </c>
      <c r="E460">
        <v>12</v>
      </c>
      <c r="F460" t="s">
        <v>665</v>
      </c>
      <c r="G460">
        <v>104.16666666666667</v>
      </c>
    </row>
    <row r="461" spans="1:7">
      <c r="A461" t="s">
        <v>1229</v>
      </c>
      <c r="B461" t="s">
        <v>1230</v>
      </c>
      <c r="C461">
        <v>3000</v>
      </c>
      <c r="D461">
        <v>4</v>
      </c>
      <c r="E461">
        <v>12</v>
      </c>
      <c r="F461" t="s">
        <v>665</v>
      </c>
      <c r="G461">
        <v>104.16666666666667</v>
      </c>
    </row>
    <row r="462" spans="1:7">
      <c r="A462" t="s">
        <v>689</v>
      </c>
      <c r="B462" t="s">
        <v>690</v>
      </c>
      <c r="C462">
        <v>400</v>
      </c>
      <c r="D462">
        <v>30</v>
      </c>
      <c r="E462">
        <v>12</v>
      </c>
      <c r="F462" t="s">
        <v>665</v>
      </c>
      <c r="G462">
        <v>75</v>
      </c>
    </row>
    <row r="463" spans="1:7">
      <c r="A463" t="s">
        <v>692</v>
      </c>
      <c r="B463" t="s">
        <v>693</v>
      </c>
      <c r="C463">
        <v>400</v>
      </c>
      <c r="D463">
        <v>30</v>
      </c>
      <c r="E463">
        <v>12</v>
      </c>
      <c r="F463" t="s">
        <v>665</v>
      </c>
      <c r="G463">
        <v>75</v>
      </c>
    </row>
    <row r="464" spans="1:7">
      <c r="A464" t="s">
        <v>694</v>
      </c>
      <c r="B464" t="s">
        <v>695</v>
      </c>
      <c r="C464">
        <v>400</v>
      </c>
      <c r="D464">
        <v>30</v>
      </c>
      <c r="E464">
        <v>12</v>
      </c>
      <c r="F464" t="s">
        <v>665</v>
      </c>
      <c r="G464">
        <v>75</v>
      </c>
    </row>
    <row r="465" spans="1:7">
      <c r="A465" t="s">
        <v>1607</v>
      </c>
      <c r="B465" t="s">
        <v>1608</v>
      </c>
      <c r="C465">
        <v>1000</v>
      </c>
      <c r="D465">
        <v>9</v>
      </c>
      <c r="E465">
        <v>9</v>
      </c>
      <c r="F465" t="s">
        <v>205</v>
      </c>
      <c r="G465">
        <v>145.83333333333334</v>
      </c>
    </row>
    <row r="466" spans="1:7">
      <c r="A466" t="s">
        <v>1653</v>
      </c>
      <c r="B466" t="s">
        <v>1654</v>
      </c>
      <c r="C466">
        <v>400</v>
      </c>
      <c r="D466">
        <v>24</v>
      </c>
      <c r="E466">
        <v>9.6</v>
      </c>
      <c r="F466" t="s">
        <v>205</v>
      </c>
      <c r="G466">
        <v>83.333333333333329</v>
      </c>
    </row>
    <row r="467" spans="1:7">
      <c r="A467" t="s">
        <v>206</v>
      </c>
      <c r="B467" t="s">
        <v>207</v>
      </c>
      <c r="C467">
        <v>360</v>
      </c>
      <c r="D467">
        <v>24</v>
      </c>
      <c r="E467">
        <v>8.64</v>
      </c>
      <c r="F467" t="s">
        <v>205</v>
      </c>
      <c r="G467">
        <v>1</v>
      </c>
    </row>
    <row r="468" spans="1:7">
      <c r="A468" t="s">
        <v>208</v>
      </c>
      <c r="B468" t="s">
        <v>209</v>
      </c>
      <c r="C468">
        <v>700</v>
      </c>
      <c r="D468">
        <v>10</v>
      </c>
      <c r="E468">
        <v>7</v>
      </c>
      <c r="F468" t="s">
        <v>205</v>
      </c>
      <c r="G468">
        <v>125</v>
      </c>
    </row>
    <row r="469" spans="1:7">
      <c r="A469" t="s">
        <v>199</v>
      </c>
      <c r="B469" t="s">
        <v>200</v>
      </c>
      <c r="C469">
        <v>360</v>
      </c>
      <c r="D469">
        <v>24</v>
      </c>
      <c r="E469">
        <v>8.64</v>
      </c>
      <c r="F469" t="s">
        <v>205</v>
      </c>
      <c r="G469">
        <v>83.333333333333329</v>
      </c>
    </row>
    <row r="470" spans="1:7">
      <c r="A470" t="s">
        <v>203</v>
      </c>
      <c r="B470" t="s">
        <v>204</v>
      </c>
      <c r="C470">
        <v>700</v>
      </c>
      <c r="D470">
        <v>10</v>
      </c>
      <c r="E470">
        <v>7</v>
      </c>
      <c r="F470" t="s">
        <v>205</v>
      </c>
      <c r="G470">
        <v>125</v>
      </c>
    </row>
    <row r="471" spans="1:7">
      <c r="A471" t="s">
        <v>235</v>
      </c>
      <c r="B471" t="s">
        <v>236</v>
      </c>
      <c r="C471">
        <v>700</v>
      </c>
      <c r="D471">
        <v>10</v>
      </c>
      <c r="E471">
        <v>7</v>
      </c>
      <c r="F471" t="s">
        <v>205</v>
      </c>
      <c r="G471">
        <v>125</v>
      </c>
    </row>
    <row r="472" spans="1:7">
      <c r="A472" t="s">
        <v>261</v>
      </c>
      <c r="B472" t="s">
        <v>262</v>
      </c>
      <c r="C472">
        <v>400</v>
      </c>
      <c r="D472">
        <v>24</v>
      </c>
      <c r="E472">
        <v>9.6</v>
      </c>
      <c r="F472" t="s">
        <v>205</v>
      </c>
      <c r="G472">
        <v>66.666666666666671</v>
      </c>
    </row>
    <row r="473" spans="1:7">
      <c r="A473" t="s">
        <v>263</v>
      </c>
      <c r="B473" t="s">
        <v>264</v>
      </c>
      <c r="C473">
        <v>400</v>
      </c>
      <c r="D473">
        <v>24</v>
      </c>
      <c r="E473">
        <v>9.6</v>
      </c>
      <c r="F473" t="s">
        <v>205</v>
      </c>
      <c r="G473">
        <v>66.666666666666671</v>
      </c>
    </row>
    <row r="474" spans="1:7">
      <c r="A474" t="s">
        <v>171</v>
      </c>
      <c r="B474" t="s">
        <v>172</v>
      </c>
      <c r="C474">
        <v>400</v>
      </c>
      <c r="D474">
        <v>24</v>
      </c>
      <c r="E474">
        <v>9.6</v>
      </c>
      <c r="F474" t="s">
        <v>205</v>
      </c>
      <c r="G474">
        <v>66.666666666666671</v>
      </c>
    </row>
    <row r="475" spans="1:7">
      <c r="A475" t="s">
        <v>168</v>
      </c>
      <c r="B475" t="s">
        <v>169</v>
      </c>
      <c r="C475">
        <v>400</v>
      </c>
      <c r="D475">
        <v>24</v>
      </c>
      <c r="E475">
        <v>9.6</v>
      </c>
      <c r="F475" t="s">
        <v>205</v>
      </c>
      <c r="G475">
        <v>66.666666666666671</v>
      </c>
    </row>
    <row r="476" spans="1:7">
      <c r="A476" t="s">
        <v>349</v>
      </c>
      <c r="B476" t="s">
        <v>350</v>
      </c>
      <c r="C476">
        <v>200</v>
      </c>
      <c r="D476">
        <v>24</v>
      </c>
      <c r="E476">
        <v>4.8</v>
      </c>
      <c r="F476" t="s">
        <v>205</v>
      </c>
      <c r="G476">
        <v>1</v>
      </c>
    </row>
    <row r="477" spans="1:7">
      <c r="A477" t="s">
        <v>345</v>
      </c>
      <c r="B477" t="s">
        <v>346</v>
      </c>
      <c r="C477">
        <v>350</v>
      </c>
      <c r="D477">
        <v>24</v>
      </c>
      <c r="E477">
        <v>8.4</v>
      </c>
      <c r="F477" t="s">
        <v>205</v>
      </c>
      <c r="G477">
        <v>83.333333333333329</v>
      </c>
    </row>
    <row r="478" spans="1:7">
      <c r="A478" t="s">
        <v>347</v>
      </c>
      <c r="B478" t="s">
        <v>348</v>
      </c>
      <c r="C478">
        <v>350</v>
      </c>
      <c r="D478">
        <v>24</v>
      </c>
      <c r="E478">
        <v>8.4</v>
      </c>
      <c r="F478" t="s">
        <v>205</v>
      </c>
      <c r="G478">
        <v>83.333333333333329</v>
      </c>
    </row>
    <row r="479" spans="1:7">
      <c r="A479" t="s">
        <v>1471</v>
      </c>
      <c r="B479" t="s">
        <v>1599</v>
      </c>
      <c r="C479">
        <v>200</v>
      </c>
      <c r="D479">
        <v>21</v>
      </c>
      <c r="E479">
        <v>4.2</v>
      </c>
      <c r="F479" t="s">
        <v>205</v>
      </c>
      <c r="G479">
        <v>1</v>
      </c>
    </row>
    <row r="480" spans="1:7">
      <c r="A480" t="s">
        <v>1431</v>
      </c>
      <c r="B480" t="s">
        <v>1432</v>
      </c>
      <c r="C480">
        <v>900</v>
      </c>
      <c r="D480">
        <v>10</v>
      </c>
      <c r="E480">
        <v>9</v>
      </c>
      <c r="F480" t="s">
        <v>205</v>
      </c>
      <c r="G480">
        <v>145.83333333333334</v>
      </c>
    </row>
    <row r="481" spans="1:7">
      <c r="A481" t="s">
        <v>1429</v>
      </c>
      <c r="B481" t="s">
        <v>1430</v>
      </c>
      <c r="C481">
        <v>900</v>
      </c>
      <c r="D481">
        <v>10</v>
      </c>
      <c r="E481">
        <v>9</v>
      </c>
      <c r="F481" t="s">
        <v>205</v>
      </c>
      <c r="G481">
        <v>145.83333333333334</v>
      </c>
    </row>
    <row r="482" spans="1:7">
      <c r="A482" t="s">
        <v>1411</v>
      </c>
      <c r="B482" t="s">
        <v>1412</v>
      </c>
      <c r="C482">
        <v>150</v>
      </c>
      <c r="D482">
        <v>48</v>
      </c>
      <c r="E482">
        <v>7.2</v>
      </c>
      <c r="F482" t="s">
        <v>205</v>
      </c>
      <c r="G482">
        <v>62.5</v>
      </c>
    </row>
    <row r="483" spans="1:7">
      <c r="A483" t="s">
        <v>375</v>
      </c>
      <c r="B483" t="s">
        <v>376</v>
      </c>
      <c r="C483">
        <v>150</v>
      </c>
      <c r="D483">
        <v>48</v>
      </c>
      <c r="E483">
        <v>7.2</v>
      </c>
      <c r="F483" t="s">
        <v>205</v>
      </c>
      <c r="G483">
        <v>62.5</v>
      </c>
    </row>
    <row r="484" spans="1:7">
      <c r="A484" t="s">
        <v>1546</v>
      </c>
      <c r="B484" t="s">
        <v>1547</v>
      </c>
      <c r="C484">
        <v>400</v>
      </c>
      <c r="D484">
        <v>24</v>
      </c>
      <c r="E484">
        <v>9.6</v>
      </c>
      <c r="F484" t="s">
        <v>205</v>
      </c>
      <c r="G484">
        <v>83.333333333333329</v>
      </c>
    </row>
    <row r="485" spans="1:7">
      <c r="A485" t="s">
        <v>1540</v>
      </c>
      <c r="B485" t="s">
        <v>1541</v>
      </c>
      <c r="C485">
        <v>400</v>
      </c>
      <c r="D485">
        <v>24</v>
      </c>
      <c r="E485">
        <v>9.6</v>
      </c>
      <c r="F485" t="s">
        <v>205</v>
      </c>
      <c r="G485">
        <v>83.333333333333329</v>
      </c>
    </row>
    <row r="486" spans="1:7">
      <c r="A486" t="s">
        <v>1548</v>
      </c>
      <c r="B486" t="s">
        <v>1549</v>
      </c>
      <c r="C486">
        <v>1000</v>
      </c>
      <c r="D486">
        <v>10</v>
      </c>
      <c r="E486">
        <v>10</v>
      </c>
      <c r="F486" t="s">
        <v>205</v>
      </c>
      <c r="G486">
        <v>145.83333333333334</v>
      </c>
    </row>
    <row r="487" spans="1:7">
      <c r="A487" t="s">
        <v>1542</v>
      </c>
      <c r="B487" t="s">
        <v>1543</v>
      </c>
      <c r="C487">
        <v>1000</v>
      </c>
      <c r="D487">
        <v>10</v>
      </c>
      <c r="E487">
        <v>10</v>
      </c>
      <c r="F487" t="s">
        <v>205</v>
      </c>
      <c r="G487">
        <v>145.83333333333334</v>
      </c>
    </row>
    <row r="488" spans="1:7">
      <c r="A488" t="s">
        <v>488</v>
      </c>
      <c r="B488" t="s">
        <v>489</v>
      </c>
      <c r="C488">
        <v>400</v>
      </c>
      <c r="D488">
        <v>24</v>
      </c>
      <c r="E488">
        <v>9.6</v>
      </c>
      <c r="F488" t="s">
        <v>205</v>
      </c>
      <c r="G488">
        <v>83.333333333333329</v>
      </c>
    </row>
    <row r="489" spans="1:7">
      <c r="A489" t="s">
        <v>486</v>
      </c>
      <c r="B489" t="s">
        <v>487</v>
      </c>
      <c r="C489">
        <v>400</v>
      </c>
      <c r="D489">
        <v>24</v>
      </c>
      <c r="E489">
        <v>9.6</v>
      </c>
      <c r="F489" t="s">
        <v>205</v>
      </c>
      <c r="G489">
        <v>83.333333333333329</v>
      </c>
    </row>
    <row r="490" spans="1:7">
      <c r="A490" t="s">
        <v>1554</v>
      </c>
      <c r="B490" t="s">
        <v>1555</v>
      </c>
      <c r="C490">
        <v>400</v>
      </c>
      <c r="D490">
        <v>24</v>
      </c>
      <c r="E490">
        <v>9.6</v>
      </c>
      <c r="F490" t="s">
        <v>205</v>
      </c>
      <c r="G490">
        <v>83.333333333333329</v>
      </c>
    </row>
    <row r="491" spans="1:7">
      <c r="A491" t="s">
        <v>1550</v>
      </c>
      <c r="B491" t="s">
        <v>1551</v>
      </c>
      <c r="C491">
        <v>400</v>
      </c>
      <c r="D491">
        <v>24</v>
      </c>
      <c r="E491">
        <v>9.6</v>
      </c>
      <c r="F491" t="s">
        <v>205</v>
      </c>
      <c r="G491">
        <v>83.333333333333329</v>
      </c>
    </row>
    <row r="492" spans="1:7">
      <c r="A492" t="s">
        <v>1558</v>
      </c>
      <c r="B492" t="s">
        <v>1559</v>
      </c>
      <c r="C492">
        <v>400</v>
      </c>
      <c r="D492">
        <v>24</v>
      </c>
      <c r="E492">
        <v>9.6</v>
      </c>
      <c r="F492" t="s">
        <v>205</v>
      </c>
      <c r="G492">
        <v>83.333333333333329</v>
      </c>
    </row>
    <row r="493" spans="1:7">
      <c r="A493" t="s">
        <v>1564</v>
      </c>
      <c r="B493" t="s">
        <v>1565</v>
      </c>
      <c r="C493">
        <v>400</v>
      </c>
      <c r="D493">
        <v>24</v>
      </c>
      <c r="E493">
        <v>9.6</v>
      </c>
      <c r="F493" t="s">
        <v>205</v>
      </c>
      <c r="G493">
        <v>83.333333333333329</v>
      </c>
    </row>
    <row r="494" spans="1:7">
      <c r="A494" t="s">
        <v>1568</v>
      </c>
      <c r="B494" t="s">
        <v>1569</v>
      </c>
      <c r="C494">
        <v>400</v>
      </c>
      <c r="D494">
        <v>24</v>
      </c>
      <c r="E494">
        <v>9.6</v>
      </c>
      <c r="F494" t="s">
        <v>205</v>
      </c>
      <c r="G494">
        <v>83.333333333333329</v>
      </c>
    </row>
    <row r="495" spans="1:7">
      <c r="A495" t="s">
        <v>1572</v>
      </c>
      <c r="B495" t="s">
        <v>1573</v>
      </c>
      <c r="C495">
        <v>400</v>
      </c>
      <c r="D495">
        <v>24</v>
      </c>
      <c r="E495">
        <v>9.6</v>
      </c>
      <c r="F495" t="s">
        <v>205</v>
      </c>
      <c r="G495">
        <v>83.333333333333329</v>
      </c>
    </row>
    <row r="496" spans="1:7">
      <c r="A496" t="s">
        <v>1439</v>
      </c>
      <c r="B496" t="s">
        <v>1440</v>
      </c>
      <c r="C496">
        <v>900</v>
      </c>
      <c r="D496">
        <v>10</v>
      </c>
      <c r="E496">
        <v>9</v>
      </c>
      <c r="F496" t="s">
        <v>205</v>
      </c>
      <c r="G496">
        <v>145.83333333333334</v>
      </c>
    </row>
    <row r="497" spans="1:7">
      <c r="A497" t="s">
        <v>1437</v>
      </c>
      <c r="B497" t="s">
        <v>1438</v>
      </c>
      <c r="C497">
        <v>900</v>
      </c>
      <c r="D497">
        <v>10</v>
      </c>
      <c r="E497">
        <v>9</v>
      </c>
      <c r="F497" t="s">
        <v>205</v>
      </c>
      <c r="G497">
        <v>145.83333333333334</v>
      </c>
    </row>
    <row r="498" spans="1:7">
      <c r="A498" t="s">
        <v>1457</v>
      </c>
      <c r="B498" t="s">
        <v>1458</v>
      </c>
      <c r="C498">
        <v>400</v>
      </c>
      <c r="D498">
        <v>21</v>
      </c>
      <c r="E498">
        <v>8.4</v>
      </c>
      <c r="F498" t="s">
        <v>205</v>
      </c>
      <c r="G498">
        <v>116.66666666666667</v>
      </c>
    </row>
    <row r="499" spans="1:7">
      <c r="A499" t="s">
        <v>1433</v>
      </c>
      <c r="B499" t="s">
        <v>1434</v>
      </c>
      <c r="C499">
        <v>900</v>
      </c>
      <c r="D499">
        <v>10</v>
      </c>
      <c r="E499">
        <v>9</v>
      </c>
      <c r="F499" t="s">
        <v>205</v>
      </c>
      <c r="G499">
        <v>145.83333333333334</v>
      </c>
    </row>
    <row r="500" spans="1:7">
      <c r="A500" t="s">
        <v>1451</v>
      </c>
      <c r="B500" t="s">
        <v>1452</v>
      </c>
      <c r="C500">
        <v>400</v>
      </c>
      <c r="D500">
        <v>21</v>
      </c>
      <c r="E500">
        <v>8.4</v>
      </c>
      <c r="F500" t="s">
        <v>205</v>
      </c>
      <c r="G500">
        <v>116.66666666666667</v>
      </c>
    </row>
    <row r="501" spans="1:7">
      <c r="A501" t="s">
        <v>1445</v>
      </c>
      <c r="B501" t="s">
        <v>1446</v>
      </c>
      <c r="C501">
        <v>400</v>
      </c>
      <c r="D501">
        <v>21</v>
      </c>
      <c r="E501">
        <v>8.4</v>
      </c>
      <c r="F501" t="s">
        <v>205</v>
      </c>
      <c r="G501">
        <v>117</v>
      </c>
    </row>
    <row r="502" spans="1:7">
      <c r="A502" t="s">
        <v>1566</v>
      </c>
      <c r="B502" t="s">
        <v>1567</v>
      </c>
      <c r="C502">
        <v>1000</v>
      </c>
      <c r="D502">
        <v>10</v>
      </c>
      <c r="E502">
        <v>10</v>
      </c>
      <c r="F502" t="s">
        <v>205</v>
      </c>
      <c r="G502">
        <v>146</v>
      </c>
    </row>
    <row r="503" spans="1:7">
      <c r="A503" t="s">
        <v>1453</v>
      </c>
      <c r="B503" t="s">
        <v>1454</v>
      </c>
      <c r="C503">
        <v>400</v>
      </c>
      <c r="D503">
        <v>21</v>
      </c>
      <c r="E503">
        <v>8.4</v>
      </c>
      <c r="F503" t="s">
        <v>205</v>
      </c>
      <c r="G503">
        <v>117</v>
      </c>
    </row>
    <row r="504" spans="1:7">
      <c r="A504" t="s">
        <v>1427</v>
      </c>
      <c r="B504" t="s">
        <v>1428</v>
      </c>
      <c r="C504">
        <v>900</v>
      </c>
      <c r="D504">
        <v>10</v>
      </c>
      <c r="E504">
        <v>9</v>
      </c>
      <c r="F504" t="s">
        <v>205</v>
      </c>
      <c r="G504">
        <v>146</v>
      </c>
    </row>
    <row r="505" spans="1:7">
      <c r="A505" t="s">
        <v>1388</v>
      </c>
      <c r="B505" t="s">
        <v>1389</v>
      </c>
      <c r="C505">
        <v>400</v>
      </c>
      <c r="D505">
        <v>24</v>
      </c>
      <c r="E505">
        <v>9.6</v>
      </c>
      <c r="F505" t="s">
        <v>205</v>
      </c>
      <c r="G505">
        <v>83</v>
      </c>
    </row>
    <row r="506" spans="1:7">
      <c r="A506" t="s">
        <v>1560</v>
      </c>
      <c r="B506" t="s">
        <v>1561</v>
      </c>
      <c r="C506">
        <v>1000</v>
      </c>
      <c r="D506">
        <v>10</v>
      </c>
      <c r="E506">
        <v>10</v>
      </c>
      <c r="F506" t="s">
        <v>205</v>
      </c>
      <c r="G506">
        <v>146</v>
      </c>
    </row>
    <row r="507" spans="1:7">
      <c r="A507" t="s">
        <v>1574</v>
      </c>
      <c r="B507" t="s">
        <v>1575</v>
      </c>
      <c r="C507">
        <v>1000</v>
      </c>
      <c r="D507">
        <v>10</v>
      </c>
      <c r="E507">
        <v>10</v>
      </c>
      <c r="F507" t="s">
        <v>205</v>
      </c>
      <c r="G507">
        <v>146</v>
      </c>
    </row>
    <row r="508" spans="1:7">
      <c r="A508" t="s">
        <v>1341</v>
      </c>
      <c r="B508" t="s">
        <v>1342</v>
      </c>
      <c r="C508">
        <v>400</v>
      </c>
      <c r="D508">
        <v>24</v>
      </c>
      <c r="E508">
        <v>9.6</v>
      </c>
      <c r="F508" t="s">
        <v>205</v>
      </c>
      <c r="G508">
        <v>83</v>
      </c>
    </row>
    <row r="509" spans="1:7">
      <c r="A509" t="s">
        <v>1323</v>
      </c>
      <c r="B509" t="s">
        <v>1324</v>
      </c>
      <c r="C509">
        <v>1000</v>
      </c>
      <c r="D509">
        <v>10</v>
      </c>
      <c r="E509">
        <v>10</v>
      </c>
      <c r="F509" t="s">
        <v>205</v>
      </c>
      <c r="G509">
        <v>146</v>
      </c>
    </row>
    <row r="510" spans="1:7">
      <c r="A510" t="s">
        <v>1331</v>
      </c>
      <c r="B510" t="s">
        <v>1332</v>
      </c>
      <c r="C510">
        <v>1800</v>
      </c>
      <c r="D510">
        <v>6</v>
      </c>
      <c r="E510">
        <v>10.8</v>
      </c>
      <c r="F510" t="s">
        <v>205</v>
      </c>
      <c r="G510" t="s">
        <v>1576</v>
      </c>
    </row>
    <row r="511" spans="1:7">
      <c r="A511" t="s">
        <v>1309</v>
      </c>
      <c r="B511" t="s">
        <v>1310</v>
      </c>
      <c r="C511">
        <v>200</v>
      </c>
      <c r="D511">
        <v>24</v>
      </c>
      <c r="E511">
        <v>4.8</v>
      </c>
      <c r="F511" t="s">
        <v>205</v>
      </c>
      <c r="G511" t="s">
        <v>1576</v>
      </c>
    </row>
    <row r="512" spans="1:7">
      <c r="A512" t="s">
        <v>1339</v>
      </c>
      <c r="B512" t="s">
        <v>1340</v>
      </c>
      <c r="C512">
        <v>400</v>
      </c>
      <c r="D512">
        <v>24</v>
      </c>
      <c r="E512">
        <v>9.6</v>
      </c>
      <c r="F512" t="s">
        <v>205</v>
      </c>
      <c r="G512">
        <v>83</v>
      </c>
    </row>
    <row r="513" spans="1:7">
      <c r="A513" t="s">
        <v>1321</v>
      </c>
      <c r="B513" t="s">
        <v>1322</v>
      </c>
      <c r="C513">
        <v>1000</v>
      </c>
      <c r="D513">
        <v>10</v>
      </c>
      <c r="E513">
        <v>10</v>
      </c>
      <c r="F513" t="s">
        <v>205</v>
      </c>
      <c r="G513">
        <v>146</v>
      </c>
    </row>
    <row r="514" spans="1:7">
      <c r="A514" t="s">
        <v>1329</v>
      </c>
      <c r="B514" t="s">
        <v>1330</v>
      </c>
      <c r="C514">
        <v>1800</v>
      </c>
      <c r="D514">
        <v>6</v>
      </c>
      <c r="E514">
        <v>10.8</v>
      </c>
      <c r="F514" t="s">
        <v>205</v>
      </c>
      <c r="G514" t="s">
        <v>1576</v>
      </c>
    </row>
    <row r="515" spans="1:7">
      <c r="A515" t="s">
        <v>1337</v>
      </c>
      <c r="B515" t="s">
        <v>1338</v>
      </c>
      <c r="C515">
        <v>400</v>
      </c>
      <c r="D515">
        <v>24</v>
      </c>
      <c r="E515">
        <v>9.6</v>
      </c>
      <c r="F515" t="s">
        <v>205</v>
      </c>
      <c r="G515">
        <v>83</v>
      </c>
    </row>
    <row r="516" spans="1:7">
      <c r="A516" t="s">
        <v>1319</v>
      </c>
      <c r="B516" t="s">
        <v>1320</v>
      </c>
      <c r="C516">
        <v>1000</v>
      </c>
      <c r="D516">
        <v>10</v>
      </c>
      <c r="E516">
        <v>10</v>
      </c>
      <c r="F516" t="s">
        <v>205</v>
      </c>
      <c r="G516">
        <v>146</v>
      </c>
    </row>
    <row r="517" spans="1:7">
      <c r="A517" t="s">
        <v>1327</v>
      </c>
      <c r="B517" t="s">
        <v>1328</v>
      </c>
      <c r="C517">
        <v>1800</v>
      </c>
      <c r="D517">
        <v>6</v>
      </c>
      <c r="E517">
        <v>10.8</v>
      </c>
      <c r="F517" t="s">
        <v>205</v>
      </c>
      <c r="G517" t="s">
        <v>1576</v>
      </c>
    </row>
    <row r="518" spans="1:7">
      <c r="A518" t="s">
        <v>1335</v>
      </c>
      <c r="B518" t="s">
        <v>1336</v>
      </c>
      <c r="C518">
        <v>400</v>
      </c>
      <c r="D518">
        <v>24</v>
      </c>
      <c r="E518">
        <v>9.6</v>
      </c>
      <c r="F518" t="s">
        <v>205</v>
      </c>
      <c r="G518">
        <v>83</v>
      </c>
    </row>
    <row r="519" spans="1:7">
      <c r="A519" t="s">
        <v>1317</v>
      </c>
      <c r="B519" t="s">
        <v>1318</v>
      </c>
      <c r="C519">
        <v>1000</v>
      </c>
      <c r="D519">
        <v>10</v>
      </c>
      <c r="E519">
        <v>10</v>
      </c>
      <c r="F519" t="s">
        <v>205</v>
      </c>
      <c r="G519">
        <v>146</v>
      </c>
    </row>
    <row r="520" spans="1:7">
      <c r="A520" t="s">
        <v>1325</v>
      </c>
      <c r="B520" t="s">
        <v>1326</v>
      </c>
      <c r="C520">
        <v>1800</v>
      </c>
      <c r="D520">
        <v>6</v>
      </c>
      <c r="E520">
        <v>10.8</v>
      </c>
      <c r="F520" t="s">
        <v>205</v>
      </c>
      <c r="G520" t="s">
        <v>1576</v>
      </c>
    </row>
    <row r="521" spans="1:7">
      <c r="A521" t="s">
        <v>1313</v>
      </c>
      <c r="B521" t="s">
        <v>1314</v>
      </c>
      <c r="C521">
        <v>620</v>
      </c>
      <c r="D521">
        <v>12</v>
      </c>
      <c r="E521">
        <v>7.44</v>
      </c>
      <c r="F521" t="s">
        <v>205</v>
      </c>
      <c r="G521" t="s">
        <v>1576</v>
      </c>
    </row>
    <row r="522" spans="1:7">
      <c r="A522" t="s">
        <v>1311</v>
      </c>
      <c r="B522" t="s">
        <v>1312</v>
      </c>
      <c r="C522">
        <v>620</v>
      </c>
      <c r="D522">
        <v>12</v>
      </c>
      <c r="E522">
        <v>7.44</v>
      </c>
      <c r="F522" t="s">
        <v>205</v>
      </c>
      <c r="G522" t="s">
        <v>1576</v>
      </c>
    </row>
    <row r="523" spans="1:7">
      <c r="A523" t="s">
        <v>1315</v>
      </c>
      <c r="B523" t="s">
        <v>1316</v>
      </c>
      <c r="C523">
        <v>700</v>
      </c>
      <c r="D523">
        <v>10</v>
      </c>
      <c r="E523">
        <v>7</v>
      </c>
      <c r="F523" t="s">
        <v>205</v>
      </c>
      <c r="G523">
        <v>125</v>
      </c>
    </row>
    <row r="524" spans="1:7">
      <c r="A524" t="s">
        <v>1655</v>
      </c>
      <c r="B524" t="s">
        <v>1656</v>
      </c>
      <c r="C524">
        <v>1000</v>
      </c>
      <c r="D524">
        <v>10</v>
      </c>
      <c r="E524">
        <v>10</v>
      </c>
      <c r="F524" t="s">
        <v>205</v>
      </c>
      <c r="G524">
        <v>146</v>
      </c>
    </row>
    <row r="525" spans="1:7">
      <c r="A525" t="s">
        <v>1657</v>
      </c>
      <c r="B525" t="s">
        <v>1658</v>
      </c>
      <c r="C525">
        <v>1000</v>
      </c>
      <c r="D525">
        <v>10</v>
      </c>
      <c r="E525">
        <v>10</v>
      </c>
      <c r="F525" t="s">
        <v>205</v>
      </c>
      <c r="G525">
        <v>146</v>
      </c>
    </row>
    <row r="526" spans="1:7">
      <c r="A526" t="s">
        <v>1659</v>
      </c>
      <c r="B526" t="s">
        <v>1660</v>
      </c>
      <c r="C526">
        <v>1000</v>
      </c>
      <c r="D526">
        <v>10</v>
      </c>
      <c r="E526">
        <v>10</v>
      </c>
      <c r="F526" t="s">
        <v>205</v>
      </c>
      <c r="G526">
        <v>146</v>
      </c>
    </row>
    <row r="527" spans="1:7">
      <c r="A527" t="s">
        <v>1661</v>
      </c>
      <c r="B527" t="s">
        <v>1662</v>
      </c>
      <c r="C527">
        <v>1000</v>
      </c>
      <c r="D527">
        <v>10</v>
      </c>
      <c r="E527">
        <v>10</v>
      </c>
      <c r="F527" t="s">
        <v>205</v>
      </c>
      <c r="G527">
        <v>146</v>
      </c>
    </row>
    <row r="528" spans="1:7">
      <c r="A528" t="s">
        <v>511</v>
      </c>
      <c r="B528" t="s">
        <v>512</v>
      </c>
      <c r="C528">
        <v>400</v>
      </c>
      <c r="D528">
        <v>24</v>
      </c>
      <c r="E528">
        <v>9.6</v>
      </c>
      <c r="F528" t="s">
        <v>205</v>
      </c>
      <c r="G528">
        <v>66.666666666666671</v>
      </c>
    </row>
    <row r="529" spans="1:7">
      <c r="A529" t="s">
        <v>513</v>
      </c>
      <c r="B529" t="s">
        <v>514</v>
      </c>
      <c r="C529">
        <v>400</v>
      </c>
      <c r="D529">
        <v>24</v>
      </c>
      <c r="E529">
        <v>9.6</v>
      </c>
      <c r="F529" t="s">
        <v>205</v>
      </c>
      <c r="G529">
        <v>66.666666666666671</v>
      </c>
    </row>
    <row r="530" spans="1:7">
      <c r="A530" t="s">
        <v>1450</v>
      </c>
      <c r="B530" t="s">
        <v>1640</v>
      </c>
      <c r="C530">
        <v>400</v>
      </c>
      <c r="D530">
        <v>21</v>
      </c>
      <c r="E530">
        <v>8.4</v>
      </c>
      <c r="F530" t="s">
        <v>205</v>
      </c>
      <c r="G530">
        <v>125</v>
      </c>
    </row>
    <row r="531" spans="1:7">
      <c r="A531" t="s">
        <v>1282</v>
      </c>
      <c r="B531" t="s">
        <v>1283</v>
      </c>
      <c r="C531">
        <v>400</v>
      </c>
      <c r="D531">
        <v>24</v>
      </c>
      <c r="E531">
        <v>9.6</v>
      </c>
      <c r="F531" t="s">
        <v>205</v>
      </c>
      <c r="G531">
        <v>100</v>
      </c>
    </row>
    <row r="532" spans="1:7">
      <c r="A532" t="s">
        <v>1286</v>
      </c>
      <c r="B532" t="s">
        <v>1287</v>
      </c>
      <c r="C532">
        <v>1000</v>
      </c>
      <c r="D532">
        <v>10</v>
      </c>
      <c r="E532">
        <v>10</v>
      </c>
      <c r="F532" t="s">
        <v>205</v>
      </c>
      <c r="G532">
        <v>158.33333333333334</v>
      </c>
    </row>
    <row r="533" spans="1:7">
      <c r="A533" t="s">
        <v>1290</v>
      </c>
      <c r="B533" t="s">
        <v>1291</v>
      </c>
      <c r="C533">
        <v>3000</v>
      </c>
      <c r="D533">
        <v>4</v>
      </c>
      <c r="E533">
        <v>12</v>
      </c>
      <c r="F533" t="s">
        <v>205</v>
      </c>
      <c r="G533">
        <v>83.333333333333329</v>
      </c>
    </row>
    <row r="534" spans="1:7">
      <c r="A534" t="s">
        <v>1272</v>
      </c>
      <c r="B534" t="s">
        <v>1273</v>
      </c>
      <c r="C534">
        <v>400</v>
      </c>
      <c r="D534">
        <v>24</v>
      </c>
      <c r="E534">
        <v>9.6</v>
      </c>
      <c r="F534" t="s">
        <v>205</v>
      </c>
      <c r="G534">
        <v>100</v>
      </c>
    </row>
    <row r="535" spans="1:7">
      <c r="A535" t="s">
        <v>1276</v>
      </c>
      <c r="B535" t="s">
        <v>1277</v>
      </c>
      <c r="C535">
        <v>1000</v>
      </c>
      <c r="D535">
        <v>10</v>
      </c>
      <c r="E535">
        <v>10</v>
      </c>
      <c r="F535" t="s">
        <v>205</v>
      </c>
      <c r="G535">
        <v>158.33333333333334</v>
      </c>
    </row>
    <row r="536" spans="1:7">
      <c r="A536" t="s">
        <v>1280</v>
      </c>
      <c r="B536" t="s">
        <v>1281</v>
      </c>
      <c r="C536">
        <v>3000</v>
      </c>
      <c r="D536">
        <v>4</v>
      </c>
      <c r="E536">
        <v>12</v>
      </c>
      <c r="F536" t="s">
        <v>205</v>
      </c>
      <c r="G536">
        <v>83.333333333333329</v>
      </c>
    </row>
    <row r="537" spans="1:7">
      <c r="A537" t="s">
        <v>1300</v>
      </c>
      <c r="B537" t="s">
        <v>1301</v>
      </c>
      <c r="C537">
        <v>400</v>
      </c>
      <c r="D537">
        <v>24</v>
      </c>
      <c r="E537">
        <v>9.6</v>
      </c>
      <c r="F537" t="s">
        <v>205</v>
      </c>
      <c r="G537">
        <v>100</v>
      </c>
    </row>
    <row r="538" spans="1:7">
      <c r="A538" t="s">
        <v>1302</v>
      </c>
      <c r="B538" t="s">
        <v>1303</v>
      </c>
      <c r="C538">
        <v>1000</v>
      </c>
      <c r="D538">
        <v>10</v>
      </c>
      <c r="E538">
        <v>10</v>
      </c>
      <c r="F538" t="s">
        <v>205</v>
      </c>
      <c r="G538">
        <v>158.33333333333334</v>
      </c>
    </row>
    <row r="539" spans="1:7">
      <c r="A539" t="s">
        <v>1306</v>
      </c>
      <c r="B539" t="s">
        <v>1307</v>
      </c>
      <c r="C539">
        <v>3000</v>
      </c>
      <c r="D539">
        <v>4</v>
      </c>
      <c r="E539">
        <v>12</v>
      </c>
      <c r="F539" t="s">
        <v>205</v>
      </c>
      <c r="G539">
        <v>83.333333333333329</v>
      </c>
    </row>
    <row r="540" spans="1:7">
      <c r="A540" t="s">
        <v>1298</v>
      </c>
      <c r="B540" t="s">
        <v>1299</v>
      </c>
      <c r="C540">
        <v>400</v>
      </c>
      <c r="D540">
        <v>24</v>
      </c>
      <c r="E540">
        <v>9.6</v>
      </c>
      <c r="F540" t="s">
        <v>205</v>
      </c>
      <c r="G540">
        <v>100</v>
      </c>
    </row>
    <row r="541" spans="1:7">
      <c r="A541" t="s">
        <v>1296</v>
      </c>
      <c r="B541" t="s">
        <v>1297</v>
      </c>
      <c r="C541">
        <v>1000</v>
      </c>
      <c r="D541">
        <v>10</v>
      </c>
      <c r="E541">
        <v>10</v>
      </c>
      <c r="F541" t="s">
        <v>205</v>
      </c>
      <c r="G541">
        <v>158.33333333333334</v>
      </c>
    </row>
    <row r="542" spans="1:7">
      <c r="A542" t="s">
        <v>1292</v>
      </c>
      <c r="B542" t="s">
        <v>1293</v>
      </c>
      <c r="C542">
        <v>3000</v>
      </c>
      <c r="D542">
        <v>4</v>
      </c>
      <c r="E542">
        <v>12</v>
      </c>
      <c r="F542" t="s">
        <v>205</v>
      </c>
      <c r="G542">
        <v>83.333333333333329</v>
      </c>
    </row>
    <row r="543" spans="1:7">
      <c r="A543" t="s">
        <v>1343</v>
      </c>
      <c r="B543" t="s">
        <v>1344</v>
      </c>
      <c r="C543">
        <v>3000</v>
      </c>
      <c r="D543">
        <v>4</v>
      </c>
      <c r="E543">
        <v>12</v>
      </c>
      <c r="F543" t="s">
        <v>205</v>
      </c>
      <c r="G543">
        <v>83.333333333333329</v>
      </c>
    </row>
    <row r="544" spans="1:7">
      <c r="A544" t="s">
        <v>1345</v>
      </c>
      <c r="B544" t="s">
        <v>1346</v>
      </c>
      <c r="C544">
        <v>3000</v>
      </c>
      <c r="D544">
        <v>4</v>
      </c>
      <c r="E544">
        <v>12</v>
      </c>
      <c r="F544" t="s">
        <v>205</v>
      </c>
      <c r="G544">
        <v>83.333333333333329</v>
      </c>
    </row>
    <row r="545" spans="1:7">
      <c r="A545" t="s">
        <v>1455</v>
      </c>
      <c r="B545" t="s">
        <v>1456</v>
      </c>
      <c r="C545">
        <v>400</v>
      </c>
      <c r="D545">
        <v>21</v>
      </c>
      <c r="E545">
        <v>8.4</v>
      </c>
      <c r="F545" t="s">
        <v>205</v>
      </c>
      <c r="G545">
        <v>137.5</v>
      </c>
    </row>
    <row r="546" spans="1:7">
      <c r="A546" t="s">
        <v>1435</v>
      </c>
      <c r="B546" t="s">
        <v>1436</v>
      </c>
      <c r="C546">
        <v>900</v>
      </c>
      <c r="D546">
        <v>10</v>
      </c>
      <c r="E546">
        <v>9.4</v>
      </c>
      <c r="F546" t="s">
        <v>205</v>
      </c>
      <c r="G546">
        <v>145.83333333333334</v>
      </c>
    </row>
    <row r="547" spans="1:7">
      <c r="A547" t="s">
        <v>1263</v>
      </c>
      <c r="B547" t="s">
        <v>1264</v>
      </c>
      <c r="C547">
        <v>400</v>
      </c>
      <c r="D547">
        <v>21</v>
      </c>
      <c r="E547">
        <v>8.4</v>
      </c>
      <c r="F547" t="s">
        <v>205</v>
      </c>
      <c r="G547">
        <v>137.5</v>
      </c>
    </row>
    <row r="548" spans="1:7">
      <c r="A548" t="s">
        <v>1261</v>
      </c>
      <c r="B548" t="s">
        <v>1262</v>
      </c>
      <c r="C548">
        <v>900</v>
      </c>
      <c r="D548">
        <v>10</v>
      </c>
      <c r="E548">
        <v>9.4</v>
      </c>
      <c r="F548" t="s">
        <v>205</v>
      </c>
      <c r="G548">
        <v>145.83333333333334</v>
      </c>
    </row>
    <row r="549" spans="1:7">
      <c r="A549" t="s">
        <v>358</v>
      </c>
      <c r="B549" t="s">
        <v>359</v>
      </c>
      <c r="C549">
        <v>300</v>
      </c>
      <c r="D549">
        <v>21</v>
      </c>
      <c r="E549">
        <v>10.4</v>
      </c>
      <c r="F549" t="s">
        <v>205</v>
      </c>
      <c r="G549">
        <v>125</v>
      </c>
    </row>
    <row r="550" spans="1:7">
      <c r="A550" t="s">
        <v>1266</v>
      </c>
      <c r="B550" t="s">
        <v>1267</v>
      </c>
      <c r="C550">
        <v>400</v>
      </c>
      <c r="D550">
        <v>24</v>
      </c>
      <c r="E550">
        <v>9.6</v>
      </c>
      <c r="F550" t="s">
        <v>205</v>
      </c>
      <c r="G550">
        <v>83</v>
      </c>
    </row>
    <row r="551" spans="1:7">
      <c r="A551" t="s">
        <v>674</v>
      </c>
      <c r="B551" t="s">
        <v>675</v>
      </c>
      <c r="C551">
        <v>900</v>
      </c>
      <c r="D551">
        <v>10</v>
      </c>
      <c r="E551">
        <v>9</v>
      </c>
      <c r="F551" t="s">
        <v>205</v>
      </c>
      <c r="G551">
        <v>187.5</v>
      </c>
    </row>
    <row r="552" spans="1:7">
      <c r="A552" t="s">
        <v>668</v>
      </c>
      <c r="B552" t="s">
        <v>669</v>
      </c>
      <c r="C552">
        <v>900</v>
      </c>
      <c r="D552">
        <v>10</v>
      </c>
      <c r="E552">
        <v>9</v>
      </c>
      <c r="F552" t="s">
        <v>205</v>
      </c>
      <c r="G552">
        <v>187.5</v>
      </c>
    </row>
    <row r="553" spans="1:7">
      <c r="A553" t="s">
        <v>666</v>
      </c>
      <c r="B553" t="s">
        <v>667</v>
      </c>
      <c r="C553">
        <v>900</v>
      </c>
      <c r="D553">
        <v>10</v>
      </c>
      <c r="E553">
        <v>9</v>
      </c>
      <c r="F553" t="s">
        <v>205</v>
      </c>
      <c r="G553">
        <v>187.5</v>
      </c>
    </row>
    <row r="554" spans="1:7">
      <c r="A554" t="s">
        <v>663</v>
      </c>
      <c r="B554" t="s">
        <v>664</v>
      </c>
      <c r="C554">
        <v>900</v>
      </c>
      <c r="D554">
        <v>10</v>
      </c>
      <c r="E554">
        <v>9</v>
      </c>
      <c r="F554" t="s">
        <v>205</v>
      </c>
      <c r="G554">
        <v>187.5</v>
      </c>
    </row>
    <row r="555" spans="1:7">
      <c r="A555" t="s">
        <v>670</v>
      </c>
      <c r="B555" t="s">
        <v>671</v>
      </c>
      <c r="C555">
        <v>900</v>
      </c>
      <c r="D555">
        <v>10</v>
      </c>
      <c r="E555">
        <v>9</v>
      </c>
      <c r="F555" t="s">
        <v>205</v>
      </c>
      <c r="G555">
        <v>187.5</v>
      </c>
    </row>
    <row r="556" spans="1:7">
      <c r="A556" t="s">
        <v>641</v>
      </c>
      <c r="B556" t="s">
        <v>642</v>
      </c>
      <c r="C556">
        <v>400</v>
      </c>
      <c r="D556">
        <v>21</v>
      </c>
      <c r="E556">
        <v>8.4</v>
      </c>
      <c r="F556" t="s">
        <v>205</v>
      </c>
      <c r="G556">
        <v>158.33333333333334</v>
      </c>
    </row>
    <row r="557" spans="1:7">
      <c r="A557" t="s">
        <v>672</v>
      </c>
      <c r="B557" t="s">
        <v>673</v>
      </c>
      <c r="C557">
        <v>900</v>
      </c>
      <c r="D557">
        <v>10</v>
      </c>
      <c r="E557">
        <v>9</v>
      </c>
      <c r="F557" t="s">
        <v>205</v>
      </c>
      <c r="G557">
        <v>187.5</v>
      </c>
    </row>
    <row r="558" spans="1:7">
      <c r="A558" t="s">
        <v>677</v>
      </c>
      <c r="B558" t="s">
        <v>678</v>
      </c>
      <c r="C558">
        <v>900</v>
      </c>
      <c r="D558">
        <v>10</v>
      </c>
      <c r="E558">
        <v>9</v>
      </c>
      <c r="F558" t="s">
        <v>205</v>
      </c>
      <c r="G558">
        <v>187.5</v>
      </c>
    </row>
    <row r="559" spans="1:7">
      <c r="A559" t="s">
        <v>687</v>
      </c>
      <c r="B559" t="s">
        <v>688</v>
      </c>
      <c r="C559">
        <v>400</v>
      </c>
      <c r="D559">
        <v>21</v>
      </c>
      <c r="E559">
        <v>8.4</v>
      </c>
      <c r="F559" t="s">
        <v>205</v>
      </c>
      <c r="G559">
        <v>158.33333333333334</v>
      </c>
    </row>
    <row r="560" spans="1:7">
      <c r="A560" t="s">
        <v>1351</v>
      </c>
      <c r="B560" t="s">
        <v>1352</v>
      </c>
      <c r="C560">
        <v>330</v>
      </c>
      <c r="D560">
        <v>21</v>
      </c>
      <c r="E560">
        <v>6.93</v>
      </c>
      <c r="F560" t="s">
        <v>205</v>
      </c>
      <c r="G560">
        <v>158.33333333333334</v>
      </c>
    </row>
    <row r="561" spans="1:7">
      <c r="A561" t="s">
        <v>1374</v>
      </c>
      <c r="B561" t="s">
        <v>1375</v>
      </c>
      <c r="C561">
        <v>330</v>
      </c>
      <c r="D561">
        <v>21</v>
      </c>
      <c r="E561">
        <v>6.93</v>
      </c>
      <c r="F561" t="s">
        <v>205</v>
      </c>
      <c r="G561">
        <v>158.33333333333334</v>
      </c>
    </row>
    <row r="562" spans="1:7">
      <c r="A562" t="s">
        <v>709</v>
      </c>
      <c r="B562" t="s">
        <v>710</v>
      </c>
      <c r="C562">
        <v>360</v>
      </c>
      <c r="D562">
        <v>24</v>
      </c>
      <c r="E562">
        <v>8.64</v>
      </c>
      <c r="F562" t="s">
        <v>205</v>
      </c>
      <c r="G562">
        <v>100</v>
      </c>
    </row>
    <row r="563" spans="1:7">
      <c r="A563" t="s">
        <v>713</v>
      </c>
      <c r="B563" t="s">
        <v>714</v>
      </c>
      <c r="C563">
        <v>700</v>
      </c>
      <c r="D563">
        <v>10</v>
      </c>
      <c r="E563">
        <v>7</v>
      </c>
      <c r="F563" t="s">
        <v>205</v>
      </c>
      <c r="G563">
        <v>166.66666666666666</v>
      </c>
    </row>
    <row r="564" spans="1:7">
      <c r="A564" t="s">
        <v>711</v>
      </c>
      <c r="B564" t="s">
        <v>712</v>
      </c>
      <c r="C564">
        <v>700</v>
      </c>
      <c r="D564">
        <v>10</v>
      </c>
      <c r="E564">
        <v>7</v>
      </c>
      <c r="F564" t="s">
        <v>205</v>
      </c>
      <c r="G564">
        <v>166.66666666666666</v>
      </c>
    </row>
    <row r="565" spans="1:7">
      <c r="A565" t="s">
        <v>739</v>
      </c>
      <c r="B565" t="s">
        <v>1663</v>
      </c>
      <c r="C565">
        <v>400</v>
      </c>
      <c r="D565">
        <v>24</v>
      </c>
      <c r="E565">
        <v>9.6</v>
      </c>
      <c r="F565" t="s">
        <v>205</v>
      </c>
      <c r="G565">
        <v>100</v>
      </c>
    </row>
    <row r="566" spans="1:7">
      <c r="A566" t="s">
        <v>1245</v>
      </c>
      <c r="B566" t="s">
        <v>1246</v>
      </c>
      <c r="C566">
        <v>400</v>
      </c>
      <c r="D566">
        <v>24</v>
      </c>
      <c r="E566">
        <v>9.6</v>
      </c>
      <c r="F566" t="s">
        <v>205</v>
      </c>
      <c r="G566">
        <v>100</v>
      </c>
    </row>
    <row r="567" spans="1:7">
      <c r="A567" t="s">
        <v>1241</v>
      </c>
      <c r="B567" t="s">
        <v>1242</v>
      </c>
      <c r="C567">
        <v>1000</v>
      </c>
      <c r="D567">
        <v>10</v>
      </c>
      <c r="E567">
        <v>10</v>
      </c>
      <c r="F567" t="s">
        <v>205</v>
      </c>
      <c r="G567">
        <v>166.66666666666666</v>
      </c>
    </row>
    <row r="568" spans="1:7">
      <c r="A568" t="s">
        <v>1237</v>
      </c>
      <c r="B568" t="s">
        <v>1238</v>
      </c>
      <c r="C568">
        <v>3000</v>
      </c>
      <c r="D568">
        <v>4</v>
      </c>
      <c r="E568">
        <v>12</v>
      </c>
      <c r="F568" t="s">
        <v>205</v>
      </c>
      <c r="G568">
        <v>104.16666666666667</v>
      </c>
    </row>
    <row r="569" spans="1:7">
      <c r="A569" t="s">
        <v>1258</v>
      </c>
      <c r="B569" t="s">
        <v>1259</v>
      </c>
      <c r="C569">
        <v>400</v>
      </c>
      <c r="D569">
        <v>24</v>
      </c>
      <c r="E569">
        <v>9.6</v>
      </c>
      <c r="F569" t="s">
        <v>205</v>
      </c>
      <c r="G569">
        <v>100</v>
      </c>
    </row>
    <row r="570" spans="1:7">
      <c r="A570" t="s">
        <v>1251</v>
      </c>
      <c r="B570" t="s">
        <v>1252</v>
      </c>
      <c r="C570">
        <v>1000</v>
      </c>
      <c r="D570">
        <v>10</v>
      </c>
      <c r="E570">
        <v>10</v>
      </c>
      <c r="F570" t="s">
        <v>205</v>
      </c>
      <c r="G570">
        <v>166.66666666666666</v>
      </c>
    </row>
    <row r="571" spans="1:7">
      <c r="A571" t="s">
        <v>1247</v>
      </c>
      <c r="B571" t="s">
        <v>1248</v>
      </c>
      <c r="C571">
        <v>3000</v>
      </c>
      <c r="D571">
        <v>4</v>
      </c>
      <c r="E571">
        <v>12</v>
      </c>
      <c r="F571" t="s">
        <v>205</v>
      </c>
      <c r="G571">
        <v>104.16666666666667</v>
      </c>
    </row>
    <row r="572" spans="1:7">
      <c r="A572" t="s">
        <v>1227</v>
      </c>
      <c r="B572" t="s">
        <v>1228</v>
      </c>
      <c r="C572">
        <v>400</v>
      </c>
      <c r="D572">
        <v>24</v>
      </c>
      <c r="E572">
        <v>9.6</v>
      </c>
      <c r="F572" t="s">
        <v>205</v>
      </c>
      <c r="G572">
        <v>100</v>
      </c>
    </row>
    <row r="573" spans="1:7">
      <c r="A573" t="s">
        <v>1225</v>
      </c>
      <c r="B573" t="s">
        <v>1226</v>
      </c>
      <c r="C573">
        <v>1000</v>
      </c>
      <c r="D573">
        <v>10</v>
      </c>
      <c r="E573">
        <v>10</v>
      </c>
      <c r="F573" t="s">
        <v>205</v>
      </c>
      <c r="G573">
        <v>166.66666666666666</v>
      </c>
    </row>
    <row r="574" spans="1:7">
      <c r="A574" t="s">
        <v>1221</v>
      </c>
      <c r="B574" t="s">
        <v>1222</v>
      </c>
      <c r="C574">
        <v>3000</v>
      </c>
      <c r="D574">
        <v>4</v>
      </c>
      <c r="E574">
        <v>12</v>
      </c>
      <c r="F574" t="s">
        <v>205</v>
      </c>
      <c r="G574">
        <v>104.16666666666667</v>
      </c>
    </row>
    <row r="575" spans="1:7">
      <c r="A575" t="s">
        <v>1235</v>
      </c>
      <c r="B575" t="s">
        <v>1236</v>
      </c>
      <c r="C575">
        <v>400</v>
      </c>
      <c r="D575">
        <v>24</v>
      </c>
      <c r="E575">
        <v>9.6</v>
      </c>
      <c r="F575" t="s">
        <v>205</v>
      </c>
      <c r="G575">
        <v>100</v>
      </c>
    </row>
    <row r="576" spans="1:7">
      <c r="A576" t="s">
        <v>1233</v>
      </c>
      <c r="B576" t="s">
        <v>1234</v>
      </c>
      <c r="C576">
        <v>1000</v>
      </c>
      <c r="D576">
        <v>10</v>
      </c>
      <c r="E576">
        <v>10</v>
      </c>
      <c r="F576" t="s">
        <v>205</v>
      </c>
      <c r="G576">
        <v>166.66666666666666</v>
      </c>
    </row>
    <row r="577" spans="1:7">
      <c r="A577" t="s">
        <v>1229</v>
      </c>
      <c r="B577" t="s">
        <v>1230</v>
      </c>
      <c r="C577">
        <v>3000</v>
      </c>
      <c r="D577">
        <v>4</v>
      </c>
      <c r="E577">
        <v>12</v>
      </c>
      <c r="F577" t="s">
        <v>205</v>
      </c>
      <c r="G577">
        <v>104.16666666666667</v>
      </c>
    </row>
    <row r="578" spans="1:7">
      <c r="A578" t="s">
        <v>1208</v>
      </c>
      <c r="B578" t="s">
        <v>1209</v>
      </c>
      <c r="C578">
        <v>800</v>
      </c>
      <c r="D578">
        <v>10</v>
      </c>
      <c r="E578">
        <v>8</v>
      </c>
      <c r="F578" t="s">
        <v>205</v>
      </c>
      <c r="G578">
        <v>166.66666666666666</v>
      </c>
    </row>
    <row r="579" spans="1:7">
      <c r="A579" t="s">
        <v>615</v>
      </c>
      <c r="B579" t="s">
        <v>616</v>
      </c>
      <c r="C579">
        <v>150</v>
      </c>
      <c r="D579">
        <v>48</v>
      </c>
      <c r="E579">
        <v>7.2</v>
      </c>
      <c r="F579" t="s">
        <v>205</v>
      </c>
      <c r="G579">
        <v>62.5</v>
      </c>
    </row>
    <row r="580" spans="1:7">
      <c r="A580" t="s">
        <v>825</v>
      </c>
      <c r="B580" t="s">
        <v>826</v>
      </c>
      <c r="C580">
        <v>3000</v>
      </c>
      <c r="D580">
        <v>4</v>
      </c>
      <c r="E580">
        <v>12</v>
      </c>
      <c r="F580" t="s">
        <v>205</v>
      </c>
      <c r="G580">
        <v>104.16666666666667</v>
      </c>
    </row>
    <row r="581" spans="1:7">
      <c r="A581" t="s">
        <v>827</v>
      </c>
      <c r="B581" t="s">
        <v>828</v>
      </c>
      <c r="C581">
        <v>3000</v>
      </c>
      <c r="D581">
        <v>4</v>
      </c>
      <c r="E581">
        <v>12</v>
      </c>
      <c r="F581" t="s">
        <v>205</v>
      </c>
      <c r="G581">
        <v>104.16666666666667</v>
      </c>
    </row>
    <row r="582" spans="1:7">
      <c r="A582" t="s">
        <v>829</v>
      </c>
      <c r="B582" t="s">
        <v>830</v>
      </c>
      <c r="C582">
        <v>3000</v>
      </c>
      <c r="D582">
        <v>4</v>
      </c>
      <c r="E582">
        <v>12</v>
      </c>
      <c r="F582" t="s">
        <v>205</v>
      </c>
      <c r="G582">
        <v>104.16666666666667</v>
      </c>
    </row>
    <row r="583" spans="1:7">
      <c r="A583" t="s">
        <v>831</v>
      </c>
      <c r="B583" t="s">
        <v>832</v>
      </c>
      <c r="C583">
        <v>3000</v>
      </c>
      <c r="D583">
        <v>4</v>
      </c>
      <c r="E583">
        <v>12</v>
      </c>
      <c r="F583" t="s">
        <v>205</v>
      </c>
      <c r="G583">
        <v>104.16666666666667</v>
      </c>
    </row>
    <row r="584" spans="1:7">
      <c r="A584" t="s">
        <v>899</v>
      </c>
      <c r="B584" t="s">
        <v>1577</v>
      </c>
      <c r="C584">
        <v>900</v>
      </c>
      <c r="D584">
        <v>10</v>
      </c>
      <c r="E584">
        <v>9</v>
      </c>
      <c r="F584" t="s">
        <v>205</v>
      </c>
      <c r="G584">
        <v>187.5</v>
      </c>
    </row>
    <row r="585" spans="1:7">
      <c r="A585" t="s">
        <v>893</v>
      </c>
      <c r="B585" t="s">
        <v>1578</v>
      </c>
      <c r="C585">
        <v>900</v>
      </c>
      <c r="D585">
        <v>10</v>
      </c>
      <c r="E585">
        <v>9</v>
      </c>
      <c r="F585" t="s">
        <v>205</v>
      </c>
      <c r="G585">
        <v>187.5</v>
      </c>
    </row>
    <row r="586" spans="1:7">
      <c r="A586" t="s">
        <v>881</v>
      </c>
      <c r="B586" t="s">
        <v>1603</v>
      </c>
      <c r="C586">
        <v>900</v>
      </c>
      <c r="D586">
        <v>10</v>
      </c>
      <c r="E586">
        <v>9</v>
      </c>
      <c r="F586" t="s">
        <v>205</v>
      </c>
      <c r="G586">
        <v>187.5</v>
      </c>
    </row>
    <row r="587" spans="1:7">
      <c r="A587" t="s">
        <v>871</v>
      </c>
      <c r="B587" t="s">
        <v>1605</v>
      </c>
      <c r="C587">
        <v>900</v>
      </c>
      <c r="D587">
        <v>10</v>
      </c>
      <c r="E587">
        <v>9</v>
      </c>
      <c r="F587" t="s">
        <v>205</v>
      </c>
      <c r="G587">
        <v>187.5</v>
      </c>
    </row>
    <row r="588" spans="1:7">
      <c r="A588" t="s">
        <v>749</v>
      </c>
      <c r="B588" t="s">
        <v>1579</v>
      </c>
      <c r="C588">
        <v>350</v>
      </c>
      <c r="D588">
        <v>24</v>
      </c>
      <c r="E588">
        <v>8.4</v>
      </c>
      <c r="F588" t="s">
        <v>205</v>
      </c>
      <c r="G588">
        <v>100</v>
      </c>
    </row>
    <row r="589" spans="1:7">
      <c r="A589" t="s">
        <v>753</v>
      </c>
      <c r="B589" t="s">
        <v>1581</v>
      </c>
      <c r="C589">
        <v>1000</v>
      </c>
      <c r="D589">
        <v>10</v>
      </c>
      <c r="E589">
        <v>10</v>
      </c>
      <c r="F589" t="s">
        <v>205</v>
      </c>
      <c r="G589">
        <v>166.66666666666666</v>
      </c>
    </row>
    <row r="590" spans="1:7">
      <c r="A590" t="s">
        <v>757</v>
      </c>
      <c r="B590" t="s">
        <v>1592</v>
      </c>
      <c r="C590">
        <v>3000</v>
      </c>
      <c r="D590">
        <v>4</v>
      </c>
      <c r="E590">
        <v>12</v>
      </c>
      <c r="F590" t="s">
        <v>205</v>
      </c>
      <c r="G590">
        <v>104.16666666666667</v>
      </c>
    </row>
    <row r="591" spans="1:7">
      <c r="A591" t="s">
        <v>739</v>
      </c>
      <c r="B591" t="s">
        <v>1583</v>
      </c>
      <c r="C591">
        <v>350</v>
      </c>
      <c r="D591">
        <v>24</v>
      </c>
      <c r="E591">
        <v>8.4</v>
      </c>
      <c r="F591" t="s">
        <v>205</v>
      </c>
      <c r="G591">
        <v>100</v>
      </c>
    </row>
    <row r="592" spans="1:7">
      <c r="A592" t="s">
        <v>741</v>
      </c>
      <c r="B592" t="s">
        <v>1585</v>
      </c>
      <c r="C592">
        <v>1000</v>
      </c>
      <c r="D592">
        <v>10</v>
      </c>
      <c r="E592">
        <v>10</v>
      </c>
      <c r="F592" t="s">
        <v>205</v>
      </c>
      <c r="G592">
        <v>166.66666666666666</v>
      </c>
    </row>
    <row r="593" spans="1:7">
      <c r="A593" t="s">
        <v>747</v>
      </c>
      <c r="B593" t="s">
        <v>1593</v>
      </c>
      <c r="C593">
        <v>3000</v>
      </c>
      <c r="D593">
        <v>4</v>
      </c>
      <c r="E593">
        <v>12</v>
      </c>
      <c r="F593" t="s">
        <v>205</v>
      </c>
      <c r="G593">
        <v>104.16666666666667</v>
      </c>
    </row>
    <row r="594" spans="1:7">
      <c r="A594" t="s">
        <v>767</v>
      </c>
      <c r="B594" t="s">
        <v>1586</v>
      </c>
      <c r="C594">
        <v>350</v>
      </c>
      <c r="D594">
        <v>24</v>
      </c>
      <c r="E594">
        <v>8.4</v>
      </c>
      <c r="F594" t="s">
        <v>205</v>
      </c>
      <c r="G594">
        <v>100</v>
      </c>
    </row>
    <row r="595" spans="1:7">
      <c r="A595" t="s">
        <v>769</v>
      </c>
      <c r="B595" t="s">
        <v>1587</v>
      </c>
      <c r="C595">
        <v>1000</v>
      </c>
      <c r="D595">
        <v>10</v>
      </c>
      <c r="E595">
        <v>10</v>
      </c>
      <c r="F595" t="s">
        <v>205</v>
      </c>
      <c r="G595">
        <v>166.66666666666666</v>
      </c>
    </row>
    <row r="596" spans="1:7">
      <c r="A596" t="s">
        <v>773</v>
      </c>
      <c r="B596" t="s">
        <v>1594</v>
      </c>
      <c r="C596">
        <v>3000</v>
      </c>
      <c r="D596">
        <v>4</v>
      </c>
      <c r="E596">
        <v>12</v>
      </c>
      <c r="F596" t="s">
        <v>205</v>
      </c>
      <c r="G596">
        <v>104.16666666666667</v>
      </c>
    </row>
    <row r="597" spans="1:7">
      <c r="A597" t="s">
        <v>759</v>
      </c>
      <c r="B597" t="s">
        <v>1588</v>
      </c>
      <c r="C597">
        <v>350</v>
      </c>
      <c r="D597">
        <v>24</v>
      </c>
      <c r="E597">
        <v>8.4</v>
      </c>
      <c r="F597" t="s">
        <v>205</v>
      </c>
      <c r="G597">
        <v>100</v>
      </c>
    </row>
    <row r="598" spans="1:7">
      <c r="A598" t="s">
        <v>761</v>
      </c>
      <c r="B598" t="s">
        <v>1589</v>
      </c>
      <c r="C598">
        <v>1000</v>
      </c>
      <c r="D598">
        <v>10</v>
      </c>
      <c r="E598">
        <v>10</v>
      </c>
      <c r="F598" t="s">
        <v>205</v>
      </c>
      <c r="G598">
        <v>166.66666666666666</v>
      </c>
    </row>
    <row r="599" spans="1:7">
      <c r="A599" t="s">
        <v>765</v>
      </c>
      <c r="B599" t="s">
        <v>1595</v>
      </c>
      <c r="C599">
        <v>3000</v>
      </c>
      <c r="D599">
        <v>4</v>
      </c>
      <c r="E599">
        <v>12</v>
      </c>
      <c r="F599" t="s">
        <v>205</v>
      </c>
      <c r="G599">
        <v>104.16666666666667</v>
      </c>
    </row>
    <row r="600" spans="1:7">
      <c r="A600" t="s">
        <v>891</v>
      </c>
      <c r="B600" t="s">
        <v>1664</v>
      </c>
      <c r="C600">
        <v>3000</v>
      </c>
      <c r="D600">
        <v>4</v>
      </c>
      <c r="E600">
        <v>12</v>
      </c>
      <c r="F600" t="s">
        <v>205</v>
      </c>
      <c r="G600">
        <v>104.16666666666667</v>
      </c>
    </row>
    <row r="601" spans="1:7">
      <c r="A601" t="s">
        <v>889</v>
      </c>
      <c r="B601" t="s">
        <v>1665</v>
      </c>
      <c r="C601">
        <v>3000</v>
      </c>
      <c r="D601">
        <v>4</v>
      </c>
      <c r="E601">
        <v>12</v>
      </c>
      <c r="F601" t="s">
        <v>205</v>
      </c>
      <c r="G601">
        <v>104.16666666666667</v>
      </c>
    </row>
    <row r="602" spans="1:7">
      <c r="A602" t="s">
        <v>865</v>
      </c>
      <c r="B602" t="s">
        <v>1666</v>
      </c>
      <c r="C602">
        <v>3000</v>
      </c>
      <c r="D602">
        <v>4</v>
      </c>
      <c r="E602">
        <v>12</v>
      </c>
      <c r="F602" t="s">
        <v>205</v>
      </c>
      <c r="G602">
        <v>104.16666666666667</v>
      </c>
    </row>
    <row r="603" spans="1:7">
      <c r="A603" t="s">
        <v>863</v>
      </c>
      <c r="B603" t="s">
        <v>1667</v>
      </c>
      <c r="C603">
        <v>3000</v>
      </c>
      <c r="D603">
        <v>4</v>
      </c>
      <c r="E603">
        <v>12</v>
      </c>
      <c r="F603" t="s">
        <v>205</v>
      </c>
      <c r="G603">
        <v>104.16666666666667</v>
      </c>
    </row>
    <row r="604" spans="1:7">
      <c r="A604" t="s">
        <v>809</v>
      </c>
      <c r="B604" t="s">
        <v>810</v>
      </c>
      <c r="C604">
        <v>300</v>
      </c>
      <c r="D604">
        <v>24</v>
      </c>
      <c r="E604">
        <v>7.2</v>
      </c>
      <c r="F604" t="s">
        <v>205</v>
      </c>
      <c r="G604">
        <v>100</v>
      </c>
    </row>
    <row r="605" spans="1:7">
      <c r="A605" t="s">
        <v>805</v>
      </c>
      <c r="B605" t="s">
        <v>806</v>
      </c>
      <c r="C605">
        <v>300</v>
      </c>
      <c r="D605">
        <v>24</v>
      </c>
      <c r="E605">
        <v>7.2</v>
      </c>
      <c r="F605" t="s">
        <v>205</v>
      </c>
      <c r="G605">
        <v>100</v>
      </c>
    </row>
    <row r="606" spans="1:7">
      <c r="A606" t="s">
        <v>1198</v>
      </c>
      <c r="B606" t="s">
        <v>948</v>
      </c>
      <c r="C606">
        <v>800</v>
      </c>
      <c r="D606">
        <v>10</v>
      </c>
      <c r="E606">
        <v>8</v>
      </c>
      <c r="F606" t="s">
        <v>205</v>
      </c>
      <c r="G606">
        <v>166.66666666666666</v>
      </c>
    </row>
    <row r="607" spans="1:7">
      <c r="A607" t="s">
        <v>1199</v>
      </c>
      <c r="B607" t="s">
        <v>946</v>
      </c>
      <c r="C607">
        <v>400</v>
      </c>
      <c r="D607">
        <v>24</v>
      </c>
      <c r="E607">
        <v>9.6</v>
      </c>
      <c r="F607" t="s">
        <v>205</v>
      </c>
      <c r="G607">
        <v>100</v>
      </c>
    </row>
    <row r="608" spans="1:7">
      <c r="A608" t="s">
        <v>1653</v>
      </c>
      <c r="B608" t="s">
        <v>1654</v>
      </c>
      <c r="C608">
        <v>400</v>
      </c>
      <c r="D608">
        <v>24</v>
      </c>
      <c r="E608">
        <v>9.6</v>
      </c>
      <c r="F608" t="s">
        <v>1668</v>
      </c>
      <c r="G608">
        <v>115.375</v>
      </c>
    </row>
    <row r="609" spans="1:7">
      <c r="A609" t="s">
        <v>1497</v>
      </c>
      <c r="B609" t="s">
        <v>1498</v>
      </c>
      <c r="C609">
        <v>200</v>
      </c>
      <c r="D609">
        <v>21</v>
      </c>
      <c r="E609">
        <v>4.2</v>
      </c>
      <c r="F609" t="s">
        <v>1668</v>
      </c>
      <c r="G609">
        <v>115.375</v>
      </c>
    </row>
    <row r="610" spans="1:7">
      <c r="A610" t="s">
        <v>1489</v>
      </c>
      <c r="B610" t="s">
        <v>1490</v>
      </c>
      <c r="C610">
        <v>400</v>
      </c>
      <c r="D610">
        <v>18</v>
      </c>
      <c r="E610">
        <v>7.2</v>
      </c>
      <c r="F610" t="s">
        <v>1668</v>
      </c>
      <c r="G610">
        <v>115.375</v>
      </c>
    </row>
    <row r="611" spans="1:7">
      <c r="A611" t="s">
        <v>1493</v>
      </c>
      <c r="B611" t="s">
        <v>1494</v>
      </c>
      <c r="C611">
        <v>200</v>
      </c>
      <c r="D611">
        <v>21</v>
      </c>
      <c r="E611">
        <v>4.2</v>
      </c>
      <c r="F611" t="s">
        <v>1668</v>
      </c>
      <c r="G611">
        <v>115.375</v>
      </c>
    </row>
    <row r="612" spans="1:7">
      <c r="A612" t="s">
        <v>1485</v>
      </c>
      <c r="B612" t="s">
        <v>1486</v>
      </c>
      <c r="C612">
        <v>400</v>
      </c>
      <c r="D612">
        <v>18</v>
      </c>
      <c r="E612">
        <v>7.2</v>
      </c>
      <c r="F612" t="s">
        <v>1668</v>
      </c>
      <c r="G612">
        <v>115.375</v>
      </c>
    </row>
    <row r="613" spans="1:7">
      <c r="A613" t="s">
        <v>1501</v>
      </c>
      <c r="B613" t="s">
        <v>1502</v>
      </c>
      <c r="C613">
        <v>200</v>
      </c>
      <c r="D613">
        <v>21</v>
      </c>
      <c r="E613">
        <v>4.2</v>
      </c>
      <c r="F613" t="s">
        <v>1668</v>
      </c>
      <c r="G613">
        <v>115.375</v>
      </c>
    </row>
    <row r="614" spans="1:7">
      <c r="A614" t="s">
        <v>1481</v>
      </c>
      <c r="B614" t="s">
        <v>1482</v>
      </c>
      <c r="C614">
        <v>400</v>
      </c>
      <c r="D614">
        <v>18</v>
      </c>
      <c r="E614">
        <v>7.2</v>
      </c>
      <c r="F614" t="s">
        <v>1668</v>
      </c>
      <c r="G614">
        <v>95.833333333333329</v>
      </c>
    </row>
    <row r="615" spans="1:7">
      <c r="A615" t="s">
        <v>1383</v>
      </c>
      <c r="B615" t="s">
        <v>1384</v>
      </c>
      <c r="C615">
        <v>510</v>
      </c>
      <c r="D615">
        <v>12</v>
      </c>
      <c r="E615">
        <v>6.12</v>
      </c>
      <c r="F615" t="s">
        <v>1668</v>
      </c>
      <c r="G615">
        <v>115.375</v>
      </c>
    </row>
    <row r="616" spans="1:7">
      <c r="A616" t="s">
        <v>1495</v>
      </c>
      <c r="B616" t="s">
        <v>1496</v>
      </c>
      <c r="C616">
        <v>200</v>
      </c>
      <c r="D616">
        <v>21</v>
      </c>
      <c r="E616">
        <v>4.2</v>
      </c>
      <c r="F616" t="s">
        <v>1668</v>
      </c>
      <c r="G616">
        <v>115.375</v>
      </c>
    </row>
    <row r="617" spans="1:7">
      <c r="A617" t="s">
        <v>1487</v>
      </c>
      <c r="B617" t="s">
        <v>1488</v>
      </c>
      <c r="C617">
        <v>400</v>
      </c>
      <c r="D617">
        <v>18</v>
      </c>
      <c r="E617">
        <v>7.2</v>
      </c>
      <c r="F617" t="s">
        <v>1668</v>
      </c>
      <c r="G617">
        <v>115.375</v>
      </c>
    </row>
    <row r="618" spans="1:7">
      <c r="A618" t="s">
        <v>1491</v>
      </c>
      <c r="B618" t="s">
        <v>1492</v>
      </c>
      <c r="C618">
        <v>400</v>
      </c>
      <c r="D618">
        <v>18</v>
      </c>
      <c r="E618">
        <v>7.2</v>
      </c>
      <c r="F618" t="s">
        <v>1668</v>
      </c>
      <c r="G618">
        <v>115.375</v>
      </c>
    </row>
    <row r="619" spans="1:7">
      <c r="A619" t="s">
        <v>1499</v>
      </c>
      <c r="B619" t="s">
        <v>1500</v>
      </c>
      <c r="C619">
        <v>200</v>
      </c>
      <c r="D619">
        <v>21</v>
      </c>
      <c r="E619">
        <v>4.2</v>
      </c>
      <c r="F619" t="s">
        <v>1668</v>
      </c>
      <c r="G619">
        <v>54.583333333333336</v>
      </c>
    </row>
    <row r="620" spans="1:7">
      <c r="A620" t="s">
        <v>1406</v>
      </c>
      <c r="B620" t="s">
        <v>1407</v>
      </c>
      <c r="C620">
        <v>150</v>
      </c>
      <c r="D620">
        <v>48</v>
      </c>
      <c r="E620">
        <v>7.2</v>
      </c>
      <c r="F620" t="s">
        <v>1668</v>
      </c>
      <c r="G620">
        <v>54.583333333333336</v>
      </c>
    </row>
    <row r="621" spans="1:7">
      <c r="A621" t="s">
        <v>1413</v>
      </c>
      <c r="B621" t="s">
        <v>1414</v>
      </c>
      <c r="C621">
        <v>150</v>
      </c>
      <c r="D621">
        <v>48</v>
      </c>
      <c r="E621">
        <v>7.2</v>
      </c>
      <c r="F621" t="s">
        <v>1668</v>
      </c>
      <c r="G621">
        <v>95.833333333333329</v>
      </c>
    </row>
    <row r="622" spans="1:7">
      <c r="A622" t="s">
        <v>1453</v>
      </c>
      <c r="B622" t="s">
        <v>1454</v>
      </c>
      <c r="C622">
        <v>400</v>
      </c>
      <c r="D622">
        <v>21</v>
      </c>
      <c r="E622">
        <v>8.4</v>
      </c>
      <c r="F622" t="s">
        <v>1668</v>
      </c>
      <c r="G622">
        <v>95.833333333333329</v>
      </c>
    </row>
    <row r="623" spans="1:7">
      <c r="A623" t="s">
        <v>1455</v>
      </c>
      <c r="B623" t="s">
        <v>1456</v>
      </c>
      <c r="C623">
        <v>400</v>
      </c>
      <c r="D623">
        <v>21</v>
      </c>
      <c r="E623">
        <v>8.4</v>
      </c>
      <c r="F623" t="s">
        <v>1668</v>
      </c>
      <c r="G623">
        <v>105.875</v>
      </c>
    </row>
    <row r="624" spans="1:7">
      <c r="A624" t="s">
        <v>1435</v>
      </c>
      <c r="B624" t="s">
        <v>1436</v>
      </c>
      <c r="C624">
        <v>900</v>
      </c>
      <c r="D624">
        <v>10</v>
      </c>
      <c r="E624">
        <v>9</v>
      </c>
      <c r="F624" t="s">
        <v>1668</v>
      </c>
      <c r="G624">
        <v>105.875</v>
      </c>
    </row>
    <row r="625" spans="1:7">
      <c r="A625" t="s">
        <v>1390</v>
      </c>
      <c r="B625" t="s">
        <v>1391</v>
      </c>
      <c r="C625">
        <v>1000</v>
      </c>
      <c r="D625">
        <v>10</v>
      </c>
      <c r="E625">
        <v>10</v>
      </c>
      <c r="F625" t="s">
        <v>1668</v>
      </c>
      <c r="G625">
        <v>95.833333333333329</v>
      </c>
    </row>
    <row r="626" spans="1:7">
      <c r="A626" t="s">
        <v>1450</v>
      </c>
      <c r="B626" t="s">
        <v>1640</v>
      </c>
      <c r="C626">
        <v>400</v>
      </c>
      <c r="D626">
        <v>21</v>
      </c>
      <c r="E626">
        <v>8.4</v>
      </c>
      <c r="F626" t="s">
        <v>1668</v>
      </c>
      <c r="G626">
        <v>105.875</v>
      </c>
    </row>
    <row r="627" spans="1:7">
      <c r="A627" t="s">
        <v>1431</v>
      </c>
      <c r="B627" t="s">
        <v>1432</v>
      </c>
      <c r="C627">
        <v>900</v>
      </c>
      <c r="D627">
        <v>10</v>
      </c>
      <c r="E627">
        <v>9</v>
      </c>
      <c r="F627" t="s">
        <v>1668</v>
      </c>
      <c r="G627">
        <v>95.833333333333329</v>
      </c>
    </row>
    <row r="628" spans="1:7">
      <c r="A628" t="s">
        <v>1448</v>
      </c>
      <c r="B628" t="s">
        <v>1669</v>
      </c>
      <c r="C628">
        <v>400</v>
      </c>
      <c r="D628">
        <v>21</v>
      </c>
      <c r="E628">
        <v>8.4</v>
      </c>
      <c r="F628" t="s">
        <v>1668</v>
      </c>
      <c r="G628">
        <v>105.875</v>
      </c>
    </row>
    <row r="629" spans="1:7">
      <c r="A629" t="s">
        <v>1429</v>
      </c>
      <c r="B629" t="s">
        <v>1430</v>
      </c>
      <c r="C629">
        <v>900</v>
      </c>
      <c r="D629">
        <v>10</v>
      </c>
      <c r="E629">
        <v>9</v>
      </c>
      <c r="F629" t="s">
        <v>1668</v>
      </c>
      <c r="G629">
        <v>54.583333333333336</v>
      </c>
    </row>
    <row r="630" spans="1:7">
      <c r="A630" t="s">
        <v>1411</v>
      </c>
      <c r="B630" t="s">
        <v>1412</v>
      </c>
      <c r="C630">
        <v>150</v>
      </c>
      <c r="D630">
        <v>48</v>
      </c>
      <c r="E630">
        <v>7.2</v>
      </c>
      <c r="F630" t="s">
        <v>1668</v>
      </c>
      <c r="G630">
        <v>54.583333333333336</v>
      </c>
    </row>
    <row r="631" spans="1:7">
      <c r="A631" t="s">
        <v>375</v>
      </c>
      <c r="B631" t="s">
        <v>376</v>
      </c>
      <c r="C631">
        <v>150</v>
      </c>
      <c r="D631">
        <v>48</v>
      </c>
      <c r="E631">
        <v>7.2</v>
      </c>
      <c r="F631" t="s">
        <v>1668</v>
      </c>
      <c r="G631">
        <v>95.833333333333329</v>
      </c>
    </row>
    <row r="632" spans="1:7">
      <c r="A632" t="s">
        <v>358</v>
      </c>
      <c r="B632" t="s">
        <v>359</v>
      </c>
      <c r="C632">
        <v>300</v>
      </c>
      <c r="D632">
        <v>21</v>
      </c>
      <c r="E632">
        <v>6.3</v>
      </c>
      <c r="F632" t="s">
        <v>1668</v>
      </c>
      <c r="G632">
        <v>105.875</v>
      </c>
    </row>
    <row r="633" spans="1:7">
      <c r="A633" t="s">
        <v>1433</v>
      </c>
      <c r="B633" t="s">
        <v>1434</v>
      </c>
      <c r="C633">
        <v>900</v>
      </c>
      <c r="D633">
        <v>10</v>
      </c>
      <c r="E633">
        <v>9</v>
      </c>
      <c r="F633" t="s">
        <v>1668</v>
      </c>
      <c r="G633">
        <v>105.875</v>
      </c>
    </row>
    <row r="634" spans="1:7">
      <c r="A634" t="s">
        <v>1427</v>
      </c>
      <c r="B634" t="s">
        <v>1428</v>
      </c>
      <c r="C634">
        <v>900</v>
      </c>
      <c r="D634">
        <v>10</v>
      </c>
      <c r="E634">
        <v>9</v>
      </c>
      <c r="F634" t="s">
        <v>1668</v>
      </c>
      <c r="G634">
        <v>1</v>
      </c>
    </row>
    <row r="635" spans="1:7">
      <c r="A635" t="s">
        <v>1607</v>
      </c>
      <c r="B635" t="s">
        <v>1608</v>
      </c>
      <c r="C635">
        <v>1000</v>
      </c>
      <c r="D635">
        <v>10</v>
      </c>
      <c r="E635">
        <v>10</v>
      </c>
      <c r="F635" t="s">
        <v>1668</v>
      </c>
      <c r="G635">
        <v>106</v>
      </c>
    </row>
    <row r="636" spans="1:7">
      <c r="A636" t="s">
        <v>1451</v>
      </c>
      <c r="B636" t="s">
        <v>1452</v>
      </c>
      <c r="C636">
        <v>400</v>
      </c>
      <c r="D636">
        <v>21</v>
      </c>
      <c r="E636">
        <v>8.4</v>
      </c>
      <c r="F636" t="s">
        <v>1668</v>
      </c>
      <c r="G636">
        <v>106</v>
      </c>
    </row>
    <row r="637" spans="1:7">
      <c r="A637" t="s">
        <v>1356</v>
      </c>
      <c r="B637" t="s">
        <v>1357</v>
      </c>
      <c r="C637">
        <v>400</v>
      </c>
      <c r="D637">
        <v>21</v>
      </c>
      <c r="E637">
        <v>8.4</v>
      </c>
      <c r="F637" t="s">
        <v>1668</v>
      </c>
      <c r="G637">
        <v>106</v>
      </c>
    </row>
    <row r="638" spans="1:7">
      <c r="A638" t="s">
        <v>1670</v>
      </c>
      <c r="B638" t="s">
        <v>1671</v>
      </c>
      <c r="C638">
        <v>900</v>
      </c>
      <c r="D638">
        <v>10</v>
      </c>
      <c r="E638">
        <v>9</v>
      </c>
      <c r="F638" t="s">
        <v>1668</v>
      </c>
      <c r="G638">
        <v>106</v>
      </c>
    </row>
    <row r="639" spans="1:7">
      <c r="A639" t="s">
        <v>1351</v>
      </c>
      <c r="B639" t="s">
        <v>1352</v>
      </c>
      <c r="C639">
        <v>330</v>
      </c>
      <c r="D639">
        <v>21</v>
      </c>
      <c r="E639">
        <v>6.93</v>
      </c>
      <c r="F639" t="s">
        <v>1668</v>
      </c>
      <c r="G639">
        <v>96</v>
      </c>
    </row>
    <row r="640" spans="1:7">
      <c r="A640" t="s">
        <v>1374</v>
      </c>
      <c r="B640" t="s">
        <v>1375</v>
      </c>
      <c r="C640">
        <v>330</v>
      </c>
      <c r="D640">
        <v>21</v>
      </c>
      <c r="E640">
        <v>6.93</v>
      </c>
      <c r="F640" t="s">
        <v>1668</v>
      </c>
      <c r="G640">
        <v>96</v>
      </c>
    </row>
    <row r="641" spans="1:7">
      <c r="A641" t="s">
        <v>1381</v>
      </c>
      <c r="B641" t="s">
        <v>1382</v>
      </c>
      <c r="C641">
        <v>100</v>
      </c>
      <c r="D641">
        <v>48</v>
      </c>
      <c r="E641">
        <v>4.8</v>
      </c>
      <c r="F641" t="s">
        <v>1668</v>
      </c>
      <c r="G641">
        <v>55</v>
      </c>
    </row>
    <row r="642" spans="1:7">
      <c r="A642" t="s">
        <v>1379</v>
      </c>
      <c r="B642" t="s">
        <v>1380</v>
      </c>
      <c r="C642">
        <v>690</v>
      </c>
      <c r="D642">
        <v>12</v>
      </c>
      <c r="E642">
        <v>8.2799999999999994</v>
      </c>
      <c r="F642" t="s">
        <v>1668</v>
      </c>
      <c r="G642">
        <v>106</v>
      </c>
    </row>
    <row r="643" spans="1:7">
      <c r="A643" t="s">
        <v>1376</v>
      </c>
      <c r="B643" t="s">
        <v>1377</v>
      </c>
      <c r="C643">
        <v>100</v>
      </c>
      <c r="D643">
        <v>48</v>
      </c>
      <c r="E643">
        <v>4.8</v>
      </c>
      <c r="F643" t="s">
        <v>1668</v>
      </c>
      <c r="G643">
        <v>55</v>
      </c>
    </row>
    <row r="644" spans="1:7">
      <c r="A644" t="s">
        <v>1370</v>
      </c>
      <c r="B644" t="s">
        <v>1371</v>
      </c>
      <c r="C644">
        <v>690</v>
      </c>
      <c r="D644">
        <v>12</v>
      </c>
      <c r="E644">
        <v>8.2799999999999994</v>
      </c>
      <c r="F644" t="s">
        <v>1668</v>
      </c>
      <c r="G644">
        <v>106</v>
      </c>
    </row>
    <row r="645" spans="1:7">
      <c r="A645" t="s">
        <v>1672</v>
      </c>
      <c r="B645" t="s">
        <v>1673</v>
      </c>
      <c r="C645">
        <v>100</v>
      </c>
      <c r="D645">
        <v>48</v>
      </c>
      <c r="E645">
        <v>4.8</v>
      </c>
      <c r="F645" t="s">
        <v>1668</v>
      </c>
      <c r="G645">
        <v>55</v>
      </c>
    </row>
    <row r="646" spans="1:7">
      <c r="A646" t="s">
        <v>1674</v>
      </c>
      <c r="B646" t="s">
        <v>1675</v>
      </c>
      <c r="C646">
        <v>100</v>
      </c>
      <c r="D646">
        <v>48</v>
      </c>
      <c r="E646">
        <v>4.8</v>
      </c>
      <c r="F646" t="s">
        <v>1668</v>
      </c>
      <c r="G646">
        <v>55</v>
      </c>
    </row>
  </sheetData>
  <autoFilter ref="A1:G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xlsxtable</dc:creator>
  <cp:keywords/>
  <dc:description/>
  <cp:lastModifiedBy>ATMOJO Rakha (EXT)</cp:lastModifiedBy>
  <cp:revision/>
  <dcterms:created xsi:type="dcterms:W3CDTF">2026-01-30T01:56:09Z</dcterms:created>
  <dcterms:modified xsi:type="dcterms:W3CDTF">2026-02-04T09:07:37Z</dcterms:modified>
  <cp:category/>
  <cp:contentStatus/>
</cp:coreProperties>
</file>